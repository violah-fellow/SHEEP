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arison" sheetId="1" state="visible" r:id="rId3"/>
    <sheet name="metric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<sst xmlns="http://schemas.openxmlformats.org/spreadsheetml/2006/main" count="139" uniqueCount="89">
  <si>
    <t xml:space="preserve">id</t>
  </si>
  <si>
    <t xml:space="preserve">title</t>
  </si>
  <si>
    <t xml:space="preserve">abstract</t>
  </si>
  <si>
    <t xml:space="preserve">scope</t>
  </si>
  <si>
    <t xml:space="preserve">scope_LLM</t>
  </si>
  <si>
    <t xml:space="preserve">confidence_LLM</t>
  </si>
  <si>
    <t xml:space="preserve">reasoning_LLM</t>
  </si>
  <si>
    <t xml:space="preserve">correct_scope</t>
  </si>
  <si>
    <t xml:space="preserve">pillar</t>
  </si>
  <si>
    <t xml:space="preserve">pillar_LLM</t>
  </si>
  <si>
    <t xml:space="preserve">correct_pillar</t>
  </si>
  <si>
    <t xml:space="preserve">plant_based_LLM</t>
  </si>
  <si>
    <t xml:space="preserve">fermentation_LLM</t>
  </si>
  <si>
    <t xml:space="preserve">cultivated_LLM</t>
  </si>
  <si>
    <t xml:space="preserve">Manual review notes for scope</t>
  </si>
  <si>
    <t xml:space="preserve">Manual review notes for pillar</t>
  </si>
  <si>
    <t xml:space="preserve">pub.1191456334</t>
  </si>
  <si>
    <t xml:space="preserve">Comparative Analysis of Composition, Texture, and Sensory Attributes of Commercial Forms of Plant-Based Cheese Analogue Products Available on the Irish Market</t>
  </si>
  <si>
    <t xml:space="preserve">The increasing demand for plant-based foods has led to significant growth in the availability, at a retail level, of plant-based cheese analogue products. This study presents the first comprehensive benchmarking of commercially available plant-based cheese analogue (PBCA) products in the Irish market, comparing them against conventional cheddar and processed dairy cheeses. A total of 16 cheese products were selected from Irish retail outlets, comprising five block-style plant-based analogues, seven slice-style analogues, two cheddar samples, and two processed cheese samples. Results showed that plant-based cheese analogues had significantly lower protein content (0.1-1.7 g/100 g) than cheddar (25 g/100 g) and processed cheese (12.9-18.2 g/100 g) and lacked a continuous protein matrix, being instead stabilized largely by solid fats, starch, and hydrocolloids. While cheddar showed the highest hardness, some plant-based cheeses achieved comparable hardness using texturizing agents but still demonstrated lower tan δmax values, indicating inferior melting behaviour. Thermograms of differential scanning calorimetry presented a consistent single peak at ~20 °C across most vegan-based variants, unlike the dual-phase melting transitions observed in dairy cheeses. Sensory analysis further highlighted strong negative associations between PBCAs and consumer-relevant attributes such as flavour, texture, and overall acceptability. By integrating structural, functional, and sensory findings, this study identifies key formulation and performance deficits across cheese formats and provides direction for targeted improvements in next-generation PBCA product development.</t>
  </si>
  <si>
    <t xml:space="preserve">in</t>
  </si>
  <si>
    <t xml:space="preserve">This publication directly addresses plant-based cheese analogues, a category of alternative proteins intended to substitute for conventional dairy cheese in human food. The study comprehensively analyzes composition, texture, sensory attributes, and functional properties of commercial PBCA products with explicit comparison to dairy cheese, providing insights for product optimization and development—all core aspects of alternative protein research in scope.</t>
  </si>
  <si>
    <t xml:space="preserve">PB</t>
  </si>
  <si>
    <t xml:space="preserve">pub.1193443783</t>
  </si>
  <si>
    <t xml:space="preserve">Proliferation and metabolic activity of the Atlantic sturgeon cell line AOXlar7y under short-term serum-reduced conditions, and the effect of stimulation with growth factors and cytokines</t>
  </si>
  <si>
    <t xml:space="preserve">Introduction: Fish cell lines represent a powerful tool for studying the biology and toxicology of aquatic species in compliance with the 3Rs principles. In addition, they hold potential for more advanced biotechnological applications. However, fish cell cultures are mainly cultivated with fetal bovine serum. Therefore, in this study, we investigated the impact of serum reduction and the effects of six growth factors and cytokines on a sturgeon larval cell line (AOXla7y), which has been previously proven to be a valuable model for climate change and toxicology studies.
Methods: The serum reduction (from 10% to 5% and 2%) and the addition of two concentrations (10 and 50 ng/mL) of six growth factors and cytokines (FGF-2, IGF-1, LIF, IFN-γ, IL-13, and IL-15) to the 2% serum growth medium were evaluated over 6 days of cultivation. The morphology and cell density were determined using phasecontrast images after the experiment ended, while real-time label-free cell impedance (xCELLigence) was recorded throughout the cultivation period. Moreover, the end-point oxygen consumption in basal and uncoupled respiration conditions was analyzed with the Seahorse XF Cell Mito Stress Test Kit.
Results: The results demonstrated a general adaptation of the sturgeon cell line to a serum-reduced environment and the modulatory effects of growth factor and cytokine supplementation on cell growth and metabolism.
Discussion: These findings suggest that the sturgeon cell line has the potential to transition to a serumfree medium without major observed morphological modifications and with a limited reduction in proliferation. Its metabolism was differentially modulated by the signaling of growth factors and cytokines and exhibited a variable metabolic phenotype under mitochondrial stress. This study provides a characterization of the Atlantic sturgeon cell metabolism and offers a preliminary assessment for developing an animal-free and chemically defined medium.</t>
  </si>
  <si>
    <t xml:space="preserve">out</t>
  </si>
  <si>
    <t xml:space="preserve">This publication focuses on fish cell culture optimization for toxicology and climate change research, not on cultivated meat or alternative proteins for human food. The stated applications are compliance with 3Rs principles for aquatic species research and biotechnological applications unrelated to food production. There is no indication that the sturgeon cells are intended as a protein source for human food consumption.</t>
  </si>
  <si>
    <t xml:space="preserve">CM</t>
  </si>
  <si>
    <t xml:space="preserve">NA</t>
  </si>
  <si>
    <t xml:space="preserve">Known issue (v1)</t>
  </si>
  <si>
    <t xml:space="preserve">pub.1184066957</t>
  </si>
  <si>
    <t xml:space="preserve">Screening of Plant UDP-Glycosyltransferases for Betanin Production in Yeast</t>
  </si>
  <si>
    <t xml:space="preserve">To cover the rising demand for natural food dyes, new sources and production methods are needed. Microbial fermentation of nature-identical colours, such as the red pigment betanin, has the potential to be a cost-efficient alternative to plant extraction. The last step of betanin production is catalysed by a UDP-glycosyltransferase (UGT). To find a high-performing UGT, we screened 27 UGTs from different plant species and tested their ability to produce betanin in vivo in Saccharomyces cerevisiae. We identified two new UGTs likely involved in the betanin synthesis in the plant they derive from: CqGT2 (UGT73A37) from Chenopodium quinoa and BgGT2 (UGT92X1) from Bougainvillea glabra. The betanin-producing UGTs were also tested in Yarrowia lipolytica, where CqGT2 was the best-performing glycosyltransferase for betanin production. While it has previously been shown that the UGTs can glycosylate either betanidin or cyclo-DOPA to ultimately form betanin, the molecular mechanism behind the preference for the acceptor molecule has not been elucidated. Therefore, we performed in silico structural analysis to characterise the betanin-producing UGTs further, particularly by looking into their binding mechanism. The docking model suggested that a smaller binding site found in some UGTs only allows glycosylation of cDOPA, while a wider binding site allows glycosylation of both cyclo-DOPA and betanidin.</t>
  </si>
  <si>
    <t xml:space="preserve">This publication focuses on betanin production as a food dye through fermentation, not as a protein ingredient or substitute for animal proteins. Betanin is a pigment/colorant, and the research aims to develop a natural food dye alternative to plant extraction. Since the stated use case is not substituting animal proteins (meat, dairy, seafood, or egg), this falls outside the scope of alternative protein research, regardless of the fermentation method employed.</t>
  </si>
  <si>
    <t xml:space="preserve">pub.1185271226</t>
  </si>
  <si>
    <t xml:space="preserve">Construction of a CRISPR‐Cas9‐Based Genetic Editing Tool for Serratia marcescens Using a Stationary Phase Promoter and Its Application in Putrescine Production</t>
  </si>
  <si>
    <t xml:space="preserve">Putrescine plays a significant role in green food production and agriculture by promoting plant growth and enhancing crop quality. Its application reduces the reliance on chemical fertilizers and pesticides, thereby supporting the advancement of sustainable agricultural practices. This study achieved efficient production of putrescine in Serratia marcescens. S. marcescens has been extensively used to synthesize antimicrobial substances and express proteins, but its application has been limited by the lack of efficient genome-editing tools. This study presents a CRISPR-Cas9-based tool for gene editing in S. marcescens. A dual-plasmid system was constructed, incorporating an editing template into the plasmid pEdit with target-specific sgRNA. A stationary phase promoter was used to express Cas9 from Streptococcus pyogenes protein, avoiding the need for additional inducers and ensuring efficient one-step gene knockout and integration. The tool demonstrated over 80% editing efficiency across various S. marcescens strains and enabled successful single-base mutations. Using this tool, we enhanced putrescine production in S. marcescens HBQA7, optimizing the expression of ornithine decarboxylase from Clostridium aceticum DSM1496 with the P2 promoter and identifying the optimal integration site. Putrescine production reached 8.46 g/L within 48 h. This study significantly advances S. marcescens gene editing and metabolic engineering.</t>
  </si>
  <si>
    <t xml:space="preserve">This publication focuses on putrescine production for agricultural applications (plant growth promotion, crop quality enhancement, reducing chemical fertilizers). Putrescine is not intended as a substitute for conventional animal proteins in human food, and the stated use case is agricultural/horticultural, not human food. Therefore, it is out of scope regardless of the fermentation platform used.</t>
  </si>
  <si>
    <t xml:space="preserve">pub.1191159240</t>
  </si>
  <si>
    <t xml:space="preserve">Understanding foodscapes for sustainable diets in rural localities in Tunisia: Integrating multiple methods and tools in a mixed-methods design</t>
  </si>
  <si>
    <t xml:space="preserve">BACKGROUND: Understanding foodscapes is essential for developing effective interventions to support nutritional health. However, resource limitations often hinder comprehensive foodscape assessments linked to dietary outcomes. This study aimed to examine the foodscapes in the context of sustainable diets within a food systems framework in rural farming communities in Tunisia.
METHODS: A mixed-methods approach using the following tools and methods, was employed in a sample of four rural communities in Tunisia to explore food beliefs and dietary influencers: market observation combined with a food costing survey, a household survey including dietary data collection using Diet Quality Questionnaire, distance from market, meal decision influencers, anthropometric and demographics data, and focus group discussions.
RESULTS: The participants' (n = 692) dietary quality and BMI were significantly associated with gender, age, distance from fresh markets, and education. Food price was significantly positively associated with dietary diversity and with both health-protective and health-risking food groups' consumption. Focus group discussions revealed religion and culture's embeddedness in food beliefs and behaviors. Participants placed animal-sourced foods and grain-based products among the top highly praised foods for health, with significantly more men than women believing meat was necessary for good health. Few respondents considered legumes as meat-alternatives.
CONCLUSION: This foodscapes study presented the application of farming household survey, food market and costing, and restaurant observation data, and focus group discussion in a convergent parallel mixed methods design to efficiently assess foodscapes in rural Tunisia. The tools enabled the identification of eco-socio-cultural factors that can guide the designing of interventions for sustainable diets.</t>
  </si>
  <si>
    <t xml:space="preserve">This publication is a foodscape and dietary assessment study in rural Tunisia focused on understanding food beliefs, dietary patterns, and nutritional outcomes in farming communities. It does not concern research on alternative proteins, their development, characterisation, or production. While legumes are mentioned, they are discussed only as underutilised foods in the local diet, not as alternative protein ingredients or products intended to substitute animal proteins. The study's primary focus is on food systems, dietary quality, and sustainable diets in a specific geographic context, not on advancing alternative protein technology or understanding.</t>
  </si>
  <si>
    <t xml:space="preserve">pub.1185503350</t>
  </si>
  <si>
    <t xml:space="preserve">From a Coriander Mayonnaise to a Vegan Analogue: Assessing pH and Salt Influence in a Saccharomyces cerevisiae Yeast Protein Extract and Chlorella vulgaris Mixed System</t>
  </si>
  <si>
    <t xml:space="preserve">History aside, traditional mayonnaise faces a rising animal welfare concern dietary approach and remains dependent on cold environments throughout the supply chain due to food safety. Nowadays, consumers are able to find alternative formulas from vegetable sources with relevant emulsifying capacity. However, sensory characteristics may differ from the traditional expected product. A mixed system composed of the innovative ingredient heterotrophic white Chlorella vulgaris and a disruptive emulsifier, yeast protein extract (YPE), was assessed to transform traditional coriander mayonnaise into an analog product. The effect of pH and salt (NaCl) content was also evaluated. The mixed system depicts a promising stability since the average Sauter diameter of both is similar (7.94 μm and 7.49 μm), also observed in the unimodal droplet size distribution. Viscoelastic behavior has slightly different responses for the plateau model (278.951 Pa and 252.053 Pa), while increasing the salt content reflects an approximation regarding firmness (0.059 N and 0.057 N) and adhesiveness (0.372 N.s and 0.361 N.s). Introduction of microalgae increases bioactivity, mainly TPC (+118.84 ugGAeq/g) and antioxidant activity-RSA (+31.29 ugTEAC/g) and FRAP (+35.26 ugTEAC/g). Despite the color deviation, the sensorial analysis of both products enlightened the absence of major perception.</t>
  </si>
  <si>
    <t xml:space="preserve">This publication is clearly in scope as it develops a vegan mayonnaise analogue using fermentation-derived proteins (yeast protein extract from Saccharomyces cerevisiae and heterotrophic Chlorella vulgaris microalgae) as substitutes for egg-based emulsifiers in traditional mayonnaise. The research focuses on optimizing the functional and sensory properties of these alternative protein ingredients for human food application, directly advancing the development and characterization of fermentation-derived proteins for animal product substitution. Microalgae are classified as fermentation, not plant-based, per the boundaries provided.</t>
  </si>
  <si>
    <t xml:space="preserve">F</t>
  </si>
  <si>
    <t xml:space="preserve">pub.1192499872</t>
  </si>
  <si>
    <t xml:space="preserve">Microalgal biomass in the European food industry: navigating regulation, technological innovation, and consumer acceptance</t>
  </si>
  <si>
    <t xml:space="preserve">The growing need for sustainable and nutrient-dense food sources has positioned microalgae as a promising ingredient for the food industry. Rich in high-quality proteins, essential fatty acids, vitamins, and bioactive compounds, microalgae hold great potential as functional ingredients in the development of health-promoting food products. However, regulatory, technological, and consumer-related barriers still limit their widespread adoption in Western countries. While certain species have a history of consumption, many still require approval under the EU Novel Food Regulation before commercialization. Additionally, processing and formulation challenges arise due to protein interactions, water absorption dynamics, bioaccessibility constraints, and final sensory attributes, as their strong pigmentation and marine-like flavours can impact consumer acceptance. Studies confirm that low incorporation levels (≤3 %) generally maintain favourable sensory properties in staple products. Among emerging applications, meat analogues represent a particularly promising area, where the novelty of the product category allows for more flexible taste expectations and sensory reinterpretation, although limitations in texturization remain. Sensory optimization strategies, including encapsulation and flavour masking, are being explored to enhance palatability, while pulsed electric field, mechanical (i.a., ultrasounds, high-pressure homogenization) and enzymatic treatments are being implemented to improve nutrients absorption. Although food neophobia, dietary habits, and cost remain key barriers to consumer acceptance of microalgae-based foods, neuromarketing approaches offer promising tools to influence perception and encourage adoption. Advances in cultivation efficiency, genetic engineering, formulation and processing techniques are progressively improving scalability, affordability, and sensory appeal, paving the way for microalgae to evolve from niche applications to mainstream food alternatives.</t>
  </si>
  <si>
    <t xml:space="preserve">This publication directly addresses microalgal biomass as a protein source for human food applications, with explicit focus on meat analogues and alternative protein development. Microalgae are classified as fermentation (not plant-based) per the boundaries. The paper comprehensively covers regulatory, technological, and consumer acceptance aspects of microalgal proteins as food ingredients, all of which are in-scope topics for alternative proteins research.</t>
  </si>
  <si>
    <t xml:space="preserve">pub.1192676912</t>
  </si>
  <si>
    <t xml:space="preserve">Consumer Trust in Emerging Food Technologies: A Comparative Analysis of Croatia and India</t>
  </si>
  <si>
    <t xml:space="preserve">Consumer trust plays a critical role in the successful adoption of emerging food technologies. This study investigates how trust in five key food technologies—genetically modified organisms (GMO), 3D-printed food, lab-grown meat, nanotechnology, and functional foods—varies across two culturally distinct countries: Croatia and India. Utilizing a quantitative approach with responses from 538 participants, the research explores how demographic factors such as country of residence, gender, and urban-rural setting influence consumer attitudes. Statistical analysis was conducted using MANOVA and one-way ANOVA to test seven hypotheses regarding trust levels. The results revealed significant cross-national differences, with Indian consumers expressing higher trust across all technologies studied. In contrast, variables such as gender and place of residence showed limited or context-dependent influence. These findings underscore the importance of cultural context in shaping consumer trust and point to the need for targeted communication and policy strategies in promoting food innovation. The study contributes to the growing body of research on food technology adoption by emphasizing trust as a culturally embedded and demographically nuanced phenomenon.</t>
  </si>
  <si>
    <t xml:space="preserve">This publication addresses consumer trust and adoption of emerging food technologies, including lab-grown meat (cultivated meat), which is explicitly mentioned as one of the five technologies studied. While the paper is primarily focused on consumer perception and policy aspects rather than technical development, it falls within the scope of alternative proteins research as it advances understanding of cultivated meat adoption and acceptance. The inclusion of lab-grown meat as a central research focus, combined with the societal and policy implications discussed, makes this in scope for alternative proteins.</t>
  </si>
  <si>
    <t xml:space="preserve">pub.1187071484</t>
  </si>
  <si>
    <t xml:space="preserve">Characterization and quantification of anisotropy in mozzarella cheese: Exploring the impact of structural anisotropy on functional properties using complementary analytical technologies</t>
  </si>
  <si>
    <t xml:space="preserve">Mozzarella cheese is a key ingredient in many cuisines, valued for its creamy texture and its exceptional popularity as a pizza topping. The unique melting and stretching behavior is closely linked to its structural anisotropy, which can be modulated by production conditions. The textural anisotropy of the cheese significantly influences its viscoelastic and thermodynamic properties when heated. This paper explores how process parameters influence mozzarella structure, utilizing Fluorescence Anisotropy (FA) and Oblique Incidence Reflectometry (OIR) for anisotropy quantification. To corroborate the results, our study incorporates detailed microstructural analysis via X-ray computed tomography (CT). The ultimate product functionality of the mozzarella cheese is evaluated from both a consumer and quality perspective by assessing its performance in pizza baking. The key findings of our study indicate that the determinations of anisotropy by FA and OIR are highly correlated with each other and with important functional properties and process parameters. Functional parameters associated with blisters negatively correlate with anisotropy, while oiling and meltability exhibit a positive correlation with anisotropy values. The anisotropy values observed through FA and OIR further align closely with CT images, as well as with pizza functionality and consumer tests.</t>
  </si>
  <si>
    <t xml:space="preserve">This publication concerns the characterization and optimization of conventional mozzarella cheese (a dairy product), not alternative proteins. While it addresses functional properties and processing, the stated use case is improving a conventional animal-derived dairy product, not developing or characterizing plant-based, fermentation-derived, or cultivated protein substitutes for dairy. The research falls outside the scope of alternative protein development.</t>
  </si>
  <si>
    <t xml:space="preserve">pub.1190449797</t>
  </si>
  <si>
    <t xml:space="preserve">Modeling sorghum yield response to climate change in the semi-arid environment of Ethiopia</t>
  </si>
  <si>
    <t xml:space="preserve">In Ethiopia, sorghum is a vital food security crop, predominantly cultivated in semi-arid, rain-fed agricultural landscapes. However, the increasing effects of climate change now present a serious threat to its sustainable production. This study assessed the impacts of climate change on three popular sorghum varieties (ESH-1, ESH-2, and Melkam) in three semi-arid areas of Ethiopia using a crop-climate modeling approach. Calibration and validation of the CERES-Sorghum model demonstrated strong agreement between simulated and observed values, confirming its reliability for application. Climate projections from three GCM models show temperature increases up to 2.1 °C by the 2050s and 4 °C by the 2080s. Rainfall changes varied by location, with Mieso projected for a 21.8 % increase and Melkassa showing minimal change but high variability. Our findings reveal highly differential and location-specific yield responses across varieties under projected climate. Although projections show Kobo yields remaining stable or increasing slightly under climate change, sensitivity analysis reveals potential yield declines of up to 44 % with a 20 % rainfall reduction. In contrast, projections for Melkassa showed consistent yield declines across all varieties, exhibiting strong sensitivity to temperature changes, where a 1.5 ∘C increase potentially reduces yields by up to 40 %. In comparison, Mieso displayed mixed responses, with the ESH-2 variety performing notably better under future scenarios. These findings suggest that current agronomic practices may be insufficient to sustain yields under climate scenarios, threatening future food security. Thus, developing and implementing climate-resilient strategies, including cultivating drought-tolerant sorghum cultivars, optimizing irrigation, and enhancing soil health, is crucial to ensure effective adaptation and regional food security.</t>
  </si>
  <si>
    <t xml:space="preserve">This publication concerns crop yield modeling and climate change impacts on sorghum production for general food security purposes. Sorghum is treated as a staple food crop, not as a protein source for alternative protein development or as a substitute for animal proteins. Protein is not a primary focus, and there is no stated or implied use case of developing plant-based meat, dairy, egg, or seafood analogues, or optimizing sorghum protein as a functional ingredient for alternative protein products.</t>
  </si>
  <si>
    <t xml:space="preserve">pub.1196236950</t>
  </si>
  <si>
    <t xml:space="preserve">The influence of phytase on the solubility of storage proteins in rapeseed press cake</t>
  </si>
  <si>
    <t xml:space="preserve">Rapeseed (Brassica napus subsp. napus) protein is gaining attention as a sustainable alternative protein source to animal derived proteins. Its utilization as a food ingredient for human consumption is hindered by the presence of phytic acid, or inositol hexaphosphate, an anti-nutritional factor that binds minerals and reduces protein solubility. This study investigates the effect of enzymatic hydrolysis of phytic acid, using phytase (12 U/mL) and phosphatase (0.44 U/mL), on the solubility of the two primary rapeseed storage proteins, cruciferin and napin. Rapeseed press cake was extracted in water (1:20 w/v) and incubated with enzymes for 60 min at 40 °C, followed by pH adjustment across a pH range of 4-9. Reversed-phase HPLC analysis confirmed that phytase treatment significantly (p ≤ 0.05) improved cruciferin solubility at pH 4 by up to 600 % by disrupting protein-phytate complexes, while napin solubility showed a minor, non-significant increase (p &gt; 0.05). Additionally, ICP-OES analysis of minerals (Ca, K, Na, Mg, P and S) showed that phytase hydrolysis significantly increased soluble phosphorus, enhancing its bioavailability. These findings suggest that phytase treatment enhances the functional properties of rapeseed protein, improving its dispersion and solubility, and positioning it as a promising candidate for use in plant-based food formulations.</t>
  </si>
  <si>
    <t xml:space="preserve">This publication directly addresses rapeseed protein as a sustainable alternative to animal-derived proteins for human food applications. The research focuses on improving the functional properties (solubility) of plant-based storage proteins through enzymatic processing to enhance their utility as food ingredients in plant-based formulations. Protein is the primary focus, and the stated use case is substituting animal proteins in human food.</t>
  </si>
  <si>
    <t xml:space="preserve">pub.1196060665</t>
  </si>
  <si>
    <t xml:space="preserve">Nutrient Equivalence of Plant-Based and Cultured Meat: Gaps, Bioavailability, and Health Perspectives</t>
  </si>
  <si>
    <t xml:space="preserve">Meat provides high-quality protein and essential micronutrients such as vitamin B12, heme iron, zinc, and selenium, along with conditionally essential compounds including creatine, carnitine, and taurine. Growing concerns over environmental sustainability, animal welfare, and potential health risks associated with excessive meat consumption have spurred the development of plant-based and cultured alternatives intended to replicate the nutritional and sensory attributes of meat. This review critically examines the extent to which these emerging products achieve nutrient equivalence with conventional meat, focusing on essential and conditionally essential nutrients, their bioavailability, and implications for human health. After outlining the physiological importance of nutrients characteristically supplied by meat, the review compares the composition of plant-based meat analogs (PBMAs) and cultured meat prototypes. Differences in fortification strategies, ingredient formulation, and the presence of anti-nutritional factors are discussed in relation to nutrient absorption and utilization. Current PBMAs can approximate protein content but generally provide lower levels and reduced bioavailability of vitamin B12, heme iron, creatine, taurine, and long-chain omega-3 fatty acids unless fortified. Cultured meat offers theoretical potential for compositional optimization through cellular engineering but remains limited by scarce empirical data. Achieving nutrient equivalence with conventional meat thus represents a major scientific, technological, and regulatory challenge. Future progress will depend on integrating nutritional design into product development, validating bioavailability in human studies, and implementing transparent labeling to ensure that next-generation meat alternatives meet both health and sustainability goals.</t>
  </si>
  <si>
    <t xml:space="preserve">This review directly examines plant-based meat analogues and cultured meat as substitutes for conventional meat, focusing on their nutritional composition, bioavailability, and health implications. Both alternative protein categories are primary focuses, and the comparison with animal protein is explicitly framed to optimize alternative protein products rather than as a broad dietary study. The publication advances understanding of these emerging products' development and characterization.</t>
  </si>
  <si>
    <t xml:space="preserve">CC</t>
  </si>
  <si>
    <t xml:space="preserve">pub.1189564490</t>
  </si>
  <si>
    <t xml:space="preserve">Does the use of Beef-on-Dairy lead to increased longevity in dairy herds?</t>
  </si>
  <si>
    <t xml:space="preserve">The genetic progress of longevity in Holsteins has been very strong over the last years; however, the phenotypic longevity only increases moderately. It is often argued that this discrepancy between genetic and phenotypic longevity can mainly be explained with the availability of too many replacement heifers on the farms. Following this hypothesis, a farmer would rather prematurely cull a cow from the herd than the freshly calved heifer. The availability of dairy replacements on the other side depends on other management decisions: rate of born female dairy calves, rate of losses, sales and purchases of female dairy calves. The rate of born female dairy calves is influenced largely by (a) the use of sexed semen and (b) the use of beef semen on dairy cows (BoD). In our study, we analysed, whether herds with a lower rate of born female dairy calves (and therefore less available replacement heifers) have higher average longevity of cows. The data set comprised 2 784 880 calving records and 1 025 203 disposals, resulting in data of 10 627 German herds. These herds were clustered into groups based on (1) the proportion of BoD use and (2) the proportion of female dairy calves born in 2020/2021. The average longevity of cows culled in 2022/2023 (replaced by calves born in 2020/2021) was compared. The genetic level (Estimated breeding value of longevity) did not differ significantly between the categories of farms nor did the average production level (milk yield) per herd. A significant association was found between BoD use and phenotypic longevity: herds with high BoD use (&gt; 20%) had an average longevity that was 147 days longer than that of herds with no BoD use (&lt; 2%). Similarly, herds with a lower proportion of female dairy calves born had a significantly higher average longevity: herds with &gt; 55% female dairy calves (thus, a high number of possible replacement heifers) had an average longevity of 1 197 days, whereas herds with &lt; 40% female dairy calves had an average longevity of 1 335 days. This strong increase in average longevity related to the reduction of possible replacements indicates that many cows are culled early due to management decisions rather than due to health issues and other functional reasons.</t>
  </si>
  <si>
    <t xml:space="preserve">This publication concerns dairy herd management and genetic breeding strategies in conventional livestock production. It has no relevance to alternative proteins—it does not address plant-based, fermentation-derived, or cultivated protein sources intended as substitutes for animal products in human food. The study focuses entirely on optimizing conventional dairy cow longevity through breeding decisions, which falls outside the scope of alternative protein research.</t>
  </si>
  <si>
    <t xml:space="preserve">pub.1193813897</t>
  </si>
  <si>
    <t xml:space="preserve">The Potential of Fermentation-Based Processing on Protein Modification: A Review</t>
  </si>
  <si>
    <t xml:space="preserve">Proteins are fundamental to food systems due to their structural, nutritional, and functional roles. With increasing consumer awareness of health and sustainability, the demand for protein-rich foods from diverse and eco-friendly sources is rising. Fermentation has emerged as a transformative approach for enhancing the nutritional value, functionality, and sensory appeal of protein-based foods, while also contributing to environmental and economic sustainability. This review explores the multifaceted impact of fermentation on proteins, focusing on nutritional enhancement, functional improvements, technological adaptability, and sensory optimization. It highlights how microbial fermentation can modify protein structures, reduce allergenicity, improve digestibility, and generate bioactive compounds. The diversity of protein sources, microbial strains, and fermentation parameters offers a versatile platform for tailoring food products to meet evolving consumer expectations. By critically examining current research and industrial practices, this paper underscores the importance of selecting appropriate protein substrates and microbial hosts to maximize the benefits of fermentation. The insights provided aim to guide future innovations in developing sustainable, health-promoting, and consumer-acceptable fermented protein products.</t>
  </si>
  <si>
    <t xml:space="preserve">This review focuses on fermentation as a processing method to modify and enhance plant-based proteins for human food applications, improving nutritional value, digestibility, and allergenicity. According to the boundaries, when fermentation is used to process plant proteins rather than serving as the microbial biomass protein source itself, the classification should reflect the primary protein source (plant-based) rather than the processing method. The work is clearly relevant to alternative protein development and optimization.</t>
  </si>
  <si>
    <t xml:space="preserve">I agree with the LLM. The paper only discusses using fermentation to modify plant-based proteins (not biomass or precision fermentation).</t>
  </si>
  <si>
    <t xml:space="preserve">metric</t>
  </si>
  <si>
    <t xml:space="preserve">value</t>
  </si>
  <si>
    <t xml:space="preserve">n</t>
  </si>
  <si>
    <t xml:space="preserve">scope_accuracy</t>
  </si>
  <si>
    <t xml:space="preserve">93%</t>
  </si>
  <si>
    <t xml:space="preserve">pillar_accuracy</t>
  </si>
  <si>
    <t xml:space="preserve">86%</t>
  </si>
  <si>
    <t xml:space="preserve">pillar_accuracy_both_in_scope</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</si>
</sst>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3">
    <fill>
      <patternFill patternType="none"/>
    </fill>
    <fill>
      <patternFill patternType="gray125"/>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17" activeCellId="0" sqref="F17"/>
    </sheetView>
  </sheetViews>
  <sheetFormatPr defaultColWidth="8.34375" defaultRowHeight="15" customHeight="false" zeroHeight="false" outlineLevelRow="0" outlineLevelCol="0"/>
  <cols>
    <col collapsed="false" customWidth="true" hidden="false" outlineLevel="0" max="15" min="15" style="0" width="13.09"/>
    <col collapsed="false" customWidth="true" hidden="false" outlineLevel="0" max="16" min="16" style="0" width="16.97"/>
  </cols>
  <sheetData>
    <row r="1" customFormat="false" ht="45.1"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1" t="s">
        <v>14</v>
      </c>
      <c r="P1" s="1" t="s">
        <v>15</v>
      </c>
    </row>
    <row r="2" customFormat="false" ht="15" hidden="false" customHeight="false" outlineLevel="0" collapsed="false">
      <c r="A2" s="0" t="s">
        <v>16</v>
      </c>
      <c r="B2" s="0" t="s">
        <v>17</v>
      </c>
      <c r="C2" s="0" t="s">
        <v>18</v>
      </c>
      <c r="D2" s="0" t="s">
        <v>19</v>
      </c>
      <c r="E2" s="0" t="s">
        <v>19</v>
      </c>
      <c r="F2" s="0" t="n">
        <v>5</v>
      </c>
      <c r="G2" s="0" t="s">
        <v>20</v>
      </c>
      <c r="H2" s="2" t="b">
        <f aca="false">TRUE()</f>
        <v>1</v>
      </c>
      <c r="I2" s="0" t="s">
        <v>21</v>
      </c>
      <c r="J2" s="0" t="s">
        <v>21</v>
      </c>
      <c r="K2" s="2" t="b">
        <f aca="false">TRUE()</f>
        <v>1</v>
      </c>
      <c r="L2" s="2" t="b">
        <f aca="false">TRUE()</f>
        <v>1</v>
      </c>
      <c r="M2" s="2" t="b">
        <f aca="false">FALSE()</f>
        <v>0</v>
      </c>
      <c r="N2" s="2" t="b">
        <f aca="false">FALSE()</f>
        <v>0</v>
      </c>
    </row>
    <row r="3" customFormat="false" ht="45.1" hidden="false" customHeight="false" outlineLevel="0" collapsed="false">
      <c r="A3" s="0" t="s">
        <v>22</v>
      </c>
      <c r="B3" s="0" t="s">
        <v>23</v>
      </c>
      <c r="C3" s="1" t="s">
        <v>24</v>
      </c>
      <c r="D3" s="0" t="s">
        <v>19</v>
      </c>
      <c r="E3" s="0" t="s">
        <v>25</v>
      </c>
      <c r="F3" s="0" t="n">
        <v>5</v>
      </c>
      <c r="G3" s="0" t="s">
        <v>26</v>
      </c>
      <c r="H3" s="3" t="b">
        <f aca="false">FALSE()</f>
        <v>0</v>
      </c>
      <c r="I3" s="0" t="s">
        <v>27</v>
      </c>
      <c r="J3" s="0" t="s">
        <v>28</v>
      </c>
      <c r="K3" s="3" t="b">
        <f aca="false">FALSE()</f>
        <v>0</v>
      </c>
      <c r="L3" s="2" t="b">
        <f aca="false">FALSE()</f>
        <v>0</v>
      </c>
      <c r="M3" s="2" t="b">
        <f aca="false">FALSE()</f>
        <v>0</v>
      </c>
      <c r="N3" s="2" t="b">
        <f aca="false">FALSE()</f>
        <v>0</v>
      </c>
      <c r="O3" s="0" t="s">
        <v>29</v>
      </c>
    </row>
    <row r="4" customFormat="false" ht="15" hidden="false" customHeight="false" outlineLevel="0" collapsed="false">
      <c r="A4" s="0" t="s">
        <v>30</v>
      </c>
      <c r="B4" s="0" t="s">
        <v>31</v>
      </c>
      <c r="C4" s="0" t="s">
        <v>32</v>
      </c>
      <c r="D4" s="0" t="s">
        <v>25</v>
      </c>
      <c r="E4" s="0" t="s">
        <v>25</v>
      </c>
      <c r="F4" s="0" t="n">
        <v>5</v>
      </c>
      <c r="G4" s="0" t="s">
        <v>33</v>
      </c>
      <c r="H4" s="2" t="b">
        <f aca="false">TRUE()</f>
        <v>1</v>
      </c>
      <c r="I4" s="0" t="s">
        <v>28</v>
      </c>
      <c r="J4" s="0" t="s">
        <v>28</v>
      </c>
      <c r="K4" s="2" t="b">
        <f aca="false">TRUE()</f>
        <v>1</v>
      </c>
      <c r="L4" s="2" t="b">
        <f aca="false">FALSE()</f>
        <v>0</v>
      </c>
      <c r="M4" s="2" t="b">
        <f aca="false">FALSE()</f>
        <v>0</v>
      </c>
      <c r="N4" s="2" t="b">
        <f aca="false">FALSE()</f>
        <v>0</v>
      </c>
    </row>
    <row r="5" customFormat="false" ht="15" hidden="false" customHeight="false" outlineLevel="0" collapsed="false">
      <c r="A5" s="0" t="s">
        <v>34</v>
      </c>
      <c r="B5" s="0" t="s">
        <v>35</v>
      </c>
      <c r="C5" s="0" t="s">
        <v>36</v>
      </c>
      <c r="D5" s="0" t="s">
        <v>25</v>
      </c>
      <c r="E5" s="0" t="s">
        <v>25</v>
      </c>
      <c r="F5" s="0" t="n">
        <v>5</v>
      </c>
      <c r="G5" s="0" t="s">
        <v>37</v>
      </c>
      <c r="H5" s="2" t="b">
        <f aca="false">TRUE()</f>
        <v>1</v>
      </c>
      <c r="I5" s="0" t="s">
        <v>28</v>
      </c>
      <c r="J5" s="0" t="s">
        <v>28</v>
      </c>
      <c r="K5" s="2" t="b">
        <f aca="false">TRUE()</f>
        <v>1</v>
      </c>
      <c r="L5" s="2" t="b">
        <f aca="false">FALSE()</f>
        <v>0</v>
      </c>
      <c r="M5" s="2" t="b">
        <f aca="false">FALSE()</f>
        <v>0</v>
      </c>
      <c r="N5" s="2" t="b">
        <f aca="false">FALSE()</f>
        <v>0</v>
      </c>
    </row>
    <row r="6" customFormat="false" ht="45.1" hidden="false" customHeight="false" outlineLevel="0" collapsed="false">
      <c r="A6" s="0" t="s">
        <v>38</v>
      </c>
      <c r="B6" s="0" t="s">
        <v>39</v>
      </c>
      <c r="C6" s="1" t="s">
        <v>40</v>
      </c>
      <c r="D6" s="0" t="s">
        <v>25</v>
      </c>
      <c r="E6" s="0" t="s">
        <v>25</v>
      </c>
      <c r="F6" s="0" t="n">
        <v>5</v>
      </c>
      <c r="G6" s="0" t="s">
        <v>41</v>
      </c>
      <c r="H6" s="2" t="b">
        <f aca="false">TRUE()</f>
        <v>1</v>
      </c>
      <c r="I6" s="0" t="s">
        <v>28</v>
      </c>
      <c r="J6" s="0" t="s">
        <v>28</v>
      </c>
      <c r="K6" s="2" t="b">
        <f aca="false">TRUE()</f>
        <v>1</v>
      </c>
      <c r="L6" s="2" t="b">
        <f aca="false">FALSE()</f>
        <v>0</v>
      </c>
      <c r="M6" s="2" t="b">
        <f aca="false">FALSE()</f>
        <v>0</v>
      </c>
      <c r="N6" s="2" t="b">
        <f aca="false">FALSE()</f>
        <v>0</v>
      </c>
    </row>
    <row r="7" customFormat="false" ht="15" hidden="false" customHeight="false" outlineLevel="0" collapsed="false">
      <c r="A7" s="0" t="s">
        <v>42</v>
      </c>
      <c r="B7" s="0" t="s">
        <v>43</v>
      </c>
      <c r="C7" s="0" t="s">
        <v>44</v>
      </c>
      <c r="D7" s="0" t="s">
        <v>19</v>
      </c>
      <c r="E7" s="0" t="s">
        <v>19</v>
      </c>
      <c r="F7" s="0" t="n">
        <v>5</v>
      </c>
      <c r="G7" s="0" t="s">
        <v>45</v>
      </c>
      <c r="H7" s="2" t="b">
        <f aca="false">TRUE()</f>
        <v>1</v>
      </c>
      <c r="I7" s="0" t="s">
        <v>46</v>
      </c>
      <c r="J7" s="0" t="s">
        <v>46</v>
      </c>
      <c r="K7" s="2" t="b">
        <f aca="false">TRUE()</f>
        <v>1</v>
      </c>
      <c r="L7" s="2" t="b">
        <f aca="false">FALSE()</f>
        <v>0</v>
      </c>
      <c r="M7" s="2" t="b">
        <f aca="false">TRUE()</f>
        <v>1</v>
      </c>
      <c r="N7" s="2" t="b">
        <f aca="false">FALSE()</f>
        <v>0</v>
      </c>
    </row>
    <row r="8" customFormat="false" ht="15" hidden="false" customHeight="false" outlineLevel="0" collapsed="false">
      <c r="A8" s="0" t="s">
        <v>47</v>
      </c>
      <c r="B8" s="0" t="s">
        <v>48</v>
      </c>
      <c r="C8" s="0" t="s">
        <v>49</v>
      </c>
      <c r="D8" s="0" t="s">
        <v>19</v>
      </c>
      <c r="E8" s="0" t="s">
        <v>19</v>
      </c>
      <c r="F8" s="0" t="n">
        <v>5</v>
      </c>
      <c r="G8" s="0" t="s">
        <v>50</v>
      </c>
      <c r="H8" s="2" t="b">
        <f aca="false">TRUE()</f>
        <v>1</v>
      </c>
      <c r="I8" s="0" t="s">
        <v>46</v>
      </c>
      <c r="J8" s="0" t="s">
        <v>46</v>
      </c>
      <c r="K8" s="2" t="b">
        <f aca="false">TRUE()</f>
        <v>1</v>
      </c>
      <c r="L8" s="2" t="b">
        <f aca="false">FALSE()</f>
        <v>0</v>
      </c>
      <c r="M8" s="2" t="b">
        <f aca="false">TRUE()</f>
        <v>1</v>
      </c>
      <c r="N8" s="2" t="b">
        <f aca="false">FALSE()</f>
        <v>0</v>
      </c>
    </row>
    <row r="9" customFormat="false" ht="15" hidden="false" customHeight="false" outlineLevel="0" collapsed="false">
      <c r="A9" s="0" t="s">
        <v>51</v>
      </c>
      <c r="B9" s="0" t="s">
        <v>52</v>
      </c>
      <c r="C9" s="0" t="s">
        <v>53</v>
      </c>
      <c r="D9" s="0" t="s">
        <v>19</v>
      </c>
      <c r="E9" s="0" t="s">
        <v>19</v>
      </c>
      <c r="F9" s="0" t="n">
        <v>4</v>
      </c>
      <c r="G9" s="0" t="s">
        <v>54</v>
      </c>
      <c r="H9" s="2" t="b">
        <f aca="false">TRUE()</f>
        <v>1</v>
      </c>
      <c r="I9" s="0" t="s">
        <v>27</v>
      </c>
      <c r="J9" s="0" t="s">
        <v>27</v>
      </c>
      <c r="K9" s="2" t="b">
        <f aca="false">TRUE()</f>
        <v>1</v>
      </c>
      <c r="L9" s="2" t="b">
        <f aca="false">FALSE()</f>
        <v>0</v>
      </c>
      <c r="M9" s="2" t="b">
        <f aca="false">FALSE()</f>
        <v>0</v>
      </c>
      <c r="N9" s="2" t="b">
        <f aca="false">TRUE()</f>
        <v>1</v>
      </c>
    </row>
    <row r="10" customFormat="false" ht="15" hidden="false" customHeight="false" outlineLevel="0" collapsed="false">
      <c r="A10" s="0" t="s">
        <v>55</v>
      </c>
      <c r="B10" s="0" t="s">
        <v>56</v>
      </c>
      <c r="C10" s="0" t="s">
        <v>57</v>
      </c>
      <c r="D10" s="0" t="s">
        <v>25</v>
      </c>
      <c r="E10" s="0" t="s">
        <v>25</v>
      </c>
      <c r="F10" s="0" t="n">
        <v>5</v>
      </c>
      <c r="G10" s="0" t="s">
        <v>58</v>
      </c>
      <c r="H10" s="2" t="b">
        <f aca="false">TRUE()</f>
        <v>1</v>
      </c>
      <c r="I10" s="0" t="s">
        <v>28</v>
      </c>
      <c r="J10" s="0" t="s">
        <v>28</v>
      </c>
      <c r="K10" s="2" t="b">
        <f aca="false">TRUE()</f>
        <v>1</v>
      </c>
      <c r="L10" s="2" t="b">
        <f aca="false">FALSE()</f>
        <v>0</v>
      </c>
      <c r="M10" s="2" t="b">
        <f aca="false">FALSE()</f>
        <v>0</v>
      </c>
      <c r="N10" s="2" t="b">
        <f aca="false">FALSE()</f>
        <v>0</v>
      </c>
    </row>
    <row r="11" customFormat="false" ht="15" hidden="false" customHeight="false" outlineLevel="0" collapsed="false">
      <c r="A11" s="0" t="s">
        <v>59</v>
      </c>
      <c r="B11" s="0" t="s">
        <v>60</v>
      </c>
      <c r="C11" s="0" t="s">
        <v>61</v>
      </c>
      <c r="D11" s="0" t="s">
        <v>25</v>
      </c>
      <c r="E11" s="0" t="s">
        <v>25</v>
      </c>
      <c r="F11" s="0" t="n">
        <v>5</v>
      </c>
      <c r="G11" s="0" t="s">
        <v>62</v>
      </c>
      <c r="H11" s="2" t="b">
        <f aca="false">TRUE()</f>
        <v>1</v>
      </c>
      <c r="I11" s="0" t="s">
        <v>28</v>
      </c>
      <c r="J11" s="0" t="s">
        <v>28</v>
      </c>
      <c r="K11" s="2" t="b">
        <f aca="false">TRUE()</f>
        <v>1</v>
      </c>
      <c r="L11" s="2" t="b">
        <f aca="false">FALSE()</f>
        <v>0</v>
      </c>
      <c r="M11" s="2" t="b">
        <f aca="false">FALSE()</f>
        <v>0</v>
      </c>
      <c r="N11" s="2" t="b">
        <f aca="false">FALSE()</f>
        <v>0</v>
      </c>
    </row>
    <row r="12" customFormat="false" ht="15" hidden="false" customHeight="false" outlineLevel="0" collapsed="false">
      <c r="A12" s="0" t="s">
        <v>63</v>
      </c>
      <c r="B12" s="0" t="s">
        <v>64</v>
      </c>
      <c r="C12" s="0" t="s">
        <v>65</v>
      </c>
      <c r="D12" s="0" t="s">
        <v>19</v>
      </c>
      <c r="E12" s="0" t="s">
        <v>19</v>
      </c>
      <c r="F12" s="0" t="n">
        <v>5</v>
      </c>
      <c r="G12" s="0" t="s">
        <v>66</v>
      </c>
      <c r="H12" s="2" t="b">
        <f aca="false">TRUE()</f>
        <v>1</v>
      </c>
      <c r="I12" s="0" t="s">
        <v>21</v>
      </c>
      <c r="J12" s="0" t="s">
        <v>21</v>
      </c>
      <c r="K12" s="2" t="b">
        <f aca="false">TRUE()</f>
        <v>1</v>
      </c>
      <c r="L12" s="2" t="b">
        <f aca="false">TRUE()</f>
        <v>1</v>
      </c>
      <c r="M12" s="2" t="b">
        <f aca="false">FALSE()</f>
        <v>0</v>
      </c>
      <c r="N12" s="2" t="b">
        <f aca="false">FALSE()</f>
        <v>0</v>
      </c>
    </row>
    <row r="13" customFormat="false" ht="15" hidden="false" customHeight="false" outlineLevel="0" collapsed="false">
      <c r="A13" s="0" t="s">
        <v>67</v>
      </c>
      <c r="B13" s="0" t="s">
        <v>68</v>
      </c>
      <c r="C13" s="0" t="s">
        <v>69</v>
      </c>
      <c r="D13" s="0" t="s">
        <v>19</v>
      </c>
      <c r="E13" s="0" t="s">
        <v>19</v>
      </c>
      <c r="F13" s="0" t="n">
        <v>5</v>
      </c>
      <c r="G13" s="0" t="s">
        <v>70</v>
      </c>
      <c r="H13" s="2" t="b">
        <f aca="false">TRUE()</f>
        <v>1</v>
      </c>
      <c r="I13" s="0" t="s">
        <v>71</v>
      </c>
      <c r="J13" s="0" t="s">
        <v>71</v>
      </c>
      <c r="K13" s="2" t="b">
        <f aca="false">TRUE()</f>
        <v>1</v>
      </c>
      <c r="L13" s="2" t="b">
        <f aca="false">TRUE()</f>
        <v>1</v>
      </c>
      <c r="M13" s="2" t="b">
        <f aca="false">FALSE()</f>
        <v>0</v>
      </c>
      <c r="N13" s="2" t="b">
        <f aca="false">TRUE()</f>
        <v>1</v>
      </c>
    </row>
    <row r="14" customFormat="false" ht="15" hidden="false" customHeight="false" outlineLevel="0" collapsed="false">
      <c r="A14" s="0" t="s">
        <v>72</v>
      </c>
      <c r="B14" s="0" t="s">
        <v>73</v>
      </c>
      <c r="C14" s="0" t="s">
        <v>74</v>
      </c>
      <c r="D14" s="0" t="s">
        <v>25</v>
      </c>
      <c r="E14" s="0" t="s">
        <v>25</v>
      </c>
      <c r="F14" s="0" t="n">
        <v>5</v>
      </c>
      <c r="G14" s="0" t="s">
        <v>75</v>
      </c>
      <c r="H14" s="2" t="b">
        <f aca="false">TRUE()</f>
        <v>1</v>
      </c>
      <c r="I14" s="0" t="s">
        <v>28</v>
      </c>
      <c r="J14" s="0" t="s">
        <v>28</v>
      </c>
      <c r="K14" s="2" t="b">
        <f aca="false">TRUE()</f>
        <v>1</v>
      </c>
      <c r="L14" s="2" t="b">
        <f aca="false">FALSE()</f>
        <v>0</v>
      </c>
      <c r="M14" s="2" t="b">
        <f aca="false">FALSE()</f>
        <v>0</v>
      </c>
      <c r="N14" s="2" t="b">
        <f aca="false">FALSE()</f>
        <v>0</v>
      </c>
    </row>
    <row r="15" customFormat="false" ht="15" hidden="false" customHeight="false" outlineLevel="0" collapsed="false">
      <c r="A15" s="0" t="s">
        <v>76</v>
      </c>
      <c r="B15" s="0" t="s">
        <v>77</v>
      </c>
      <c r="C15" s="0" t="s">
        <v>78</v>
      </c>
      <c r="D15" s="0" t="s">
        <v>19</v>
      </c>
      <c r="E15" s="0" t="s">
        <v>19</v>
      </c>
      <c r="F15" s="0" t="n">
        <v>4</v>
      </c>
      <c r="G15" s="0" t="s">
        <v>79</v>
      </c>
      <c r="H15" s="2" t="b">
        <f aca="false">TRUE()</f>
        <v>1</v>
      </c>
      <c r="I15" s="0" t="s">
        <v>71</v>
      </c>
      <c r="J15" s="0" t="s">
        <v>21</v>
      </c>
      <c r="K15" s="3" t="b">
        <f aca="false">FALSE()</f>
        <v>0</v>
      </c>
      <c r="L15" s="2" t="b">
        <f aca="false">TRUE()</f>
        <v>1</v>
      </c>
      <c r="M15" s="2" t="b">
        <f aca="false">FALSE()</f>
        <v>0</v>
      </c>
      <c r="N15" s="2" t="b">
        <f aca="false">FALSE()</f>
        <v>0</v>
      </c>
      <c r="P15" s="0" t="s">
        <v>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81</v>
      </c>
      <c r="B1" s="0" t="s">
        <v>82</v>
      </c>
      <c r="C1" s="0" t="s">
        <v>83</v>
      </c>
    </row>
    <row r="2" customFormat="false" ht="15" hidden="false" customHeight="false" outlineLevel="0" collapsed="false">
      <c r="A2" s="0" t="s">
        <v>84</v>
      </c>
      <c r="B2" s="0" t="s">
        <v>85</v>
      </c>
      <c r="C2" s="0" t="n">
        <v>14</v>
      </c>
    </row>
    <row r="3" customFormat="false" ht="15" hidden="false" customHeight="false" outlineLevel="0" collapsed="false">
      <c r="A3" s="0" t="s">
        <v>86</v>
      </c>
      <c r="B3" s="0" t="s">
        <v>87</v>
      </c>
      <c r="C3" s="0" t="n">
        <v>14</v>
      </c>
    </row>
    <row r="4" customFormat="false" ht="15" hidden="false" customHeight="false" outlineLevel="0" collapsed="false">
      <c r="A4" s="0" t="s">
        <v>88</v>
      </c>
      <c r="B4" s="0" t="s">
        <v>87</v>
      </c>
      <c r="C4" s="0" t="n">
        <v>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2026-06-10T16:51:35Z</dcterms:created>
  <dc:creator>openpyxl</dc:creator>
  <dc:description/>
  <dc:language>en-GB</dc:language>
  <cp:lastModifiedBy/>
  <dcterms:modified xsi:type="dcterms:W3CDTF">2026-06-10T18:01:44Z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