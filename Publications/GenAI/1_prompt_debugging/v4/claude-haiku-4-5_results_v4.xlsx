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<sst xmlns="http://schemas.openxmlformats.org/spreadsheetml/2006/main" count="168" uniqueCount="107">
  <si>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</si>
  <si>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</si>
  <si>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</si>
  <si>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</si>
  <si>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</si>
  <si>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</si>
  <si>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</si>
  <si>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</si>
  <si>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</si>
  <si>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</si>
  <si>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</si>
  <si>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</si>
  <si>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</si>
  <si>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</si>
  <si>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Manual review notes for scope</t>
  </si>
  <si>
    <t xml:space="preserve">pub.1193443783</t>
  </si>
  <si>
    <t xml:space="preserve">Proliferation and metabolic activity of the Atlantic sturgeon cell line AOXlar7y under short-term serum-reduced conditions, and the effect of stimulation with growth factors and cytokines</t>
  </si>
  <si>
    <t xml:space="preserve">Introduction: Fish cell lines represent a powerful tool for studying the biology and toxicology of aquatic species in compliance with the 3Rs principles. In addition, they hold potential for more advanced biotechnological applications. However, fish cell cultures are mainly cultivated with fetal bovine serum. Therefore, in this study, we investigated the impact of serum reduction and the effects of six growth factors and cytokines on a sturgeon larval cell line (AOXla7y), which has been previously proven to be a valuable model for climate change and toxicology studies.
Methods: The serum reduction (from 10% to 5% and 2%) and the addition of two concentrations (10 and 50 ng/mL) of six growth factors and cytokines (FGF-2, IGF-1, LIF, IFN-γ, IL-13, and IL-15) to the 2% serum growth medium were evaluated over 6 days of cultivation. The morphology and cell density were determined using phasecontrast images after the experiment ended, while real-time label-free cell impedance (xCELLigence) was recorded throughout the cultivation period. Moreover, the end-point oxygen consumption in basal and uncoupled respiration conditions was analyzed with the Seahorse XF Cell Mito Stress Test Kit.
Results: The results demonstrated a general adaptation of the sturgeon cell line to a serum-reduced environment and the modulatory effects of growth factor and cytokine supplementation on cell growth and metabolism.
Discussion: These findings suggest that the sturgeon cell line has the potential to transition to a serumfree medium without major observed morphological modifications and with a limited reduction in proliferation. Its metabolism was differentially modulated by the signaling of growth factors and cytokines and exhibited a variable metabolic phenotype under mitochondrial stress. This study provides a characterization of the Atlantic sturgeon cell metabolism and offers a preliminary assessment for developing an animal-free and chemically defined medium.</t>
  </si>
  <si>
    <t xml:space="preserve">in</t>
  </si>
  <si>
    <t xml:space="preserve">out</t>
  </si>
  <si>
    <t xml:space="preserve">This publication concerns fish cell culture optimization for toxicology and climate change research, not the development of alternative proteins for human food; the stated applications are basic research and toxicology studies, with no mention of food production or animal protein substitution.</t>
  </si>
  <si>
    <t xml:space="preserve">CM</t>
  </si>
  <si>
    <t xml:space="preserve">NA</t>
  </si>
  <si>
    <t xml:space="preserve">pub.1189767013</t>
  </si>
  <si>
    <t xml:space="preserve">Keeping an eye on alginate: innovations and opportunities for sustainable production and diverse applications</t>
  </si>
  <si>
    <t xml:space="preserve">Alginate is a biocompatible, biodegradable, brown seaweed polysaccharide with diverse techno-functional properties. However, growing environmental concerns are driving the need for more sustainable alginate extraction methods. Novel methods such as ultrasound-assisted extraction, microwave-assisted extraction and subcritical water extraction among others, have attracted significant attention by improving polysaccharide yields and addressing current production bottlenecks i.e., extraction time, solvent consumption and energy demand. These technologies used individually or in combination with novel solvents (food grade solvents, ionic liquids, deep eutectic solvents), offer promising environmentally friendly and food-grade alternatives. Large-scale optimised methods utilising these innovative methods remain underexplored. In addition, pre-treatment strategies utilising green protocols could improve alginate yields and properties. This narrative review aims to examine conventional alginate processing alongside emerging technologies and solvents to enhance extraction efficiency and functional properties. It explores the advantages as well as disadvantages of these approaches such as cost and scalability. Challenges for future uses of alginates are also discussed i.e., mechanical and biological. By deepening our understanding of these properties future research could unlock innovative applications, with cultivated meat offering a novel and promising direction.</t>
  </si>
  <si>
    <t xml:space="preserve">This review focuses on alginate extraction methods and processing technologies with only a speculative mention of cultivated meat as a potential future application, making alginate production the primary focus rather than alternative protein development or characterization.</t>
  </si>
  <si>
    <t xml:space="preserve">pub.1193123540</t>
  </si>
  <si>
    <t xml:space="preserve">Intercropping traditional pea varieties with faba bean produces grain yields similar to pure stands of modern varieties in organic agriculture</t>
  </si>
  <si>
    <t xml:space="preserve">Although being a historical farming practise, little research has been performed on intercropping pea with faba bean, and no study has previously tested traditional varieties in this species combination. To evaluate the influence of variety and seeding ratio on grain yield in pea-faba bean intercropping, a field experiment was conducted over three years (2021–2023) under organic management in southern Sweden. The experiment included a set of three faba bean varieties, and nine traditional and one modern pea variety. Total yield (sum of both species) of the intercrops with traditional pea varieties varied from around 0.44 to 4.9 t ha−1 across all years and treatments, and several of the intercrop combinations were as productive as pure stands of modern varieties (both species). When compared in intercropping, some traditional pea varieties produced higher pea yield than the modern variety. There was a big difference among pea varieties in their competitiveness toward the intercropped faba bean. By using traditional varieties, it was possible to find matching maturity times and segregating seed sizes between the two species. Intercropping did generally not influence time to pod maturity or seed size. Traditional pea varieties suffered from severe lodging in pure stands and gained improved standing ability when intercropped with faba bean. This study has shown that intercropping pea with faba bean can facilitate the production of traditional pea varieties that lack proper standing ability on their own; however, different varieties require different seeding ratios for optimal performance.</t>
  </si>
  <si>
    <t xml:space="preserve">This agronomic research on pea and faba bean intercropping is in scope because both are high-protein crops used as alternative protein feedstocks, and the study directly addresses optimizing their production for use in alternative protein applications through variety selection and agronomic practices.</t>
  </si>
  <si>
    <t xml:space="preserve">PB</t>
  </si>
  <si>
    <t xml:space="preserve">pub.1186250605</t>
  </si>
  <si>
    <t xml:space="preserve">Changing Food in a Changing World: Assessing Compliance to Insects, Cultivated Meat, and Soil-Less Products Among Italian Undergraduates</t>
  </si>
  <si>
    <t xml:space="preserve">Background/Objectives: In recent decades, the need for sustainable alternatives to traditional foods for the global population has become urgent. To this aim, edible insects, cultivated meat, and vegetables produced through soil-less farming have been proposed. This cross-sectional study was aimed at exploring willingness to eat these novel foods and its possible correlates in young Italian adults. Methods: An electronic questionnaire was administered to the student populations of 13 universities throughout the Italian territory. Results: The results show that insects and cultivated meat were widely acknowledged as possible food, while soil-free cultivation seems to be less known. Indeed, the percentage of participants who have heard of insects, cultivated meat, and soil-free cultivation was respectively equal to 91.5%, 84.7%, and 32.9%. However, the majority of respondents were uncertain about the sustainability of all the proposed products (52.6% for insects, 39.5% for cultivated meat, and 58.0% for soil-free cultivation, respectively), and the propensity to try and eat insects (9.5%) was lower than that declared for synthetic meat (22.8%) and products from soil-free cultivation (19.2%). However, the regression analysis showed that the propensity to eat these foods regularly is positively related to the confidence in their sustainability (p &lt; 0.001). Willingness to try each of the proposed foods positively correlated with that declared for the others (p &lt; 0.001). Conclusions: These findings highlight the need to implement interventions aimed at increasing awareness about the use of these products as alternatives to less sustainable foods and the importance of identifying consumer groups to which these interventions should be addressed.</t>
  </si>
  <si>
    <t xml:space="preserve">While cultivated meat is mentioned, the publication's primary focus is consumer acceptance and willingness to eat novel foods including insects (explicitly excluded), soil-less vegetables (not alternative proteins), and cultivated meat; the substantive content concerns broad dietary acceptance rather than advancing alternative protein development, characterisation, or understanding, making it primarily a general food acceptance study rather than alternative protein research.</t>
  </si>
  <si>
    <t xml:space="preserve">Concerning that it thinks I excluded consumer acceptance?</t>
  </si>
  <si>
    <t xml:space="preserve">pub.1184676351</t>
  </si>
  <si>
    <t xml:space="preserve">Fermentation of a wine pomace and microalgae blend to synergistically enhance the functional value of protein- and polyphenol-rich matrices</t>
  </si>
  <si>
    <t xml:space="preserve">This study aimed to generate new functional ingredients from microalgae and wine pomace through starter-assisted fermentation. Five lactic acid bacteria (LAB) and five yeasts were variously chosen for their species diversity, origin, and metabolic potential. During fermentation, the combination of Chlorella vulgaris and wine pomace overcame the limited growth observed in pomace substrate, with all LAB and yeasts effectively utilizing sugars and synthesizing microbial metabolites. Additionally, the synergistic interplay between the substrates, alongside the enzyme specificity of the starter cultures, improved the bioavailability of phenolic compounds, particularly flavanols, flavonols, and procyanidins, while simultaneously generating unique peptides in the formulated ingredients. In some cases, these metabolic changes were associated with enhanced antioxidant activity, improved protein digestibility, and overall protein quality. Our findings highlighted the potential of fermented mixed substrates as new functional ingredients, with promising health-promoting benefits and significant potential for applications in the food industry.</t>
  </si>
  <si>
    <t xml:space="preserve">The publication develops fermented functional ingredients from microalgae and plant biomass (wine pomace) with explicit focus on protein quality, digestibility, and peptide generation for food applications, meeting criteria for both plant-based (pomace) and fermentation (microalgae biomass and LAB/yeast fermentation) categories.</t>
  </si>
  <si>
    <t xml:space="preserve">CC</t>
  </si>
  <si>
    <t xml:space="preserve">pub.1185271743</t>
  </si>
  <si>
    <t xml:space="preserve">Toward consumer-focused food policies: a toolbox for encouraging the protein transition</t>
  </si>
  <si>
    <t xml:space="preserve">In transitioning toward consuming more sustainable diets, it is of great importance to eat less animal-based foods. Particularly shifting to diets lower in meat is key. For several decades, numerous scholars and authoritative organizations have advocated for such a change that is less harmful to human and planetary health. Yet the large body of scientific evidence and the urgent calls for action have been largely neglected in food policymaking despite the increasing impact of climate change and escalating healthcare costs. A first and relatively minor break with this willful ignorance can be observed in the Netherlands, where the Ministry of Agriculture, Nature, and Food Quality has communicated the need for rebalancing the consumption ratio between plant-based and animal-based proteins by 2030. This innovative policy statement on modifying food-consumption patterns is taken as a starting point. In anticipation of further steps in this direction, this article presents a suite of policy instruments and strategies to give substance to demand-side protein policies that are conducive to moderating consumers’ (over-)abundant intake of meat. This overview of policy measures includes conventional and controversial ones, taking the Nuffield intervention ladder as its framework. The novel policy toolbox introduced in this study intends to help muster courage for the development and implementation of consumer-targeted policy interventions to move away from meat-intensive diets.</t>
  </si>
  <si>
    <t xml:space="preserve">This publication explicitly addresses policy strategies to encourage the protein transition from animal-based to plant-based proteins, which is substantive socioeconomic research on alternative proteins with specific focus on consumer acceptance and policy implementation for plant-based protein adoption.</t>
  </si>
  <si>
    <t xml:space="preserve">pub.1190672497</t>
  </si>
  <si>
    <t xml:space="preserve">Consumer Insights Tracker End of Year Report (Insights From April 2024 to March 2025)</t>
  </si>
  <si>
    <t xml:space="preserve">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</si>
  <si>
    <t xml:space="preserve">This is a general consumer attitudes and food safety tracking survey with only incidental mention of cultivated meat as one awareness metric among many unrelated food concerns; it does not substantively research alternative proteins, their development, characterisation, or acceptance in ways that advance the field.</t>
  </si>
  <si>
    <t xml:space="preserve">I can see the issue but not sure I can fix it… More edge case.</t>
  </si>
  <si>
    <t xml:space="preserve">pub.1192751374</t>
  </si>
  <si>
    <t xml:space="preserve">Processing a maize germ side stream: de-oiling as key to dry fractionation and foam stability</t>
  </si>
  <si>
    <t xml:space="preserve">Maize grain processing usually starts with degerming to lower its oil content. The created maize germ-enriched fraction (MGF) represents up to 15 % of the kernel mass. Oil recovered from the MGF is valuable, but the non-oil fraction is underutilized. We separated MGF (14 % protein, 40 % starch, 18 % oil; db) into enriched fractions via dry processing, and reflect on the energy efficiency in combination with additional aqueous extraction. Dry fractionation requires mechanical pressing and oil extraction with hexane or food-safe 2-methyltetrahydrofuran, which yields cakes having residual oil contents of 0.4 w/dw% or 3.1 w/dw%, respectively. Both cakes could be milled, and air classification enriched protein in the fine fraction from 19 % to 27 % by deflecting larger starch granules. The protein yield relative to MGF was 15 %, mainly due to milling losses. CLSM revealed the protein to be in a fibrous matrix, hence it was not enriched further by electrostatic separation. Due to the moderate protein contents and yields, aqueous protein extraction was more energy efficient from de-oiled flour than from fine fractions. Extracts from hexane-processed fractions foamed better than whey protein at 0.5 mg protein/mL. Processing with 2-methyltetrahydrofuran did not enable stable foaming, which requires optimization towards lower residual oil contents.</t>
  </si>
  <si>
    <t xml:space="preserve">While the publication addresses protein from maize, a plant source, the primary focus is on processing a side stream (maize germ) for oil recovery and general fractionation, with protein as an incidental component; the stated application is foam stability rather than developing maize protein as an alternative protein ingredient to substitute animal proteins in human food products.</t>
  </si>
  <si>
    <t xml:space="preserve">Likely out of scope though more edge case</t>
  </si>
  <si>
    <t xml:space="preserve">pub.1184367118</t>
  </si>
  <si>
    <t xml:space="preserve">We are a family! Exploring flexitarian households’ meat reduction practices</t>
  </si>
  <si>
    <t xml:space="preserve">It is widely accepted that the (over)consumption of meat is negatively linked to environmental problems and public health issues, yet research shows that actual meat consumption remains (too) high. While most research related to the protein transition focuses on consumers' motivations, perceptions and acceptance towards plant-based meat alternatives, a clear need arises to extensively study the context in which (plant-based) meals are consumed. In this research, a generative research approach was applied to extend knowledge on flexitarian households' meat reduction practices. Participants (n = 30) from different household types completed assignments with their household members to reflect on their households' meat consumption and reduction practices over the course of a full week. After this sensitizing week, participants were interviewed about their meat reduction practices. Results show that participants high in cooking skills and interest are searching for, or have developed, a practice of reformulating their meals into 'complete' or 'authentic' vegetarian meals which entails a different culinary experience compared to meat-based meals. They usually avoided meat analogues, and used products such as pulses, cheeses, nuts and herbs to create tasty and satiating 'complete' vegetarian meals. However, participants with less available resources like time and skills used meat analogues as convenient replacers of meat. Partners and children had a strong influence on the households' formation of meat reduction practices, as their preferences resulted in compromises regarding the households' meat consumption frequency and types of meals consumed. In conclusion, this research provides unique insights into flexitarian households' meat reduction practices, and fuels the discussion on the role of meat analogues and the consumers' need for 'complete' and 'authentic' vegetarian meal experiences.</t>
  </si>
  <si>
    <t xml:space="preserve">This qualitative study explicitly examines flexitarian households' meat reduction practices and consumer acceptance of plant-based meat alternatives, including their use and perception of meat analogues, which directly addresses alternative protein acceptance and consumer behaviour—a core in-scope socioeconomic research area.</t>
  </si>
  <si>
    <t xml:space="preserve">pub.1193249719</t>
  </si>
  <si>
    <t xml:space="preserve">Evaluating Scale-Up Cultivation Modes for Aspergillus oryzae Biomass Production Using VFA-Rich Effluents from Agro-Industrial Residues</t>
  </si>
  <si>
    <t xml:space="preserve">Organic-waste-derived volatile fatty acids (VFAs) are promising substrates for fungal biomass cultivation, offering a nutrient-rich medium capable of meeting microbial growth requirements. However, the growth and biomass productivity are highly influenced by the VFAs' composition and mode of operation. This study investigated the cultivation of Aspergillus oryzae fungal biomass using agro-industrial-derived VFA effluent, employing repeated-batch and fed-batch (stepwise and continuous-feeding) cultivation modes to evaluate fungal growth and biomass composition. The highest dry biomass yield of 0.41 dry biomass/gVFAsfed (g/g) was achieved in fed-batch mode with continuous feeding, where the biomass exhibited pellet morphology, facilitating ease of harvesting. The crude protein content varied according to the cultivation strategy, reaching 45-53% in continuous-feeding fed-batch mode, while it was 34-42% in stepwise fed-batch mode. Additionally, the fungal biomass contained significant levels of essential macronutrients and trace elements, including Mg, Ca, K, Mn, and Fe, which are crucial if the biomass is intended to be used in animal feed formulations. This study highlights the effects of cultivation modes on biomass composition and the potential of VFA-derived fungal biomass as a sustainable feed ingredient.</t>
  </si>
  <si>
    <t xml:space="preserve">The publication explicitly states the intended application is animal feed formulations, not human food, which is a clear exclusion criterion regardless of the fermentation-derived protein source.</t>
  </si>
  <si>
    <t xml:space="preserve">F</t>
  </si>
  <si>
    <t xml:space="preserve">pub.1192827486</t>
  </si>
  <si>
    <t xml:space="preserve">Transcriptome profiles for defining avian primordial germ cell development</t>
  </si>
  <si>
    <t xml:space="preserve">Avian biology has contributed to many research areas, such as sustainable protein production, endocrinology, developmental biology, neurosciences, and immunology. Primordial germ cells, lineage-restricted stem cells, are key for the conservation of genetic diversity of bird species, as well as for studying germ cell development and producing genetic models to study avian biology. Here, we review the current knowledge of developmental and fate decision processes in avian primordial germ cells focusing on insights revealed by gene expression profiling. We summarized the characteristics and fundamental pathways required for chicken primordial cell growth. In addition, we discuss the common and disparate features of PGCs from chicken compared to other avian species. These insights are valuable for researchers in germ cell biology, reproductive biotechnology, and avian genetic conservation and indicate a need for the analysis of further bird species.</t>
  </si>
  <si>
    <t xml:space="preserve">This publication focuses on avian primordial germ cell development and gene expression profiling for genetic conservation and reproductive biotechnology, with no stated application to alternative protein development or human food production.</t>
  </si>
  <si>
    <t xml:space="preserve">pub.1186661415</t>
  </si>
  <si>
    <t xml:space="preserve">Environmental mitigation potential of waste-to-nutrition pathways</t>
  </si>
  <si>
    <t xml:space="preserve">Processing underutilized bioresidues (for example, straw, manure and wood) into novel food and feed products such as fungi-based proteins, microbial proteins and insects represents ‘waste-to-nutrition’ pathways that are increasingly promoted to reduce the environmental impacts of food systems, including pressures on climate change, land and water resources. However, the actual environmental mitigation potential of this strategy depends on future technological advancements and contextual factors, which remain uncertain. Here we compare five conventional bioresidue valorization pathways with insect farming, microbial conversion and protein extraction by simulating their life-cycle assessment across 8,820 combinations of future process efficiencies, 9 food and energy systems scenarios and 11 representative bioresidues across France. Overall, processing bioresidues into novel ingredients is competitive only in certain conditions. These include access to decarbonized energy, substantial technological advancements and scenarios where novel ingredients replace meat rather than animal feed. The microbial conversion of woody residues, manure and sludge into feed will constitute the more sustainable valorization strategy only in contexts where current demand for animal-based food is maintained. However, the sustainability of this scenario must still be further appraised in terms of scaling these systems to a broader level.</t>
  </si>
  <si>
    <t xml:space="preserve">While the publication discusses microbial proteins and fermentation-derived products, the primary focus is on life-cycle assessment and environmental mitigation potential across multiple valorization pathways, with explicit inclusion of insect-based proteins (an exclusion category) and feed applications; the alternative protein development itself is not the substantive focus, making this primarily an environmental/LCA study rather than research advancing alternative protein development or characterization.</t>
  </si>
  <si>
    <t xml:space="preserve">Again, struggling to get the LLM to include socioeconomic / environmental stuff</t>
  </si>
  <si>
    <t xml:space="preserve">pub.1191677996</t>
  </si>
  <si>
    <t xml:space="preserve">An in vitro study exploring the role of mucin in the protein-flavor binding mechanism</t>
  </si>
  <si>
    <t xml:space="preserve">In the mouth, food flavors interact with salivary proteins like mucin, which protects mucosal surfaces and influences the rate of aroma release. The role of mucin in the protein-flavor binding mechanism was evaluated in a model system in vitro using GC-MS. The number of binding sites (n) and binding constants (K) of commercial food protein isolates (PIs) and carbonyl compounds were calculated using Klotz plots. Results suggested a linear relationship between PIs and carbonyl compounds, where K increased with the flavor chain length, and n ranged from n = 0.021 to 7.194. Mucin addition to flavor-protein systems increased flavor binding up to fifteen times. At 0.01(w/v)% mucin, structural changes enhanced flavor binding. At higher mucin levels, further unfolding leads to aggregation, restricting access of the flavor molecules to the binding sites. These results confirmed the role of flavor structural characteristics and mucin on flavor binding, essential for optimal food design.</t>
  </si>
  <si>
    <t xml:space="preserve">This publication focuses on flavor-protein binding mechanisms in a general food science context with no stated or implied application to alternative protein product development or substitution for animal proteins.</t>
  </si>
  <si>
    <t xml:space="preserve">pub.1196064670</t>
  </si>
  <si>
    <t xml:space="preserve">CIPROMED: building resilient and circular protein systems for the Mediterranean</t>
  </si>
  <si>
    <t xml:space="preserve">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</si>
  <si>
    <t xml:space="preserve">While the abstract mentions legumes, microalgae, and fermentation as protein sources, the primary focus is on circular agri-food systems and feed ingredients rather than alternative proteins for human food substitution; insect proteins are explicitly excluded, and the emphasis on feed ingredients and soil enrichment suggests a broader sustainability agenda rather than development of alternative protein products for human consumption.</t>
  </si>
  <si>
    <t xml:space="preserve">Again, struggling with conflict between exclusions and everything else.</t>
  </si>
  <si>
    <t xml:space="preserve">pub.1184344359</t>
  </si>
  <si>
    <t xml:space="preserve">Chitosan-zinc oxide thyme oil-based edible antimicrobial hydrogel coatings: application on pork and tofu sausages</t>
  </si>
  <si>
    <t xml:space="preserve">Abstract Chitosan (CS), zinc oxide (ZnO), and essential oils have been widely researched for their potential in food packaging and preservation due to their ability to extend shelf-life. This study examined the effects of CS-poly-vinyl alcohol-based (CS/PVOH) hydrogel coatings on the microbiological quality and shelf-life of pork and tofu sausages. The hydrogel coatings included ZnO grown on montmorillonite (MT) (ZnO@NaMt) and thyme oil adsorbed in organically modified MT (TO@OrgMt) nanohybrids dispersed in a CS/PVOH-based composite. The sausages were analysed for mesophilic, psychrotrophic, and lactic acid bacteria (LAB). Statistical tests were employed to assess the differences between groups. Pork sausages’ shelf-life was extended to 10 and 20 days for CS/PVOH/ZnO@NaMt, CS/PVOH/TO@OrgMt, and for pure CS, CS/PVOH coated samples, respectively. The bacteriostatic effect of CS/PVOH/ZnO@NaMt, CS/PVOH/TO@OrgMt, and CS/PVOH hydrogel coatings was observed after the 20th day. Mesophilic and psychrotrophic bacteria counts decreased, and tofu sausages’ shelf-life was also prolonged, indicating the coatings’ ability to extend shelf-life.</t>
  </si>
  <si>
    <t xml:space="preserve">This publication focuses on food packaging and preservation technology applied to conventional animal products (pork sausages) and a general food product (tofu sausages), with no substantive engagement with alternative protein development, characterization, or optimization as a primary objective.</t>
  </si>
  <si>
    <t xml:space="preserve">pub.1183660277</t>
  </si>
  <si>
    <t xml:space="preserve">Use of a coaxial nozzle-assisted 3D printing and ionic crosslinking to control the texture of a mycoprotein-based food product</t>
  </si>
  <si>
    <t xml:space="preserve">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</si>
  <si>
    <t xml:space="preserve">While the publication uses mycoprotein (Aspergillus oryzae biomass), a fermentation-derived protein, the primary focus is on 3D printing technology and texture engineering for medical nutrition (dysphagia management), which is explicitly excluded as a stated use case for vulnerable populations rather than as a general alternative protein product substitute.</t>
  </si>
  <si>
    <t xml:space="preserve">pub.1186213546</t>
  </si>
  <si>
    <t xml:space="preserve">Impact of Vegan and Vegetarian Diets on Neurological Health: A Critical Review</t>
  </si>
  <si>
    <t xml:space="preserve">BACKGROUND/OBJECTIVES: The global shift towards vegan and vegetarian diets has garnered attention for their ethical, environmental, and potential health benefits. These diets are often rich in phytonutrients and antioxidants, which have been associated with lower levels of inflammatory markers, such as C-reactive protein (CRP) and interleukin-6 (IL-6), suggesting a potential protective effect against systemic inflammation and oxidative stress. However, despite these benefits, concerns remain regarding their impact on neurological health due to the possible deficiencies of critical nutrients such as vitamin B12, DHA, EPA, and iron. This review critically evaluates the influence of these dietary patterns on neurological outcomes, emphasizing their nutritional composition, potential deficiencies, and their interplay with inflammation and oxidative stress.
METHODS: A systematic review of the literature published between 2010 and 2023 was conducted, focusing on studies that explore the relationship between vegan and vegetarian diets and neurological health. Key nutrients such as vitamin B12, omega-3 fatty acids, iron, and zinc were analyzed alongside antinutritional factors and their effects on the nervous system.
RESULTS: Evidence suggests that vegan and vegetarian diets, when well planned, can be rich in phytonutrients and antioxidants, which have been associated with lower levels of inflammatory markers, such as C-reactive protein (CRP) and interleukin-6 (IL-6). These findings indicate a potential role in reducing systemic inflammation and oxidative stress, both of which are linked to neurodegenerative diseases. However, deficiencies in critical nutrients such as vitamin B12, DHA, EPA, and iron have been consistently associated with an increased risk of cognitive decline, mood disturbances, and neurodegenerative disorders. Additionally, the presence of antinutritional factors like phytates and oxalates may further impair nutrient absorption, necessitating careful dietary planning and supplementation.
CONCLUSIONS: While plant-based diets provide anti-inflammatory and antioxidant benefits, their neurological implications depend on nutrient adequacy. Proper planning, supplementation, and food preparation techniques are essential to mitigate risks and enhance cognitive health. Further research is needed to explore long-term neurological outcomes and optimize dietary strategies.</t>
  </si>
  <si>
    <t xml:space="preserve">This is a broad dietary health outcomes review comparing vegan and vegetarian diets to neurological health, not research on alternative protein development, characterization, or acceptance; it lacks focus on alternative protein ingredients, products, or their production processes.</t>
  </si>
  <si>
    <t xml:space="preserve">= previously determined as out of scope, so LLM is actually correct.</t>
  </si>
  <si>
    <t xml:space="preserve">I edited the prompt to hopefully take less weight from exclusions</t>
  </si>
  <si>
    <t xml:space="preserve">and to increase visibility for socioeconomic research</t>
  </si>
  <si>
    <t xml:space="preserve">metric</t>
  </si>
  <si>
    <t xml:space="preserve">value</t>
  </si>
  <si>
    <t xml:space="preserve">n</t>
  </si>
  <si>
    <t xml:space="preserve">scope_accuracy</t>
  </si>
  <si>
    <t xml:space="preserve">24%</t>
  </si>
  <si>
    <t xml:space="preserve">pillar_accuracy</t>
  </si>
  <si>
    <t xml:space="preserve">18%</t>
  </si>
  <si>
    <t xml:space="preserve">pillar_accuracy_both_in_scope</t>
  </si>
  <si>
    <t xml:space="preserve">75%</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</si>
</sst>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81D41A"/>
        <bgColor rgb="FF969696"/>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29" activeCellId="0" sqref="J29"/>
    </sheetView>
  </sheetViews>
  <sheetFormatPr defaultColWidth="8.34375" defaultRowHeight="15" customHeight="false" zeroHeight="false" outlineLevelRow="0" outlineLevelCol="0"/>
  <cols>
    <col collapsed="false" customWidth="true" hidden="false" outlineLevel="0" max="15" min="15" style="0" width="19.64"/>
  </cols>
  <sheetData>
    <row r="1" customFormat="false" ht="45.1"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1" t="s">
        <v>14</v>
      </c>
    </row>
    <row r="2" customFormat="false" ht="45.1" hidden="false" customHeight="false" outlineLevel="0" collapsed="false">
      <c r="A2" s="0" t="s">
        <v>15</v>
      </c>
      <c r="B2" s="0" t="s">
        <v>16</v>
      </c>
      <c r="C2" s="2" t="s">
        <v>17</v>
      </c>
      <c r="D2" s="0" t="s">
        <v>18</v>
      </c>
      <c r="E2" s="0" t="s">
        <v>19</v>
      </c>
      <c r="F2" s="0" t="n">
        <v>5</v>
      </c>
      <c r="G2" s="0" t="s">
        <v>20</v>
      </c>
      <c r="H2" s="3" t="b">
        <f aca="false">FALSE()</f>
        <v>0</v>
      </c>
      <c r="I2" s="0" t="s">
        <v>21</v>
      </c>
      <c r="J2" s="0" t="s">
        <v>22</v>
      </c>
      <c r="K2" s="4" t="b">
        <f aca="false">FALSE()</f>
        <v>0</v>
      </c>
      <c r="L2" s="4" t="b">
        <f aca="false">FALSE()</f>
        <v>0</v>
      </c>
      <c r="M2" s="4" t="b">
        <f aca="false">FALSE()</f>
        <v>0</v>
      </c>
      <c r="N2" s="4" t="b">
        <f aca="false">FALSE()</f>
        <v>0</v>
      </c>
    </row>
    <row r="3" customFormat="false" ht="15" hidden="false" customHeight="false" outlineLevel="0" collapsed="false">
      <c r="A3" s="0" t="s">
        <v>23</v>
      </c>
      <c r="B3" s="0" t="s">
        <v>24</v>
      </c>
      <c r="C3" s="0" t="s">
        <v>25</v>
      </c>
      <c r="D3" s="0" t="s">
        <v>18</v>
      </c>
      <c r="E3" s="0" t="s">
        <v>19</v>
      </c>
      <c r="F3" s="0" t="n">
        <v>4</v>
      </c>
      <c r="G3" s="0" t="s">
        <v>26</v>
      </c>
      <c r="H3" s="3" t="b">
        <f aca="false">FALSE()</f>
        <v>0</v>
      </c>
      <c r="I3" s="0" t="s">
        <v>21</v>
      </c>
      <c r="J3" s="0" t="s">
        <v>22</v>
      </c>
      <c r="K3" s="4" t="b">
        <f aca="false">FALSE()</f>
        <v>0</v>
      </c>
      <c r="L3" s="4" t="b">
        <f aca="false">FALSE()</f>
        <v>0</v>
      </c>
      <c r="M3" s="4" t="b">
        <f aca="false">FALSE()</f>
        <v>0</v>
      </c>
      <c r="N3" s="4" t="b">
        <f aca="false">FALSE()</f>
        <v>0</v>
      </c>
    </row>
    <row r="4" customFormat="false" ht="15" hidden="false" customHeight="false" outlineLevel="0" collapsed="false">
      <c r="A4" s="0" t="s">
        <v>27</v>
      </c>
      <c r="B4" s="0" t="s">
        <v>28</v>
      </c>
      <c r="C4" s="0" t="s">
        <v>29</v>
      </c>
      <c r="D4" s="0" t="s">
        <v>18</v>
      </c>
      <c r="E4" s="0" t="s">
        <v>18</v>
      </c>
      <c r="F4" s="0" t="n">
        <v>4</v>
      </c>
      <c r="G4" s="0" t="s">
        <v>30</v>
      </c>
      <c r="H4" s="4" t="b">
        <f aca="false">TRUE()</f>
        <v>1</v>
      </c>
      <c r="I4" s="0" t="s">
        <v>31</v>
      </c>
      <c r="J4" s="0" t="s">
        <v>31</v>
      </c>
      <c r="K4" s="4" t="b">
        <f aca="false">TRUE()</f>
        <v>1</v>
      </c>
      <c r="L4" s="4" t="b">
        <f aca="false">TRUE()</f>
        <v>1</v>
      </c>
      <c r="M4" s="4" t="b">
        <f aca="false">FALSE()</f>
        <v>0</v>
      </c>
      <c r="N4" s="4" t="b">
        <f aca="false">FALSE()</f>
        <v>0</v>
      </c>
    </row>
    <row r="5" customFormat="false" ht="15" hidden="false" customHeight="false" outlineLevel="0" collapsed="false">
      <c r="A5" s="0" t="s">
        <v>32</v>
      </c>
      <c r="B5" s="0" t="s">
        <v>33</v>
      </c>
      <c r="C5" s="0" t="s">
        <v>34</v>
      </c>
      <c r="D5" s="0" t="s">
        <v>18</v>
      </c>
      <c r="E5" s="0" t="s">
        <v>19</v>
      </c>
      <c r="F5" s="5" t="n">
        <v>2</v>
      </c>
      <c r="G5" s="0" t="s">
        <v>35</v>
      </c>
      <c r="H5" s="6" t="b">
        <f aca="false">FALSE()</f>
        <v>0</v>
      </c>
      <c r="I5" s="0" t="s">
        <v>21</v>
      </c>
      <c r="J5" s="0" t="s">
        <v>22</v>
      </c>
      <c r="K5" s="4" t="b">
        <f aca="false">FALSE()</f>
        <v>0</v>
      </c>
      <c r="L5" s="4" t="b">
        <f aca="false">FALSE()</f>
        <v>0</v>
      </c>
      <c r="M5" s="4" t="b">
        <f aca="false">FALSE()</f>
        <v>0</v>
      </c>
      <c r="N5" s="4" t="b">
        <f aca="false">FALSE()</f>
        <v>0</v>
      </c>
      <c r="O5" s="0" t="s">
        <v>36</v>
      </c>
    </row>
    <row r="6" customFormat="false" ht="15" hidden="false" customHeight="false" outlineLevel="0" collapsed="false">
      <c r="A6" s="0" t="s">
        <v>37</v>
      </c>
      <c r="B6" s="0" t="s">
        <v>38</v>
      </c>
      <c r="C6" s="0" t="s">
        <v>39</v>
      </c>
      <c r="D6" s="0" t="s">
        <v>18</v>
      </c>
      <c r="E6" s="0" t="s">
        <v>18</v>
      </c>
      <c r="F6" s="0" t="n">
        <v>5</v>
      </c>
      <c r="G6" s="0" t="s">
        <v>40</v>
      </c>
      <c r="H6" s="4" t="b">
        <f aca="false">TRUE()</f>
        <v>1</v>
      </c>
      <c r="I6" s="0" t="s">
        <v>41</v>
      </c>
      <c r="J6" s="0" t="s">
        <v>41</v>
      </c>
      <c r="K6" s="4" t="b">
        <f aca="false">TRUE()</f>
        <v>1</v>
      </c>
      <c r="L6" s="4" t="b">
        <f aca="false">TRUE()</f>
        <v>1</v>
      </c>
      <c r="M6" s="4" t="b">
        <f aca="false">TRUE()</f>
        <v>1</v>
      </c>
      <c r="N6" s="4" t="b">
        <f aca="false">FALSE()</f>
        <v>0</v>
      </c>
    </row>
    <row r="7" customFormat="false" ht="15" hidden="false" customHeight="false" outlineLevel="0" collapsed="false">
      <c r="A7" s="0" t="s">
        <v>42</v>
      </c>
      <c r="B7" s="0" t="s">
        <v>43</v>
      </c>
      <c r="C7" s="0" t="s">
        <v>44</v>
      </c>
      <c r="D7" s="0" t="s">
        <v>18</v>
      </c>
      <c r="E7" s="0" t="s">
        <v>18</v>
      </c>
      <c r="F7" s="0" t="n">
        <v>5</v>
      </c>
      <c r="G7" s="0" t="s">
        <v>45</v>
      </c>
      <c r="H7" s="4" t="b">
        <f aca="false">TRUE()</f>
        <v>1</v>
      </c>
      <c r="I7" s="0" t="s">
        <v>41</v>
      </c>
      <c r="J7" s="0" t="s">
        <v>31</v>
      </c>
      <c r="K7" s="4" t="b">
        <f aca="false">FALSE()</f>
        <v>0</v>
      </c>
      <c r="L7" s="4" t="b">
        <f aca="false">TRUE()</f>
        <v>1</v>
      </c>
      <c r="M7" s="4" t="b">
        <f aca="false">FALSE()</f>
        <v>0</v>
      </c>
      <c r="N7" s="4" t="b">
        <f aca="false">FALSE()</f>
        <v>0</v>
      </c>
    </row>
    <row r="8" customFormat="false" ht="15" hidden="false" customHeight="false" outlineLevel="0" collapsed="false">
      <c r="A8" s="0" t="s">
        <v>46</v>
      </c>
      <c r="B8" s="0" t="s">
        <v>47</v>
      </c>
      <c r="C8" s="0" t="s">
        <v>48</v>
      </c>
      <c r="D8" s="0" t="s">
        <v>18</v>
      </c>
      <c r="E8" s="0" t="s">
        <v>19</v>
      </c>
      <c r="F8" s="0" t="n">
        <v>5</v>
      </c>
      <c r="G8" s="0" t="s">
        <v>49</v>
      </c>
      <c r="H8" s="6" t="b">
        <f aca="false">FALSE()</f>
        <v>0</v>
      </c>
      <c r="I8" s="0" t="s">
        <v>21</v>
      </c>
      <c r="J8" s="0" t="s">
        <v>22</v>
      </c>
      <c r="K8" s="4" t="b">
        <f aca="false">FALSE()</f>
        <v>0</v>
      </c>
      <c r="L8" s="4" t="b">
        <f aca="false">FALSE()</f>
        <v>0</v>
      </c>
      <c r="M8" s="4" t="b">
        <f aca="false">FALSE()</f>
        <v>0</v>
      </c>
      <c r="N8" s="4" t="b">
        <f aca="false">FALSE()</f>
        <v>0</v>
      </c>
      <c r="O8" s="0" t="s">
        <v>50</v>
      </c>
    </row>
    <row r="9" customFormat="false" ht="15" hidden="false" customHeight="false" outlineLevel="0" collapsed="false">
      <c r="A9" s="0" t="s">
        <v>51</v>
      </c>
      <c r="B9" s="0" t="s">
        <v>52</v>
      </c>
      <c r="C9" s="0" t="s">
        <v>53</v>
      </c>
      <c r="D9" s="0" t="s">
        <v>18</v>
      </c>
      <c r="E9" s="0" t="s">
        <v>19</v>
      </c>
      <c r="F9" s="0" t="n">
        <v>4</v>
      </c>
      <c r="G9" s="0" t="s">
        <v>54</v>
      </c>
      <c r="H9" s="3" t="b">
        <f aca="false">FALSE()</f>
        <v>0</v>
      </c>
      <c r="I9" s="0" t="s">
        <v>31</v>
      </c>
      <c r="J9" s="0" t="s">
        <v>22</v>
      </c>
      <c r="K9" s="4" t="b">
        <f aca="false">FALSE()</f>
        <v>0</v>
      </c>
      <c r="L9" s="4" t="b">
        <f aca="false">FALSE()</f>
        <v>0</v>
      </c>
      <c r="M9" s="4" t="b">
        <f aca="false">FALSE()</f>
        <v>0</v>
      </c>
      <c r="N9" s="4" t="b">
        <f aca="false">FALSE()</f>
        <v>0</v>
      </c>
      <c r="O9" s="0" t="s">
        <v>55</v>
      </c>
    </row>
    <row r="10" customFormat="false" ht="15" hidden="false" customHeight="false" outlineLevel="0" collapsed="false">
      <c r="A10" s="0" t="s">
        <v>56</v>
      </c>
      <c r="B10" s="0" t="s">
        <v>57</v>
      </c>
      <c r="C10" s="0" t="s">
        <v>58</v>
      </c>
      <c r="D10" s="0" t="s">
        <v>18</v>
      </c>
      <c r="E10" s="0" t="s">
        <v>18</v>
      </c>
      <c r="F10" s="0" t="n">
        <v>4</v>
      </c>
      <c r="G10" s="0" t="s">
        <v>59</v>
      </c>
      <c r="H10" s="4" t="b">
        <f aca="false">TRUE()</f>
        <v>1</v>
      </c>
      <c r="I10" s="0" t="s">
        <v>31</v>
      </c>
      <c r="J10" s="0" t="s">
        <v>31</v>
      </c>
      <c r="K10" s="4" t="b">
        <f aca="false">TRUE()</f>
        <v>1</v>
      </c>
      <c r="L10" s="4" t="b">
        <f aca="false">TRUE()</f>
        <v>1</v>
      </c>
      <c r="M10" s="4" t="b">
        <f aca="false">FALSE()</f>
        <v>0</v>
      </c>
      <c r="N10" s="4" t="b">
        <f aca="false">FALSE()</f>
        <v>0</v>
      </c>
    </row>
    <row r="11" customFormat="false" ht="15" hidden="false" customHeight="false" outlineLevel="0" collapsed="false">
      <c r="A11" s="0" t="s">
        <v>60</v>
      </c>
      <c r="B11" s="0" t="s">
        <v>61</v>
      </c>
      <c r="C11" s="0" t="s">
        <v>62</v>
      </c>
      <c r="D11" s="0" t="s">
        <v>18</v>
      </c>
      <c r="E11" s="0" t="s">
        <v>19</v>
      </c>
      <c r="F11" s="0" t="n">
        <v>5</v>
      </c>
      <c r="G11" s="0" t="s">
        <v>63</v>
      </c>
      <c r="H11" s="3" t="b">
        <f aca="false">FALSE()</f>
        <v>0</v>
      </c>
      <c r="I11" s="0" t="s">
        <v>64</v>
      </c>
      <c r="J11" s="0" t="s">
        <v>22</v>
      </c>
      <c r="K11" s="4" t="b">
        <f aca="false">FALSE()</f>
        <v>0</v>
      </c>
      <c r="L11" s="4" t="b">
        <f aca="false">FALSE()</f>
        <v>0</v>
      </c>
      <c r="M11" s="4" t="b">
        <f aca="false">FALSE()</f>
        <v>0</v>
      </c>
      <c r="N11" s="4" t="b">
        <f aca="false">FALSE()</f>
        <v>0</v>
      </c>
    </row>
    <row r="12" customFormat="false" ht="15" hidden="false" customHeight="false" outlineLevel="0" collapsed="false">
      <c r="A12" s="0" t="s">
        <v>65</v>
      </c>
      <c r="B12" s="0" t="s">
        <v>66</v>
      </c>
      <c r="C12" s="0" t="s">
        <v>67</v>
      </c>
      <c r="D12" s="0" t="s">
        <v>18</v>
      </c>
      <c r="E12" s="0" t="s">
        <v>19</v>
      </c>
      <c r="F12" s="0" t="n">
        <v>5</v>
      </c>
      <c r="G12" s="0" t="s">
        <v>68</v>
      </c>
      <c r="H12" s="3" t="b">
        <f aca="false">FALSE()</f>
        <v>0</v>
      </c>
      <c r="I12" s="0" t="s">
        <v>21</v>
      </c>
      <c r="J12" s="0" t="s">
        <v>22</v>
      </c>
      <c r="K12" s="4" t="b">
        <f aca="false">FALSE()</f>
        <v>0</v>
      </c>
      <c r="L12" s="4" t="b">
        <f aca="false">FALSE()</f>
        <v>0</v>
      </c>
      <c r="M12" s="4" t="b">
        <f aca="false">FALSE()</f>
        <v>0</v>
      </c>
      <c r="N12" s="4" t="b">
        <f aca="false">FALSE()</f>
        <v>0</v>
      </c>
    </row>
    <row r="13" customFormat="false" ht="15" hidden="false" customHeight="false" outlineLevel="0" collapsed="false">
      <c r="A13" s="0" t="s">
        <v>69</v>
      </c>
      <c r="B13" s="0" t="s">
        <v>70</v>
      </c>
      <c r="C13" s="0" t="s">
        <v>71</v>
      </c>
      <c r="D13" s="0" t="s">
        <v>18</v>
      </c>
      <c r="E13" s="0" t="s">
        <v>19</v>
      </c>
      <c r="F13" s="0" t="n">
        <v>4</v>
      </c>
      <c r="G13" s="0" t="s">
        <v>72</v>
      </c>
      <c r="H13" s="6" t="b">
        <f aca="false">FALSE()</f>
        <v>0</v>
      </c>
      <c r="I13" s="0" t="s">
        <v>64</v>
      </c>
      <c r="J13" s="0" t="s">
        <v>22</v>
      </c>
      <c r="K13" s="4" t="b">
        <f aca="false">FALSE()</f>
        <v>0</v>
      </c>
      <c r="L13" s="4" t="b">
        <f aca="false">FALSE()</f>
        <v>0</v>
      </c>
      <c r="M13" s="4" t="b">
        <f aca="false">FALSE()</f>
        <v>0</v>
      </c>
      <c r="N13" s="4" t="b">
        <f aca="false">FALSE()</f>
        <v>0</v>
      </c>
      <c r="O13" s="0" t="s">
        <v>73</v>
      </c>
    </row>
    <row r="14" customFormat="false" ht="15" hidden="false" customHeight="false" outlineLevel="0" collapsed="false">
      <c r="A14" s="0" t="s">
        <v>74</v>
      </c>
      <c r="B14" s="0" t="s">
        <v>75</v>
      </c>
      <c r="C14" s="0" t="s">
        <v>76</v>
      </c>
      <c r="D14" s="0" t="s">
        <v>18</v>
      </c>
      <c r="E14" s="0" t="s">
        <v>19</v>
      </c>
      <c r="F14" s="0" t="n">
        <v>5</v>
      </c>
      <c r="G14" s="0" t="s">
        <v>77</v>
      </c>
      <c r="H14" s="3" t="b">
        <f aca="false">FALSE()</f>
        <v>0</v>
      </c>
      <c r="I14" s="0" t="s">
        <v>31</v>
      </c>
      <c r="J14" s="0" t="s">
        <v>22</v>
      </c>
      <c r="K14" s="4" t="b">
        <f aca="false">FALSE()</f>
        <v>0</v>
      </c>
      <c r="L14" s="4" t="b">
        <f aca="false">FALSE()</f>
        <v>0</v>
      </c>
      <c r="M14" s="4" t="b">
        <f aca="false">FALSE()</f>
        <v>0</v>
      </c>
      <c r="N14" s="4" t="b">
        <f aca="false">FALSE()</f>
        <v>0</v>
      </c>
    </row>
    <row r="15" customFormat="false" ht="15" hidden="false" customHeight="false" outlineLevel="0" collapsed="false">
      <c r="A15" s="0" t="s">
        <v>78</v>
      </c>
      <c r="B15" s="0" t="s">
        <v>79</v>
      </c>
      <c r="C15" s="0" t="s">
        <v>80</v>
      </c>
      <c r="D15" s="0" t="s">
        <v>18</v>
      </c>
      <c r="E15" s="0" t="s">
        <v>19</v>
      </c>
      <c r="F15" s="5" t="n">
        <v>2</v>
      </c>
      <c r="G15" s="0" t="s">
        <v>81</v>
      </c>
      <c r="H15" s="6" t="b">
        <f aca="false">FALSE()</f>
        <v>0</v>
      </c>
      <c r="I15" s="0" t="s">
        <v>41</v>
      </c>
      <c r="J15" s="0" t="s">
        <v>22</v>
      </c>
      <c r="K15" s="4" t="b">
        <f aca="false">FALSE()</f>
        <v>0</v>
      </c>
      <c r="L15" s="4" t="b">
        <f aca="false">FALSE()</f>
        <v>0</v>
      </c>
      <c r="M15" s="4" t="b">
        <f aca="false">FALSE()</f>
        <v>0</v>
      </c>
      <c r="N15" s="4" t="b">
        <f aca="false">FALSE()</f>
        <v>0</v>
      </c>
      <c r="O15" s="0" t="s">
        <v>82</v>
      </c>
    </row>
    <row r="16" customFormat="false" ht="15" hidden="false" customHeight="false" outlineLevel="0" collapsed="false">
      <c r="A16" s="0" t="s">
        <v>83</v>
      </c>
      <c r="B16" s="0" t="s">
        <v>84</v>
      </c>
      <c r="C16" s="0" t="s">
        <v>85</v>
      </c>
      <c r="D16" s="0" t="s">
        <v>18</v>
      </c>
      <c r="E16" s="0" t="s">
        <v>19</v>
      </c>
      <c r="F16" s="0" t="n">
        <v>5</v>
      </c>
      <c r="G16" s="0" t="s">
        <v>86</v>
      </c>
      <c r="H16" s="3" t="b">
        <f aca="false">FALSE()</f>
        <v>0</v>
      </c>
      <c r="I16" s="0" t="s">
        <v>31</v>
      </c>
      <c r="J16" s="0" t="s">
        <v>22</v>
      </c>
      <c r="K16" s="4" t="b">
        <f aca="false">FALSE()</f>
        <v>0</v>
      </c>
      <c r="L16" s="4" t="b">
        <f aca="false">FALSE()</f>
        <v>0</v>
      </c>
      <c r="M16" s="4" t="b">
        <f aca="false">FALSE()</f>
        <v>0</v>
      </c>
      <c r="N16" s="4" t="b">
        <f aca="false">FALSE()</f>
        <v>0</v>
      </c>
    </row>
    <row r="17" customFormat="false" ht="15" hidden="false" customHeight="false" outlineLevel="0" collapsed="false">
      <c r="A17" s="0" t="s">
        <v>87</v>
      </c>
      <c r="B17" s="0" t="s">
        <v>88</v>
      </c>
      <c r="C17" s="0" t="s">
        <v>89</v>
      </c>
      <c r="D17" s="0" t="s">
        <v>18</v>
      </c>
      <c r="E17" s="0" t="s">
        <v>19</v>
      </c>
      <c r="F17" s="0" t="n">
        <v>2</v>
      </c>
      <c r="G17" s="0" t="s">
        <v>90</v>
      </c>
      <c r="H17" s="3" t="b">
        <f aca="false">FALSE()</f>
        <v>0</v>
      </c>
      <c r="I17" s="0" t="s">
        <v>64</v>
      </c>
      <c r="J17" s="0" t="s">
        <v>22</v>
      </c>
      <c r="K17" s="4" t="b">
        <f aca="false">FALSE()</f>
        <v>0</v>
      </c>
      <c r="L17" s="4" t="b">
        <f aca="false">FALSE()</f>
        <v>0</v>
      </c>
      <c r="M17" s="4" t="b">
        <f aca="false">FALSE()</f>
        <v>0</v>
      </c>
      <c r="N17" s="4" t="b">
        <f aca="false">FALSE()</f>
        <v>0</v>
      </c>
    </row>
    <row r="18" customFormat="false" ht="45.1" hidden="false" customHeight="false" outlineLevel="0" collapsed="false">
      <c r="A18" s="0" t="s">
        <v>91</v>
      </c>
      <c r="B18" s="0" t="s">
        <v>92</v>
      </c>
      <c r="C18" s="2" t="s">
        <v>93</v>
      </c>
      <c r="D18" s="0" t="s">
        <v>18</v>
      </c>
      <c r="E18" s="0" t="s">
        <v>19</v>
      </c>
      <c r="F18" s="0" t="n">
        <v>5</v>
      </c>
      <c r="G18" s="0" t="s">
        <v>94</v>
      </c>
      <c r="H18" s="3" t="b">
        <f aca="false">FALSE()</f>
        <v>0</v>
      </c>
      <c r="I18" s="0" t="s">
        <v>31</v>
      </c>
      <c r="J18" s="0" t="s">
        <v>22</v>
      </c>
      <c r="K18" s="4" t="b">
        <f aca="false">FALSE()</f>
        <v>0</v>
      </c>
      <c r="L18" s="4" t="b">
        <f aca="false">FALSE()</f>
        <v>0</v>
      </c>
      <c r="M18" s="4" t="b">
        <f aca="false">FALSE()</f>
        <v>0</v>
      </c>
      <c r="N18" s="4" t="b">
        <f aca="false">FALSE()</f>
        <v>0</v>
      </c>
    </row>
    <row r="21" customFormat="false" ht="15" hidden="false" customHeight="false" outlineLevel="0" collapsed="false">
      <c r="H21" s="5"/>
      <c r="I21" s="0" t="s">
        <v>95</v>
      </c>
    </row>
    <row r="23" customFormat="false" ht="15" hidden="false" customHeight="false" outlineLevel="0" collapsed="false">
      <c r="O23" s="0" t="s">
        <v>96</v>
      </c>
    </row>
    <row r="24" customFormat="false" ht="15" hidden="false" customHeight="false" outlineLevel="0" collapsed="false">
      <c r="O24" s="0" t="s">
        <v>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98</v>
      </c>
      <c r="B1" s="0" t="s">
        <v>99</v>
      </c>
      <c r="C1" s="0" t="s">
        <v>100</v>
      </c>
    </row>
    <row r="2" customFormat="false" ht="15" hidden="false" customHeight="false" outlineLevel="0" collapsed="false">
      <c r="A2" s="0" t="s">
        <v>101</v>
      </c>
      <c r="B2" s="0" t="s">
        <v>102</v>
      </c>
      <c r="C2" s="0" t="n">
        <v>17</v>
      </c>
    </row>
    <row r="3" customFormat="false" ht="15" hidden="false" customHeight="false" outlineLevel="0" collapsed="false">
      <c r="A3" s="0" t="s">
        <v>103</v>
      </c>
      <c r="B3" s="0" t="s">
        <v>104</v>
      </c>
      <c r="C3" s="0" t="n">
        <v>17</v>
      </c>
    </row>
    <row r="4" customFormat="false" ht="15" hidden="false" customHeight="false" outlineLevel="0" collapsed="false">
      <c r="A4" s="0" t="s">
        <v>105</v>
      </c>
      <c r="B4" s="0" t="s">
        <v>106</v>
      </c>
      <c r="C4" s="0" t="n">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2026-06-10T21:37:16Z</dcterms:created>
  <dc:creator>openpyxl</dc:creator>
  <dc:description/>
  <dc:language>en-GB</dc:language>
  <cp:lastModifiedBy/>
  <dcterms:modified xsi:type="dcterms:W3CDTF">2026-06-10T22:58:39Z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