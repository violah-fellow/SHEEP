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<sst xmlns="http://schemas.openxmlformats.org/spreadsheetml/2006/main" count="141" uniqueCount="91">
  <si>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</si>
  <si>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</si>
  <si>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</si>
  <si>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</si>
  <si>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</si>
  <si>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</si>
  <si>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</si>
  <si>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</si>
  <si>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</si>
  <si>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</si>
  <si>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</si>
  <si>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</si>
  <si>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</si>
  <si>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</si>
  <si>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Manual review notes for scope</t>
  </si>
  <si>
    <t xml:space="preserve">Manual review notes for pillar</t>
  </si>
  <si>
    <t xml:space="preserve">pub.1191456334</t>
  </si>
  <si>
    <t xml:space="preserve">Comparative Analysis of Composition, Texture, and Sensory Attributes of Commercial Forms of Plant-Based Cheese Analogue Products Available on the Irish Market</t>
  </si>
  <si>
    <t xml:space="preserve">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</si>
  <si>
    <t xml:space="preserve">in</t>
  </si>
  <si>
    <t xml:space="preserve">This publication directly addresses plant-based cheese analogues, a primary alternative protein product category intended to substitute for conventional dairy cheese in human food. The study comprehensively analyzes composition, texture, sensory attributes, and formulation deficits of commercial plant-based cheese products, providing insights for product optimization and development—all core aspects of alternative protein research within the plant-based category.</t>
  </si>
  <si>
    <t xml:space="preserve">PB</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</si>
  <si>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</si>
  <si>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</si>
  <si>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</si>
  <si>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out</t>
  </si>
  <si>
    <t xml:space="preserve">This publication focuses on fish cell line biology and culture optimization for toxicology and climate change research, not on alternative proteins for human food. The stated use case is studying aquatic species biology and developing animal-free culture media for research purposes, which falls outside the scope of alternative protein development intended as substitutes for conventional animal proteins in human food.</t>
  </si>
  <si>
    <t xml:space="preserve">CM</t>
  </si>
  <si>
    <t xml:space="preserve">NA</t>
  </si>
  <si>
    <t xml:space="preserve">I agree with the LLM’s reasoning. Aquaculture is stated as a potential product but not as a focus for this research.</t>
  </si>
  <si>
    <t xml:space="preserve">pub.1184066957</t>
  </si>
  <si>
    <t xml:space="preserve">Screening of Plant UDP-Glycosyltransferases for Betanin Production in Yeast</t>
  </si>
  <si>
    <t xml:space="preserve">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</si>
  <si>
    <t xml:space="preserve">This publication focuses on betanin production as a food dye through fermentation, not as a protein ingredient or substitute for animal proteins. Betanin is a pigment/colorant, and the research aims to develop a natural food dye alternative to plant extraction, which falls outside the definition of alternative proteins intended to substitute conventional animal proteins in human food.</t>
  </si>
  <si>
    <t xml:space="preserve">pub.1185271226</t>
  </si>
  <si>
    <t xml:space="preserve">Construction of a CRISPR‐Cas9‐Based Genetic Editing Tool for Serratia marcescens Using a Stationary Phase Promoter and Its Application in Putrescine Production</t>
  </si>
  <si>
    <t xml:space="preserve">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</si>
  <si>
    <t xml:space="preserve">This publication focuses on putrescine production for agricultural applications (plant growth promotion, crop quality enhancement, reducing chemical fertilizers). Putrescine is explicitly stated as a green agricultural product, not a human food ingredient or animal protein substitute. The research does not concern alternative proteins for human food consumption, falling outside the scope of alternative protein research.</t>
  </si>
  <si>
    <t xml:space="preserve">pub.1191159240</t>
  </si>
  <si>
    <t xml:space="preserve">Understanding foodscapes for sustainable diets in rural localities in Tunisia: Integrating multiple methods and tools in a mixed-methods design</t>
  </si>
  <si>
    <t xml:space="preserve">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</si>
  <si>
    <t xml:space="preserve">This publication is a foodscape and dietary assessment study in rural Tunisia focused on understanding food beliefs, dietary patterns, and nutritional outcomes in farming communities. It does not concern the development, characterization, or optimization of alternative proteins (plant-based, fermentation-derived, or cultivated) as substitutes for animal products. While legumes are mentioned, they are discussed only as underutilized foods in the local diet, not as alternative protein ingredients or products being developed or characterized. The study's primary aim is nutritional epidemiology and food systems assessment, not alternative protein research.</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</si>
  <si>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</si>
  <si>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</si>
  <si>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</si>
  <si>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This publication directly addresses the development of a vegan mayonnaise analogue using fermentation-derived yeast protein extract (Saccharomyces cerevisiae) and plant-based microalgae (Chlorella vulgaris) as functional ingredients to substitute traditional egg-based mayonnaise. The research focuses on optimizing emulsification, stability, and sensory characteristics of alternative protein ingredients for human food, clearly fitting the alternative protein scope with both fermentation and plant-based categories.</t>
  </si>
  <si>
    <t xml:space="preserve">F</t>
  </si>
  <si>
    <t xml:space="preserve">CC</t>
  </si>
  <si>
    <t xml:space="preserve">Edit to prompt: anything microalgae is only fermentation.</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</si>
  <si>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</si>
  <si>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</si>
  <si>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</si>
  <si>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This publication directly addresses microalgae as a protein source for human food applications, with explicit focus on meat analogues and alternative protein development. The research covers protein functionality, processing effects, product formulation, and consumer acceptance—all core aspects of alternative protein research. Microalgae are explicitly recognized as plant-based protein sources under the alternative protein definition, and the stated use case is clearly substituting animal proteins in human food products.</t>
  </si>
  <si>
    <t xml:space="preserve">pub.1192676912</t>
  </si>
  <si>
    <t xml:space="preserve">Consumer Trust in Emerging Food Technologies: A Comparative Analysis of Croatia and India</t>
  </si>
  <si>
    <t xml:space="preserve">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</si>
  <si>
    <t xml:space="preserve">This publication examines consumer trust in emerging food technologies, including lab-grown meat (cultivated meat), which is explicitly mentioned as one of the five technologies studied. While the paper focuses on consumer perception and adoption rather than technical development, research on consumer acceptance of alternative proteins is explicitly in scope per the general definition. The cultivated meat component qualifies for inclusion, though the paper's broader scope encompasses multiple food technologies beyond alternative proteins.</t>
  </si>
  <si>
    <t xml:space="preserve">pub.1187071484</t>
  </si>
  <si>
    <t xml:space="preserve">Characterization and quantification of anisotropy in mozzarella cheese: Exploring the impact of structural anisotropy on functional properties using complementary analytical technologies</t>
  </si>
  <si>
    <t xml:space="preserve">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</si>
  <si>
    <t xml:space="preserve">This publication concerns conventional dairy cheese (mozzarella) production and its structural properties, not alternative proteins. While it addresses protein-containing food, the research focuses on optimizing a conventional animal-derived dairy product rather than developing plant-based, fermentation-derived, or cultivated protein substitutes for animal products. The stated aim is improving mozzarella cheese itself, not creating an alternative to dairy.</t>
  </si>
  <si>
    <t xml:space="preserve">pub.1190449797</t>
  </si>
  <si>
    <t xml:space="preserve">Modeling sorghum yield response to climate change in the semi-arid environment of Ethiopia</t>
  </si>
  <si>
    <t xml:space="preserve">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</si>
  <si>
    <t xml:space="preserve">This publication concerns crop yield modeling and climate change impacts on sorghum production for general food security in Ethiopia. While sorghum is a plant-based food source, the research does not focus on protein as a primary element, nor does it address sorghum as an alternative protein ingredient or substitute for animal proteins. The study is agronomic and climate-focused, not related to alternative protein development, processing, or characterization.</t>
  </si>
  <si>
    <t xml:space="preserve">pub.1196236950</t>
  </si>
  <si>
    <t xml:space="preserve">The influence of phytase on the solubility of storage proteins in rapeseed press cake</t>
  </si>
  <si>
    <t xml:space="preserve">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</si>
  <si>
    <t xml:space="preserve">This publication directly addresses rapeseed protein as a sustainable alternative to animal-derived proteins for human food applications. The research focuses on improving the functional properties (solubility) of plant-based storage proteins through enzymatic processing, which is core to optimizing plant-based protein ingredients for food formulations. The work clearly advances the development and characterization of plant-based proteins intended as substitutes for conventional animal proteins.</t>
  </si>
  <si>
    <t xml:space="preserve">pub.1196060665</t>
  </si>
  <si>
    <t xml:space="preserve">Nutrient Equivalence of Plant-Based and Cultured Meat: Gaps, Bioavailability, and Health Perspectives</t>
  </si>
  <si>
    <t xml:space="preserve">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</si>
  <si>
    <t xml:space="preserve">This review directly examines plant-based meat analogues and cultured meat as substitutes for conventional meat, focusing on their nutritional composition, bioavailability, and ability to replicate meat's nutritional attributes. The stated use case is explicitly human food substitution, and protein/nutrient content is a primary focus, making this clearly in scope for both plant-based and cultivated meat categories.</t>
  </si>
  <si>
    <t xml:space="preserve">pub.1189564490</t>
  </si>
  <si>
    <t xml:space="preserve">Does the use of Beef-on-Dairy lead to increased longevity in dairy herds?</t>
  </si>
  <si>
    <t xml:space="preserve">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</si>
  <si>
    <t xml:space="preserve">This publication concerns dairy herd management and genetic selection in conventional livestock farming, specifically the use of beef semen on dairy cows. It has no relevance to alternative proteins (plant-based, fermentation-derived, or cultivated proteins) intended as substitutes for animal products in human food. The study focuses on animal breeding practices and herd longevity in conventional dairy production, which falls entirely outside the scope of alternative protein research.</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</si>
  <si>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</si>
  <si>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</si>
  <si>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</si>
  <si>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directly addresses fermentation-based processing of proteins for food applications, focusing on how microbial fermentation modifies protein structures, improves functionality, and enhances nutritional value for food products. The emphasis on diverse protein sources, microbial strains, and fermentation parameters for developing sustainable protein products clearly aligns with fermentation-derived alternative proteins intended for human food.</t>
  </si>
  <si>
    <t xml:space="preserve">Edit to prompt: where fermentation is described as a method to modify proteins (e.g. nutritional enhancement, reduced allergenicity, improved digestibility), assume both fermentation and plant-based are relevant.</t>
  </si>
  <si>
    <t xml:space="preserve">metric</t>
  </si>
  <si>
    <t xml:space="preserve">value</t>
  </si>
  <si>
    <t xml:space="preserve">n</t>
  </si>
  <si>
    <t xml:space="preserve">scope_accuracy</t>
  </si>
  <si>
    <t xml:space="preserve">93%</t>
  </si>
  <si>
    <t xml:space="preserve">pillar_accuracy</t>
  </si>
  <si>
    <t xml:space="preserve">71%</t>
  </si>
  <si>
    <t xml:space="preserve">pillar_accuracy_both_in_scope</t>
  </si>
  <si>
    <t xml:space="preserve">57%</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</si>
</sst>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8" activeCellId="0" sqref="F28"/>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row>
    <row r="2" customFormat="false" ht="15" hidden="false" customHeight="false" outlineLevel="0" collapsed="false">
      <c r="A2" s="0" t="s">
        <v>16</v>
      </c>
      <c r="B2" s="0" t="s">
        <v>17</v>
      </c>
      <c r="C2" s="0" t="s">
        <v>18</v>
      </c>
      <c r="D2" s="0" t="s">
        <v>19</v>
      </c>
      <c r="E2" s="0" t="s">
        <v>19</v>
      </c>
      <c r="F2" s="0" t="n">
        <v>5</v>
      </c>
      <c r="G2" s="0" t="s">
        <v>20</v>
      </c>
      <c r="H2" s="1" t="b">
        <f aca="false">TRUE()</f>
        <v>1</v>
      </c>
      <c r="I2" s="0" t="s">
        <v>21</v>
      </c>
      <c r="J2" s="0" t="s">
        <v>21</v>
      </c>
      <c r="K2" s="1" t="b">
        <f aca="false">TRUE()</f>
        <v>1</v>
      </c>
      <c r="L2" s="1" t="b">
        <f aca="false">TRUE()</f>
        <v>1</v>
      </c>
      <c r="M2" s="1" t="b">
        <f aca="false">FALSE()</f>
        <v>0</v>
      </c>
      <c r="N2" s="1" t="b">
        <f aca="false">FALSE()</f>
        <v>0</v>
      </c>
    </row>
    <row r="3" customFormat="false" ht="45.1" hidden="false" customHeight="false" outlineLevel="0" collapsed="false">
      <c r="A3" s="0" t="s">
        <v>22</v>
      </c>
      <c r="B3" s="0" t="s">
        <v>23</v>
      </c>
      <c r="C3" s="2" t="s">
        <v>24</v>
      </c>
      <c r="D3" s="0" t="s">
        <v>19</v>
      </c>
      <c r="E3" s="0" t="s">
        <v>25</v>
      </c>
      <c r="F3" s="0" t="n">
        <v>5</v>
      </c>
      <c r="G3" s="0" t="s">
        <v>26</v>
      </c>
      <c r="H3" s="3" t="b">
        <f aca="false">FALSE()</f>
        <v>0</v>
      </c>
      <c r="I3" s="0" t="s">
        <v>27</v>
      </c>
      <c r="J3" s="0" t="s">
        <v>28</v>
      </c>
      <c r="K3" s="3" t="b">
        <f aca="false">FALSE()</f>
        <v>0</v>
      </c>
      <c r="L3" s="1" t="b">
        <f aca="false">FALSE()</f>
        <v>0</v>
      </c>
      <c r="M3" s="1" t="b">
        <f aca="false">FALSE()</f>
        <v>0</v>
      </c>
      <c r="N3" s="1" t="b">
        <f aca="false">FALSE()</f>
        <v>0</v>
      </c>
      <c r="O3" s="0" t="s">
        <v>29</v>
      </c>
    </row>
    <row r="4" customFormat="false" ht="15" hidden="false" customHeight="false" outlineLevel="0" collapsed="false">
      <c r="A4" s="0" t="s">
        <v>30</v>
      </c>
      <c r="B4" s="0" t="s">
        <v>31</v>
      </c>
      <c r="C4" s="0" t="s">
        <v>32</v>
      </c>
      <c r="D4" s="0" t="s">
        <v>25</v>
      </c>
      <c r="E4" s="0" t="s">
        <v>25</v>
      </c>
      <c r="F4" s="0" t="n">
        <v>5</v>
      </c>
      <c r="G4" s="0" t="s">
        <v>33</v>
      </c>
      <c r="H4" s="1" t="b">
        <f aca="false">TRUE()</f>
        <v>1</v>
      </c>
      <c r="I4" s="0" t="s">
        <v>28</v>
      </c>
      <c r="J4" s="0" t="s">
        <v>28</v>
      </c>
      <c r="K4" s="1" t="b">
        <f aca="false">TRUE()</f>
        <v>1</v>
      </c>
      <c r="L4" s="1" t="b">
        <f aca="false">FALSE()</f>
        <v>0</v>
      </c>
      <c r="M4" s="1" t="b">
        <f aca="false">FALSE()</f>
        <v>0</v>
      </c>
      <c r="N4" s="1" t="b">
        <f aca="false">FALSE()</f>
        <v>0</v>
      </c>
    </row>
    <row r="5" customFormat="false" ht="15" hidden="false" customHeight="false" outlineLevel="0" collapsed="false">
      <c r="A5" s="0" t="s">
        <v>34</v>
      </c>
      <c r="B5" s="0" t="s">
        <v>35</v>
      </c>
      <c r="C5" s="0" t="s">
        <v>36</v>
      </c>
      <c r="D5" s="0" t="s">
        <v>25</v>
      </c>
      <c r="E5" s="0" t="s">
        <v>25</v>
      </c>
      <c r="F5" s="0" t="n">
        <v>5</v>
      </c>
      <c r="G5" s="0" t="s">
        <v>37</v>
      </c>
      <c r="H5" s="1" t="b">
        <f aca="false">TRUE()</f>
        <v>1</v>
      </c>
      <c r="I5" s="0" t="s">
        <v>28</v>
      </c>
      <c r="J5" s="0" t="s">
        <v>28</v>
      </c>
      <c r="K5" s="1" t="b">
        <f aca="false">TRUE()</f>
        <v>1</v>
      </c>
      <c r="L5" s="1" t="b">
        <f aca="false">FALSE()</f>
        <v>0</v>
      </c>
      <c r="M5" s="1" t="b">
        <f aca="false">FALSE()</f>
        <v>0</v>
      </c>
      <c r="N5" s="1" t="b">
        <f aca="false">FALSE()</f>
        <v>0</v>
      </c>
    </row>
    <row r="6" customFormat="false" ht="45.1" hidden="false" customHeight="false" outlineLevel="0" collapsed="false">
      <c r="A6" s="0" t="s">
        <v>38</v>
      </c>
      <c r="B6" s="0" t="s">
        <v>39</v>
      </c>
      <c r="C6" s="2" t="s">
        <v>40</v>
      </c>
      <c r="D6" s="0" t="s">
        <v>25</v>
      </c>
      <c r="E6" s="0" t="s">
        <v>25</v>
      </c>
      <c r="F6" s="0" t="n">
        <v>5</v>
      </c>
      <c r="G6" s="0" t="s">
        <v>41</v>
      </c>
      <c r="H6" s="1" t="b">
        <f aca="false">TRUE()</f>
        <v>1</v>
      </c>
      <c r="I6" s="0" t="s">
        <v>28</v>
      </c>
      <c r="J6" s="0" t="s">
        <v>28</v>
      </c>
      <c r="K6" s="1" t="b">
        <f aca="false">TRUE()</f>
        <v>1</v>
      </c>
      <c r="L6" s="1" t="b">
        <f aca="false">FALSE()</f>
        <v>0</v>
      </c>
      <c r="M6" s="1" t="b">
        <f aca="false">FALSE()</f>
        <v>0</v>
      </c>
      <c r="N6" s="1" t="b">
        <f aca="false">FALSE()</f>
        <v>0</v>
      </c>
    </row>
    <row r="7" customFormat="false" ht="15" hidden="false" customHeight="false" outlineLevel="0" collapsed="false">
      <c r="A7" s="0" t="s">
        <v>42</v>
      </c>
      <c r="B7" s="0" t="s">
        <v>43</v>
      </c>
      <c r="C7" s="0" t="s">
        <v>44</v>
      </c>
      <c r="D7" s="0" t="s">
        <v>19</v>
      </c>
      <c r="E7" s="0" t="s">
        <v>19</v>
      </c>
      <c r="F7" s="0" t="n">
        <v>5</v>
      </c>
      <c r="G7" s="0" t="s">
        <v>45</v>
      </c>
      <c r="H7" s="1" t="b">
        <f aca="false">TRUE()</f>
        <v>1</v>
      </c>
      <c r="I7" s="0" t="s">
        <v>46</v>
      </c>
      <c r="J7" s="0" t="s">
        <v>47</v>
      </c>
      <c r="K7" s="3" t="b">
        <f aca="false">FALSE()</f>
        <v>0</v>
      </c>
      <c r="L7" s="1" t="b">
        <f aca="false">TRUE()</f>
        <v>1</v>
      </c>
      <c r="M7" s="1" t="b">
        <f aca="false">TRUE()</f>
        <v>1</v>
      </c>
      <c r="N7" s="1" t="b">
        <f aca="false">FALSE()</f>
        <v>0</v>
      </c>
      <c r="P7" s="0" t="s">
        <v>48</v>
      </c>
    </row>
    <row r="8" customFormat="false" ht="15" hidden="false" customHeight="false" outlineLevel="0" collapsed="false">
      <c r="A8" s="0" t="s">
        <v>49</v>
      </c>
      <c r="B8" s="0" t="s">
        <v>50</v>
      </c>
      <c r="C8" s="0" t="s">
        <v>51</v>
      </c>
      <c r="D8" s="0" t="s">
        <v>19</v>
      </c>
      <c r="E8" s="0" t="s">
        <v>19</v>
      </c>
      <c r="F8" s="0" t="n">
        <v>5</v>
      </c>
      <c r="G8" s="0" t="s">
        <v>52</v>
      </c>
      <c r="H8" s="1" t="b">
        <f aca="false">TRUE()</f>
        <v>1</v>
      </c>
      <c r="I8" s="0" t="s">
        <v>46</v>
      </c>
      <c r="J8" s="0" t="s">
        <v>21</v>
      </c>
      <c r="K8" s="3" t="b">
        <f aca="false">FALSE()</f>
        <v>0</v>
      </c>
      <c r="L8" s="1" t="b">
        <f aca="false">TRUE()</f>
        <v>1</v>
      </c>
      <c r="M8" s="1" t="b">
        <f aca="false">FALSE()</f>
        <v>0</v>
      </c>
      <c r="N8" s="1" t="b">
        <f aca="false">FALSE()</f>
        <v>0</v>
      </c>
      <c r="P8" s="0" t="s">
        <v>48</v>
      </c>
    </row>
    <row r="9" customFormat="false" ht="15" hidden="false" customHeight="false" outlineLevel="0" collapsed="false">
      <c r="A9" s="0" t="s">
        <v>53</v>
      </c>
      <c r="B9" s="0" t="s">
        <v>54</v>
      </c>
      <c r="C9" s="0" t="s">
        <v>55</v>
      </c>
      <c r="D9" s="0" t="s">
        <v>19</v>
      </c>
      <c r="E9" s="0" t="s">
        <v>19</v>
      </c>
      <c r="F9" s="0" t="n">
        <v>4</v>
      </c>
      <c r="G9" s="0" t="s">
        <v>56</v>
      </c>
      <c r="H9" s="1" t="b">
        <f aca="false">TRUE()</f>
        <v>1</v>
      </c>
      <c r="I9" s="0" t="s">
        <v>27</v>
      </c>
      <c r="J9" s="0" t="s">
        <v>27</v>
      </c>
      <c r="K9" s="1" t="b">
        <f aca="false">TRUE()</f>
        <v>1</v>
      </c>
      <c r="L9" s="1" t="b">
        <f aca="false">FALSE()</f>
        <v>0</v>
      </c>
      <c r="M9" s="1" t="b">
        <f aca="false">FALSE()</f>
        <v>0</v>
      </c>
      <c r="N9" s="1" t="b">
        <f aca="false">TRUE()</f>
        <v>1</v>
      </c>
    </row>
    <row r="10" customFormat="false" ht="15" hidden="false" customHeight="false" outlineLevel="0" collapsed="false">
      <c r="A10" s="0" t="s">
        <v>57</v>
      </c>
      <c r="B10" s="0" t="s">
        <v>58</v>
      </c>
      <c r="C10" s="0" t="s">
        <v>59</v>
      </c>
      <c r="D10" s="0" t="s">
        <v>25</v>
      </c>
      <c r="E10" s="0" t="s">
        <v>25</v>
      </c>
      <c r="F10" s="0" t="n">
        <v>5</v>
      </c>
      <c r="G10" s="0" t="s">
        <v>60</v>
      </c>
      <c r="H10" s="1" t="b">
        <f aca="false">TRUE()</f>
        <v>1</v>
      </c>
      <c r="I10" s="0" t="s">
        <v>28</v>
      </c>
      <c r="J10" s="0" t="s">
        <v>28</v>
      </c>
      <c r="K10" s="1" t="b">
        <f aca="false">TRUE()</f>
        <v>1</v>
      </c>
      <c r="L10" s="1" t="b">
        <f aca="false">FALSE()</f>
        <v>0</v>
      </c>
      <c r="M10" s="1" t="b">
        <f aca="false">FALSE()</f>
        <v>0</v>
      </c>
      <c r="N10" s="1" t="b">
        <f aca="false">FALSE()</f>
        <v>0</v>
      </c>
    </row>
    <row r="11" customFormat="false" ht="15" hidden="false" customHeight="false" outlineLevel="0" collapsed="false">
      <c r="A11" s="0" t="s">
        <v>61</v>
      </c>
      <c r="B11" s="0" t="s">
        <v>62</v>
      </c>
      <c r="C11" s="0" t="s">
        <v>63</v>
      </c>
      <c r="D11" s="0" t="s">
        <v>25</v>
      </c>
      <c r="E11" s="0" t="s">
        <v>25</v>
      </c>
      <c r="F11" s="0" t="n">
        <v>5</v>
      </c>
      <c r="G11" s="0" t="s">
        <v>64</v>
      </c>
      <c r="H11" s="1" t="b">
        <f aca="false">TRUE()</f>
        <v>1</v>
      </c>
      <c r="I11" s="0" t="s">
        <v>28</v>
      </c>
      <c r="J11" s="0" t="s">
        <v>28</v>
      </c>
      <c r="K11" s="1" t="b">
        <f aca="false">TRUE()</f>
        <v>1</v>
      </c>
      <c r="L11" s="1" t="b">
        <f aca="false">FALSE()</f>
        <v>0</v>
      </c>
      <c r="M11" s="1" t="b">
        <f aca="false">FALSE()</f>
        <v>0</v>
      </c>
      <c r="N11" s="1" t="b">
        <f aca="false">FALSE()</f>
        <v>0</v>
      </c>
    </row>
    <row r="12" customFormat="false" ht="15" hidden="false" customHeight="false" outlineLevel="0" collapsed="false">
      <c r="A12" s="0" t="s">
        <v>65</v>
      </c>
      <c r="B12" s="0" t="s">
        <v>66</v>
      </c>
      <c r="C12" s="0" t="s">
        <v>67</v>
      </c>
      <c r="D12" s="0" t="s">
        <v>19</v>
      </c>
      <c r="E12" s="0" t="s">
        <v>19</v>
      </c>
      <c r="F12" s="0" t="n">
        <v>5</v>
      </c>
      <c r="G12" s="0" t="s">
        <v>68</v>
      </c>
      <c r="H12" s="1" t="b">
        <f aca="false">TRUE()</f>
        <v>1</v>
      </c>
      <c r="I12" s="0" t="s">
        <v>21</v>
      </c>
      <c r="J12" s="0" t="s">
        <v>21</v>
      </c>
      <c r="K12" s="1" t="b">
        <f aca="false">TRUE()</f>
        <v>1</v>
      </c>
      <c r="L12" s="1" t="b">
        <f aca="false">TRUE()</f>
        <v>1</v>
      </c>
      <c r="M12" s="1" t="b">
        <f aca="false">FALSE()</f>
        <v>0</v>
      </c>
      <c r="N12" s="1" t="b">
        <f aca="false">FALSE()</f>
        <v>0</v>
      </c>
    </row>
    <row r="13" customFormat="false" ht="15" hidden="false" customHeight="false" outlineLevel="0" collapsed="false">
      <c r="A13" s="0" t="s">
        <v>69</v>
      </c>
      <c r="B13" s="0" t="s">
        <v>70</v>
      </c>
      <c r="C13" s="0" t="s">
        <v>71</v>
      </c>
      <c r="D13" s="0" t="s">
        <v>19</v>
      </c>
      <c r="E13" s="0" t="s">
        <v>19</v>
      </c>
      <c r="F13" s="0" t="n">
        <v>5</v>
      </c>
      <c r="G13" s="0" t="s">
        <v>72</v>
      </c>
      <c r="H13" s="1" t="b">
        <f aca="false">TRUE()</f>
        <v>1</v>
      </c>
      <c r="I13" s="0" t="s">
        <v>47</v>
      </c>
      <c r="J13" s="0" t="s">
        <v>47</v>
      </c>
      <c r="K13" s="1" t="b">
        <f aca="false">TRUE()</f>
        <v>1</v>
      </c>
      <c r="L13" s="1" t="b">
        <f aca="false">TRUE()</f>
        <v>1</v>
      </c>
      <c r="M13" s="1" t="b">
        <f aca="false">FALSE()</f>
        <v>0</v>
      </c>
      <c r="N13" s="1" t="b">
        <f aca="false">TRUE()</f>
        <v>1</v>
      </c>
    </row>
    <row r="14" customFormat="false" ht="15" hidden="false" customHeight="false" outlineLevel="0" collapsed="false">
      <c r="A14" s="0" t="s">
        <v>73</v>
      </c>
      <c r="B14" s="0" t="s">
        <v>74</v>
      </c>
      <c r="C14" s="0" t="s">
        <v>75</v>
      </c>
      <c r="D14" s="0" t="s">
        <v>25</v>
      </c>
      <c r="E14" s="0" t="s">
        <v>25</v>
      </c>
      <c r="F14" s="0" t="n">
        <v>5</v>
      </c>
      <c r="G14" s="0" t="s">
        <v>76</v>
      </c>
      <c r="H14" s="1" t="b">
        <f aca="false">TRUE()</f>
        <v>1</v>
      </c>
      <c r="I14" s="0" t="s">
        <v>28</v>
      </c>
      <c r="J14" s="0" t="s">
        <v>28</v>
      </c>
      <c r="K14" s="1" t="b">
        <f aca="false">TRUE()</f>
        <v>1</v>
      </c>
      <c r="L14" s="1" t="b">
        <f aca="false">FALSE()</f>
        <v>0</v>
      </c>
      <c r="M14" s="1" t="b">
        <f aca="false">FALSE()</f>
        <v>0</v>
      </c>
      <c r="N14" s="1" t="b">
        <f aca="false">FALSE()</f>
        <v>0</v>
      </c>
    </row>
    <row r="15" customFormat="false" ht="15" hidden="false" customHeight="false" outlineLevel="0" collapsed="false">
      <c r="A15" s="0" t="s">
        <v>77</v>
      </c>
      <c r="B15" s="0" t="s">
        <v>78</v>
      </c>
      <c r="C15" s="0" t="s">
        <v>79</v>
      </c>
      <c r="D15" s="0" t="s">
        <v>19</v>
      </c>
      <c r="E15" s="0" t="s">
        <v>19</v>
      </c>
      <c r="F15" s="0" t="n">
        <v>5</v>
      </c>
      <c r="G15" s="0" t="s">
        <v>80</v>
      </c>
      <c r="H15" s="1" t="b">
        <f aca="false">TRUE()</f>
        <v>1</v>
      </c>
      <c r="I15" s="0" t="s">
        <v>47</v>
      </c>
      <c r="J15" s="0" t="s">
        <v>46</v>
      </c>
      <c r="K15" s="3" t="b">
        <f aca="false">FALSE()</f>
        <v>0</v>
      </c>
      <c r="L15" s="1" t="b">
        <f aca="false">FALSE()</f>
        <v>0</v>
      </c>
      <c r="M15" s="1" t="b">
        <f aca="false">TRUE()</f>
        <v>1</v>
      </c>
      <c r="N15" s="1" t="b">
        <f aca="false">FALSE()</f>
        <v>0</v>
      </c>
      <c r="P15" s="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8.34375" defaultRowHeight="15" customHeight="false" zeroHeight="false" outlineLevelRow="0" outlineLevelCol="0"/>
  <cols>
    <col collapsed="false" customWidth="true" hidden="false" outlineLevel="0" max="1" min="1" style="0" width="35.42"/>
  </cols>
  <sheetData>
    <row r="1" customFormat="false" ht="15" hidden="false" customHeight="false" outlineLevel="0" collapsed="false">
      <c r="A1" s="0" t="s">
        <v>82</v>
      </c>
      <c r="B1" s="0" t="s">
        <v>83</v>
      </c>
      <c r="C1" s="0" t="s">
        <v>84</v>
      </c>
    </row>
    <row r="2" customFormat="false" ht="15" hidden="false" customHeight="false" outlineLevel="0" collapsed="false">
      <c r="A2" s="0" t="s">
        <v>85</v>
      </c>
      <c r="B2" s="0" t="s">
        <v>86</v>
      </c>
      <c r="C2" s="0" t="n">
        <v>14</v>
      </c>
    </row>
    <row r="3" customFormat="false" ht="15" hidden="false" customHeight="false" outlineLevel="0" collapsed="false">
      <c r="A3" s="0" t="s">
        <v>87</v>
      </c>
      <c r="B3" s="0" t="s">
        <v>88</v>
      </c>
      <c r="C3" s="0" t="n">
        <v>14</v>
      </c>
    </row>
    <row r="4" customFormat="false" ht="15" hidden="false" customHeight="false" outlineLevel="0" collapsed="false">
      <c r="A4" s="0" t="s">
        <v>89</v>
      </c>
      <c r="B4" s="0" t="s">
        <v>90</v>
      </c>
      <c r="C4" s="0" t="n">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2026-06-10T16:02:53Z</dcterms:created>
  <dc:creator>openpyxl</dc:creator>
  <dc:description/>
  <dc:language>en-GB</dc:language>
  <cp:lastModifiedBy/>
  <dcterms:modified xsi:type="dcterms:W3CDTF">2026-06-10T17:39:27Z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