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heetId="1" state="visible" r:id="rId3"/>
    <sheet name="metric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<sst xmlns="http://schemas.openxmlformats.org/spreadsheetml/2006/main" count="96" uniqueCount="72">
  <si>
    <t xml:space="preserve">id</t>
  </si>
  <si>
    <t xml:space="preserve">title</t>
  </si>
  <si>
    <t xml:space="preserve">abstract</t>
  </si>
  <si>
    <t xml:space="preserve">scope</t>
  </si>
  <si>
    <t xml:space="preserve">scope_LLM</t>
  </si>
  <si>
    <t xml:space="preserve">confidence_LLM</t>
  </si>
  <si>
    <t xml:space="preserve">reasoning_LLM</t>
  </si>
  <si>
    <t xml:space="preserve">correct_scope</t>
  </si>
  <si>
    <t xml:space="preserve">pillar</t>
  </si>
  <si>
    <t xml:space="preserve">pillar_LLM</t>
  </si>
  <si>
    <t xml:space="preserve">correct_pillar</t>
  </si>
  <si>
    <t xml:space="preserve">plant_based_LLM</t>
  </si>
  <si>
    <t xml:space="preserve">fermentation_LLM</t>
  </si>
  <si>
    <t xml:space="preserve">cultivated_LLM</t>
  </si>
  <si>
    <t xml:space="preserve">cross_cutting_LLM</t>
  </si>
  <si>
    <t xml:space="preserve">Scope notes</t>
  </si>
  <si>
    <t xml:space="preserve">Pillar notes</t>
  </si>
  <si>
    <t xml:space="preserve">pub.1190984789</t>
  </si>
  <si>
    <t xml:space="preserve">Mimicking the myoseptum in cultivated fish by manufacturing edible microalgae-rich nanofibers</t>
  </si>
  <si>
    <t xml:space="preserve">Cultivated fish can offer seafood with lower environmental impact and improved animal welfare. Electrospun fibres, resembling collagen in structure and size, can mimic the myoseptum —an important structural element for fish fillet patterning. Here, we cultured Dicentrarchus labrax Embryonic Cells (DLEC) for the first time on edible zein-gelatin electrospun fibres. Notably, we successfully incorporated biomass of the microalgae Nannochloropsis oceanica into the fibres. The effect of the Maillard reaction as thermal crosslinking method was studied. The structure, chemical composition, mechanical performance and biocompatibility of the electrospun fibres were evaluated. Fibres containing N. oceanica biomass significantly enhanced DLEC adhesion, leading to faster proliferation. Aligned fibres promoted DLEC alignment, an important feature for improving texture in food products. Finally, the fibrous scaffolds and edible bioinks were successfully combined to fabricate a cultivated fish prototype. Overall, these findings highlight the potential of edible electrospun fibres for the development of cultivated fish fillets.</t>
  </si>
  <si>
    <t xml:space="preserve">in</t>
  </si>
  <si>
    <t xml:space="preserve">This study develops edible electrospun scaffolds incorporating microalgae (Nannochloropsis oceanica) biomass for culturing fish embryonic cells (DLEC) to produce cultivated fish fillets, directly relevant to both cultivated meat/seafood and fermentation (microalgae biomass as a functional ingredient) categories.</t>
  </si>
  <si>
    <t xml:space="preserve">CM</t>
  </si>
  <si>
    <t xml:space="preserve">CC</t>
  </si>
  <si>
    <t xml:space="preserve">Still microalgae bringing the F label… But that kinda does make it CC?</t>
  </si>
  <si>
    <t xml:space="preserve">pub.1184458384</t>
  </si>
  <si>
    <t xml:space="preserve">Development of a Recombinant Omicron BA.1 Subunit Vaccine Candidate in Pichia pastoris</t>
  </si>
  <si>
    <t xml:space="preserve">Low-cost and safe vaccines are needed to fill the vaccine inequity gap for future pandemics. Pichia pastoris is an ideal expression system for recombinant protein production due to its cost-effective and easy-to-scale-up process. Here, we developed a next-generation SARS-CoV2 Omicron BA.1-based recombinant vaccine candidate expressed in P. pastoris. The receptor binding domain of Omicron BA.1 spike protein (RBD-Omicron) was produced at 0.35 g/L in supernatant. With a 60% recovery after two-step purification, RBD-Omicron showed 99% purity. After in vitro characterisation of purified RBD-Omicron via chromatography, mass spectrometry, calorimetry and surface plasmon resonance-based methods, it was injected into mice for immunization studies. Three different doses of Alum and CpG adjuvanted RBD-Omicron were investigated and 10 μg RBD-Omicron gave the highest antigenicity. After two doses of vaccination, IgG titers in mice serum reached to more than 106. These serum antibodies also recognized earlier (Delta Plus: B.1.617.2) and later (Eris: EG.5, Pirola: BA.2.86) SARS-CoV2 variants. The long-term immunological response in mice was measured by analyzing serum antibody titers and T-cell response of splenocytes after 60 weeks. Interestingly, IgG titers and Th1 response were significantly high even after a year. Omicron subvariants are dominantly circulating in the world, so Omicron sub-lineage-based vaccines can be used for future pandemics. The RBD-Omicron-based vaccine candidate developed in this study is suitable for technology transfer and transition into the clinic.</t>
  </si>
  <si>
    <t xml:space="preserve">out</t>
  </si>
  <si>
    <t xml:space="preserve">NA</t>
  </si>
  <si>
    <t xml:space="preserve">So far out of scope that the LLM doesn’t know how to respond.</t>
  </si>
  <si>
    <t xml:space="preserve">pub.1190543844</t>
  </si>
  <si>
    <t xml:space="preserve">Disruptive technologies and intra-value conflicts: The case of naturalness and sustainability in cellular agriculture</t>
  </si>
  <si>
    <t xml:space="preserve">Synthetic biology is a highly disruptive technology that particularly affects the agriculture and food production domains. Rather than using farmed animals or crops, synthetic biology allows for ‘cellular agriculture’—the production of agricultural commodities using cell cultures and host micro-organisms. In light of the possibility that cellular agriculture can enable sustainable food production, and considering that most people strongly prefer food that they perceive as natural, this paper is guided by the following research question: how are the values of sustainability and naturalness affected by the disruption of cellular agriculture? We analyze how different stakeholders discuss these values. After demonstrating that the intra-value conflicts evident in sustainability and naturalness are based on different interpretations of these values, we create conceptual clarity in these different interpretations and show how these intra-value conflicts relate to the ongoing divide between ecomodernism and ecology with respect to the future of agriculture and food.</t>
  </si>
  <si>
    <t xml:space="preserve">This paper directly addresses cellular agriculture (cultivated meat/precision fermentation) from a societal and policy perspective, analyzing stakeholder values around sustainability and naturalness in the context of alternative protein production.</t>
  </si>
  <si>
    <t xml:space="preserve">See below</t>
  </si>
  <si>
    <t xml:space="preserve">pub.1190912480</t>
  </si>
  <si>
    <t xml:space="preserve">Renewable Energy-Driven Integration of Algae Photobioreactors in Wineries for Cost-Efficient Protein Production</t>
  </si>
  <si>
    <t xml:space="preserve">Ensuring a consistent and adequate supply of protein is becoming increasingly critical due to the combined effects of climate change and a growing world population. Algae cultivation has emerged as a viable solution to meet this need. This paper highlights the importance of protein in current and anticipated future food systems and provides an overview of algae cultivation techniques. Among these, photobioreactors stand out for their efficiency, low water requirements and reduced risk of contamination. However, one of the major challenges is the high cost of both lighting and carbon dioxide, which is essential for algae growth. To address this challenge, we present an innovative approach that integrates algae photobioreactor systems into wineries. Wineries produce a significant amount of carbon dioxide during the fermentation process, which can be reused for algae cultivation. In addition, energy demand in wineries is highly seasonal, making it complex to determine the optimal size of renewable energy systems and storage. By integrating an algae system, energy demand can be more evenly distributed throughout the year, while providing an additional revenue stream for wineries. In , this paper proposes a synergistic relationship between wineries and algae cultivation, highlighting a sustainable solution to pressing global challenges.</t>
  </si>
  <si>
    <t xml:space="preserve">This paper concerns the production of algae (microalgae) as a protein source for food systems using photobioreactors integrated with wineries, which falls within the fermentation/biomass category of alternative proteins intended for human food.</t>
  </si>
  <si>
    <t xml:space="preserve">F</t>
  </si>
  <si>
    <t xml:space="preserve">Failed again to assign a label… maybe send again for manual review.</t>
  </si>
  <si>
    <t xml:space="preserve">pub.1191935176</t>
  </si>
  <si>
    <t xml:space="preserve">Algae Protein Creates Sustainable Alternatives for Various Food Matrices: From Function to Nutrition</t>
  </si>
  <si>
    <t xml:space="preserve">Protein deficiency and environmental deterioration are pressing and complex issues in traditional agriculture system. Algae, which can grow without the need of land and with minimal water, offer a rich source of protein. Recently, large-scale algae cultivation and advanced extraction techniques have been developed, positioning algae protein as a promising alternative to traditional animal proteins in various food categories. This review explores the global development of algae protein in the food industry, emphasizing its potential in association with animal protein or as a substitute for animal protein in foods. It highlights the importance of algae protein extraction and quality in food structuring and nutrition. Algae protein can be tailored to create a wide range of food products, though its properties are not fully understood and depend on cultivation conditions and extraction methods. Currently, the utilization of algae protein can be achieved through the use of entire biomass or of protein concentrates, which may contain a variety of proteins and non-protein components. Despite the challenges associated with non-purified algae protein, the field is advancing toward efficiently extracting protein from the algae matrix and incorporating it into new food matrices. This progress makes the application of algae protein in "blue foods" increasingly promising. However, like plant proteins, algae protein faces the dual challenges of sustainability and functionality.</t>
  </si>
  <si>
    <t xml:space="preserve">This review explicitly covers algae protein as an alternative to animal proteins in food products, covering both macroalgae (plant-based) and microalgae (biomass fermentation), including extraction, functionality, and nutritional aspects relevant to alternative protein development.</t>
  </si>
  <si>
    <t xml:space="preserve">Woohoo, it now also thinks algae is PB.</t>
  </si>
  <si>
    <t xml:space="preserve">pub.1187661745</t>
  </si>
  <si>
    <t xml:space="preserve">Biotechnology-enhanced immunoassay for accurate determination of HT-2 toxin in edible insect samples</t>
  </si>
  <si>
    <t xml:space="preserve">Consumption of edible insects is common in non-Western countries of Africa, Asia, Oceania, and Latin America. However, their consumption has significantly increased in Europe in recent years thanks to their remarkable nutritional properties. Edible insects provide a valuable source of high-quality proteins, fats, minerals, and vitamins. Nevertheless, the absence of global regulatory guidelines poses a risk associated with their consumption due to the potential presence of pathogens and contaminants, such as mycotoxins, which are toxic compounds produced by fungi and represent a major threat to food and feed safety. Our approach integrates advanced nanobiotechnology to develop fluorescent antibodies by conjugating a recombinant superfolder green fluorescent protein (sfGFP) with a single-chain antibody (scFv). This fusion allows for precise detection of the immune complex formed between the HT-2 toxin and a biotinylated anti-HT-2 antibody. Additionally, we employed advanced computational tools, including AlphaFold and MOE, to deepen our understanding of the binding interactions present in the immune complex, confirming the strong interaction between the Fab/HT-2 toxin immunocomplex and the scFv antibody fragment, in contrast to the weaker binding observed with the Fab/T-2 toxin and the scFv. The method demonstrates high sensitivity, with an EC50 of 10.3 ± 0.6 ng mL−1, a dynamic range of 3.4 ± 0.1 to 31 ± 3 ng mL−1, a limit of detection of 0.43 ng mL−1, and a limit of quantification of 1.2 ng mL−1 in buffer solution. The assay exhibited excellent precision, with a reproducibility of 4% and no cross-reactivity with other mycotoxins. Application to contaminated cricket flour yielded recoveries between 91 and 133%, with coefficients of variation from 6 to 13%. These results indicate that the developed immunoassay is highly sensitive, selective, and reliable for detecting HT-2 toxin in food matrices, providing a promising tool for mycotoxin screening in food safety.Graphical Abstract</t>
  </si>
  <si>
    <t xml:space="preserve">pub.1196086614</t>
  </si>
  <si>
    <t xml:space="preserve">Evaluating quality of novel alternative protein sources (microbial and insect proteins) using the INFOGEST in vitro digestion model</t>
  </si>
  <si>
    <t xml:space="preserve">Sustainable alternative protein sources are needed for humans and animals, but their quality, including digestibility and Indispensable Amino Acid (IAA) contents, need to be determined. We evaluated the protein quality of novel microbial (MPX) and insect (BSFL) proteins, in comparison with more conventional, Fishmeal (FM) and Pea Protein (PP), using the INFOGEST model. MPX was highly digestible (92.6 %) and similar to PP (99.3 %), but higher than both FM (82.4 %) and BSFL (72.9 %, p &lt; 0.001). The use of 6.25 as conversion factor for N, overestimated the protein content of MPX and BSFL, due to their high non-protein N contents, impacting the measure of quality. Digestible IAA Ratios for MPX and BSFL were underestimated when crude protein was used, but use of total AA resulted in similar Digestible IAA Scores for MPX (0.96) and FM (0.95), with PP (0.72) and BSFL (0.51) being lower (P &lt; 0.001). MPX is the better quality novel protein source.</t>
  </si>
  <si>
    <t xml:space="preserve">While microbial protein (MPX) is evaluated, the study explicitly frames the research as being for both humans and animals, and the primary comparisons include fishmeal and insect protein in a context suggesting animal feed applications, with no stated application in alternative protein products substituting animal-derived foods for humans.</t>
  </si>
  <si>
    <t xml:space="preserve">No animal product substitution is mentioned. Both feed and food mentioned. LLM doesn’t think it’s enough.</t>
  </si>
  <si>
    <t xml:space="preserve">pub.1184570405</t>
  </si>
  <si>
    <t xml:space="preserve">Recent updates on plant protein-based dairy cheese alternatives: outlook and challenges</t>
  </si>
  <si>
    <t xml:space="preserve">In response to population growth, ethical considerations, and the environmental impacts of animal proteins, researchers are intensifying efforts to find alternative protein sources that replicate the functionality and nutritional profile of animal proteins. In this regard, plant-based cheese alternatives are becoming increasingly common in the marketplace, as one of the emerging dairy-free products. However, the dairy industry faces challenges in developing dairy-free products alternatives that meet the demands of customers with specific lifestyles or diets, ensure sustainability, and retain traditional customers. These challenges include food neophobia, the need to mimic the physicochemical, sensory, functional, and nutritional properties of dairy products, the inefficient conversion factor of plant-based proteins into animal proteins, and high production expenses. Given the distinct nature of plant-based milks, understanding their differences from cow's milk is crucial for formulating alternatives with comparable properties. Designing dairy-free cheese analogs requires overcoming electrostatic repulsion energy barriers among plant proteins to induce gelation and curd formation. Innovative approaches have substantially enhanced the physicochemical and sensory properties of these alternatives. Researchers are exploring the application of microalgae as a plant protein source and investigating new microbial fermentation methods to increase protein content in dairy-free products.</t>
  </si>
  <si>
    <t xml:space="preserve">This review directly concerns plant protein-based cheese alternatives (plant-based dairy analogues), including microalgae as protein sources and microbial fermentation methods, which are clearly within the alternative proteins scope.</t>
  </si>
  <si>
    <t xml:space="preserve">PB</t>
  </si>
  <si>
    <t xml:space="preserve">Currently, all microalgae is considered F, hence the wrong label.</t>
  </si>
  <si>
    <t xml:space="preserve">For CC labels, I should assess on the full dataset which yields greater accuracy: assuming the LLM CC label is correct, or overriding the pillar label where only one is chosen.</t>
  </si>
  <si>
    <t xml:space="preserve">If we want the best accuracy, it may be that any instances where both the CC label is TRUE and only one pillar is TRUE go for manual review.</t>
  </si>
  <si>
    <t xml:space="preserve">metric</t>
  </si>
  <si>
    <t xml:space="preserve">value</t>
  </si>
  <si>
    <t xml:space="preserve">n</t>
  </si>
  <si>
    <t xml:space="preserve">scope_accuracy</t>
  </si>
  <si>
    <t xml:space="preserve">62%</t>
  </si>
  <si>
    <t xml:space="preserve">pillar_accuracy</t>
  </si>
  <si>
    <t xml:space="preserve">12%</t>
  </si>
  <si>
    <t xml:space="preserve">pillar_accuracy_both_in_scope</t>
  </si>
  <si>
    <t xml:space="preserve">20%</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</si>
</sst>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6">
    <fill>
      <patternFill patternType="none"/>
    </fill>
    <fill>
      <patternFill patternType="gray125"/>
    </fill>
    <fill>
      <patternFill patternType="solid">
        <fgColor rgb="FFFFFF00"/>
        <bgColor rgb="FFFFFF00"/>
      </patternFill>
    </fill>
    <fill>
      <patternFill patternType="solid">
        <fgColor rgb="FFCCCCCC"/>
        <bgColor rgb="FFCCCCFF"/>
      </patternFill>
    </fill>
    <fill>
      <patternFill patternType="solid">
        <fgColor rgb="FFFF0000"/>
        <bgColor rgb="FF993300"/>
      </patternFill>
    </fill>
    <fill>
      <patternFill patternType="solid">
        <fgColor rgb="FF81D41A"/>
        <bgColor rgb="FF96969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2"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O11" activeCellId="0" sqref="O11"/>
    </sheetView>
  </sheetViews>
  <sheetFormatPr defaultColWidth="8.34375" defaultRowHeight="15" customHeight="false" zeroHeight="false" outlineLevelRow="0" outlineLevelCol="0"/>
  <cols>
    <col collapsed="false" customWidth="true" hidden="false" outlineLevel="0" max="18" min="17" style="1" width="19.85"/>
  </cols>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Q1" s="1" t="s">
        <v>15</v>
      </c>
      <c r="R1" s="1" t="s">
        <v>16</v>
      </c>
    </row>
    <row r="2" customFormat="false" ht="34.2" hidden="false" customHeight="false" outlineLevel="0" collapsed="false">
      <c r="A2" s="0" t="s">
        <v>17</v>
      </c>
      <c r="B2" s="0" t="s">
        <v>18</v>
      </c>
      <c r="C2" s="0" t="s">
        <v>19</v>
      </c>
      <c r="D2" s="0" t="s">
        <v>20</v>
      </c>
      <c r="E2" s="0" t="s">
        <v>20</v>
      </c>
      <c r="F2" s="0" t="n">
        <v>5</v>
      </c>
      <c r="G2" s="0" t="s">
        <v>21</v>
      </c>
      <c r="H2" s="2" t="b">
        <f aca="false">TRUE()</f>
        <v>1</v>
      </c>
      <c r="I2" s="0" t="s">
        <v>22</v>
      </c>
      <c r="J2" s="0" t="s">
        <v>23</v>
      </c>
      <c r="K2" s="3" t="b">
        <f aca="false">FALSE()</f>
        <v>0</v>
      </c>
      <c r="L2" s="2" t="b">
        <f aca="false">FALSE()</f>
        <v>0</v>
      </c>
      <c r="M2" s="2" t="b">
        <f aca="false">TRUE()</f>
        <v>1</v>
      </c>
      <c r="N2" s="2" t="b">
        <f aca="false">TRUE()</f>
        <v>1</v>
      </c>
      <c r="O2" s="2" t="b">
        <f aca="false">FALSE()</f>
        <v>0</v>
      </c>
      <c r="R2" s="1" t="s">
        <v>24</v>
      </c>
    </row>
    <row r="3" customFormat="false" ht="34.2" hidden="false" customHeight="false" outlineLevel="0" collapsed="false">
      <c r="A3" s="0" t="s">
        <v>25</v>
      </c>
      <c r="B3" s="0" t="s">
        <v>26</v>
      </c>
      <c r="C3" s="0" t="s">
        <v>27</v>
      </c>
      <c r="D3" s="0" t="s">
        <v>28</v>
      </c>
      <c r="H3" s="4" t="b">
        <f aca="false">FALSE()</f>
        <v>0</v>
      </c>
      <c r="I3" s="0" t="s">
        <v>29</v>
      </c>
      <c r="J3" s="0" t="s">
        <v>23</v>
      </c>
      <c r="K3" s="2" t="b">
        <f aca="false">FALSE()</f>
        <v>0</v>
      </c>
      <c r="Q3" s="1" t="s">
        <v>30</v>
      </c>
    </row>
    <row r="4" customFormat="false" ht="15" hidden="false" customHeight="false" outlineLevel="0" collapsed="false">
      <c r="A4" s="0" t="s">
        <v>31</v>
      </c>
      <c r="B4" s="0" t="s">
        <v>32</v>
      </c>
      <c r="C4" s="0" t="s">
        <v>33</v>
      </c>
      <c r="D4" s="0" t="s">
        <v>20</v>
      </c>
      <c r="E4" s="0" t="s">
        <v>20</v>
      </c>
      <c r="F4" s="0" t="n">
        <v>5</v>
      </c>
      <c r="G4" s="0" t="s">
        <v>34</v>
      </c>
      <c r="H4" s="2" t="b">
        <f aca="false">TRUE()</f>
        <v>1</v>
      </c>
      <c r="I4" s="0" t="s">
        <v>23</v>
      </c>
      <c r="J4" s="0" t="s">
        <v>22</v>
      </c>
      <c r="K4" s="5" t="b">
        <f aca="false">FALSE()</f>
        <v>0</v>
      </c>
      <c r="L4" s="2" t="b">
        <f aca="false">FALSE()</f>
        <v>0</v>
      </c>
      <c r="M4" s="2" t="b">
        <f aca="false">FALSE()</f>
        <v>0</v>
      </c>
      <c r="N4" s="2" t="b">
        <f aca="false">TRUE()</f>
        <v>1</v>
      </c>
      <c r="O4" s="2" t="b">
        <f aca="false">TRUE()</f>
        <v>1</v>
      </c>
      <c r="R4" s="1" t="s">
        <v>35</v>
      </c>
    </row>
    <row r="5" customFormat="false" ht="45.1" hidden="false" customHeight="false" outlineLevel="0" collapsed="false">
      <c r="A5" s="0" t="s">
        <v>36</v>
      </c>
      <c r="B5" s="0" t="s">
        <v>37</v>
      </c>
      <c r="C5" s="0" t="s">
        <v>38</v>
      </c>
      <c r="D5" s="0" t="s">
        <v>20</v>
      </c>
      <c r="E5" s="0" t="s">
        <v>20</v>
      </c>
      <c r="F5" s="0" t="n">
        <v>4</v>
      </c>
      <c r="G5" s="0" t="s">
        <v>39</v>
      </c>
      <c r="H5" s="2" t="b">
        <f aca="false">TRUE()</f>
        <v>1</v>
      </c>
      <c r="I5" s="0" t="s">
        <v>40</v>
      </c>
      <c r="J5" s="0" t="s">
        <v>29</v>
      </c>
      <c r="K5" s="5" t="b">
        <f aca="false">FALSE()</f>
        <v>0</v>
      </c>
      <c r="L5" s="2" t="b">
        <f aca="false">FALSE()</f>
        <v>0</v>
      </c>
      <c r="M5" s="2" t="b">
        <f aca="false">FALSE()</f>
        <v>0</v>
      </c>
      <c r="N5" s="2" t="b">
        <f aca="false">FALSE()</f>
        <v>0</v>
      </c>
      <c r="O5" s="2" t="b">
        <f aca="false">FALSE()</f>
        <v>0</v>
      </c>
      <c r="R5" s="1" t="s">
        <v>41</v>
      </c>
    </row>
    <row r="6" customFormat="false" ht="23.3" hidden="false" customHeight="false" outlineLevel="0" collapsed="false">
      <c r="A6" s="0" t="s">
        <v>42</v>
      </c>
      <c r="B6" s="0" t="s">
        <v>43</v>
      </c>
      <c r="C6" s="0" t="s">
        <v>44</v>
      </c>
      <c r="D6" s="0" t="s">
        <v>20</v>
      </c>
      <c r="E6" s="0" t="s">
        <v>20</v>
      </c>
      <c r="F6" s="0" t="n">
        <v>5</v>
      </c>
      <c r="G6" s="0" t="s">
        <v>45</v>
      </c>
      <c r="H6" s="2" t="b">
        <f aca="false">TRUE()</f>
        <v>1</v>
      </c>
      <c r="I6" s="0" t="s">
        <v>23</v>
      </c>
      <c r="J6" s="0" t="s">
        <v>23</v>
      </c>
      <c r="K6" s="6" t="b">
        <f aca="false">TRUE()</f>
        <v>1</v>
      </c>
      <c r="L6" s="2" t="b">
        <f aca="false">TRUE()</f>
        <v>1</v>
      </c>
      <c r="M6" s="2" t="b">
        <f aca="false">TRUE()</f>
        <v>1</v>
      </c>
      <c r="N6" s="2" t="b">
        <f aca="false">FALSE()</f>
        <v>0</v>
      </c>
      <c r="O6" s="2" t="b">
        <f aca="false">FALSE()</f>
        <v>0</v>
      </c>
      <c r="R6" s="1" t="s">
        <v>46</v>
      </c>
    </row>
    <row r="7" customFormat="false" ht="34.2" hidden="false" customHeight="false" outlineLevel="0" collapsed="false">
      <c r="A7" s="0" t="s">
        <v>47</v>
      </c>
      <c r="B7" s="0" t="s">
        <v>48</v>
      </c>
      <c r="C7" s="0" t="s">
        <v>49</v>
      </c>
      <c r="D7" s="0" t="s">
        <v>28</v>
      </c>
      <c r="H7" s="4" t="b">
        <f aca="false">FALSE()</f>
        <v>0</v>
      </c>
      <c r="I7" s="0" t="s">
        <v>29</v>
      </c>
      <c r="J7" s="0" t="s">
        <v>23</v>
      </c>
      <c r="K7" s="2" t="b">
        <f aca="false">FALSE()</f>
        <v>0</v>
      </c>
      <c r="Q7" s="1" t="s">
        <v>30</v>
      </c>
    </row>
    <row r="8" customFormat="false" ht="66.9" hidden="false" customHeight="false" outlineLevel="0" collapsed="false">
      <c r="A8" s="0" t="s">
        <v>50</v>
      </c>
      <c r="B8" s="0" t="s">
        <v>51</v>
      </c>
      <c r="C8" s="0" t="s">
        <v>52</v>
      </c>
      <c r="D8" s="0" t="s">
        <v>20</v>
      </c>
      <c r="E8" s="0" t="s">
        <v>28</v>
      </c>
      <c r="F8" s="7" t="n">
        <v>2</v>
      </c>
      <c r="G8" s="8" t="s">
        <v>53</v>
      </c>
      <c r="H8" s="5" t="b">
        <f aca="false">FALSE()</f>
        <v>0</v>
      </c>
      <c r="I8" s="0" t="s">
        <v>40</v>
      </c>
      <c r="J8" s="0" t="s">
        <v>29</v>
      </c>
      <c r="K8" s="2" t="b">
        <f aca="false">FALSE()</f>
        <v>0</v>
      </c>
      <c r="L8" s="2" t="b">
        <f aca="false">FALSE()</f>
        <v>0</v>
      </c>
      <c r="M8" s="2" t="b">
        <f aca="false">FALSE()</f>
        <v>0</v>
      </c>
      <c r="N8" s="2" t="b">
        <f aca="false">FALSE()</f>
        <v>0</v>
      </c>
      <c r="O8" s="2" t="b">
        <f aca="false">FALSE()</f>
        <v>0</v>
      </c>
      <c r="Q8" s="1" t="s">
        <v>54</v>
      </c>
    </row>
    <row r="9" customFormat="false" ht="34.2" hidden="false" customHeight="false" outlineLevel="0" collapsed="false">
      <c r="A9" s="0" t="s">
        <v>55</v>
      </c>
      <c r="B9" s="0" t="s">
        <v>56</v>
      </c>
      <c r="C9" s="0" t="s">
        <v>57</v>
      </c>
      <c r="D9" s="0" t="s">
        <v>20</v>
      </c>
      <c r="E9" s="0" t="s">
        <v>20</v>
      </c>
      <c r="F9" s="0" t="n">
        <v>5</v>
      </c>
      <c r="G9" s="0" t="s">
        <v>58</v>
      </c>
      <c r="H9" s="2" t="b">
        <f aca="false">TRUE()</f>
        <v>1</v>
      </c>
      <c r="I9" s="0" t="s">
        <v>59</v>
      </c>
      <c r="J9" s="0" t="s">
        <v>23</v>
      </c>
      <c r="K9" s="5" t="b">
        <f aca="false">FALSE()</f>
        <v>0</v>
      </c>
      <c r="L9" s="2" t="b">
        <f aca="false">TRUE()</f>
        <v>1</v>
      </c>
      <c r="M9" s="2" t="b">
        <f aca="false">TRUE()</f>
        <v>1</v>
      </c>
      <c r="N9" s="2" t="b">
        <f aca="false">FALSE()</f>
        <v>0</v>
      </c>
      <c r="O9" s="2" t="b">
        <f aca="false">FALSE()</f>
        <v>0</v>
      </c>
      <c r="R9" s="9" t="s">
        <v>60</v>
      </c>
    </row>
    <row r="11" customFormat="false" ht="99.6" hidden="false" customHeight="false" outlineLevel="0" collapsed="false">
      <c r="R11" s="10" t="s">
        <v>61</v>
      </c>
    </row>
    <row r="12" customFormat="false" ht="77.8" hidden="false" customHeight="false" outlineLevel="0" collapsed="false">
      <c r="R12" s="10" t="s">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63</v>
      </c>
      <c r="B1" s="0" t="s">
        <v>64</v>
      </c>
      <c r="C1" s="0" t="s">
        <v>65</v>
      </c>
    </row>
    <row r="2" customFormat="false" ht="15" hidden="false" customHeight="false" outlineLevel="0" collapsed="false">
      <c r="A2" s="0" t="s">
        <v>66</v>
      </c>
      <c r="B2" s="0" t="s">
        <v>67</v>
      </c>
      <c r="C2" s="0" t="n">
        <v>8</v>
      </c>
    </row>
    <row r="3" customFormat="false" ht="15" hidden="false" customHeight="false" outlineLevel="0" collapsed="false">
      <c r="A3" s="0" t="s">
        <v>68</v>
      </c>
      <c r="B3" s="0" t="s">
        <v>69</v>
      </c>
      <c r="C3" s="0" t="n">
        <v>8</v>
      </c>
    </row>
    <row r="4" customFormat="false" ht="15" hidden="false" customHeight="false" outlineLevel="0" collapsed="false">
      <c r="A4" s="0" t="s">
        <v>70</v>
      </c>
      <c r="B4" s="0" t="s">
        <v>71</v>
      </c>
      <c r="C4" s="0" t="n">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2026-06-15T12:57:14Z</dcterms:created>
  <dc:creator>openpyxl</dc:creator>
  <dc:description/>
  <dc:language>en-GB</dc:language>
  <cp:lastModifiedBy/>
  <dcterms:modified xsi:type="dcterms:W3CDTF">2026-06-15T14:18:19Z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