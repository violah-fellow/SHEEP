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<sst xmlns="http://schemas.openxmlformats.org/spreadsheetml/2006/main" count="101" uniqueCount="70">
  <si>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</si>
  <si>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</si>
  <si>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</si>
  <si>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</si>
  <si>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</si>
  <si>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</si>
  <si>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</si>
  <si>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</si>
  <si>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</si>
  <si>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</si>
  <si>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</si>
  <si>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</si>
  <si>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</si>
  <si>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</si>
  <si>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</si>
  <si>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pub.1190984789</t>
  </si>
  <si>
    <t xml:space="preserve">Mimicking the myoseptum in cultivated fish by manufacturing edible microalgae-rich nanofibers</t>
  </si>
  <si>
    <t xml:space="preserve">Cultivated fish can offer seafood with lower environmental impact and improved animal welfare. Electrospun fibres, resembling collagen in structure and size, can mimic the myoseptum —an important structural element for fish fillet patterning. Here, we cultured Dicentrarchus labrax Embryonic Cells (DLEC) for the first time on edible zein-gelatin electrospun fibres. Notably, we successfully incorporated biomass of the microalgae Nannochloropsis oceanica into the fibres. The effect of the Maillard reaction as thermal crosslinking method was studied. The structure, chemical composition, mechanical performance and biocompatibility of the electrospun fibres were evaluated. Fibres containing N. oceanica biomass significantly enhanced DLEC adhesion, leading to faster proliferation. Aligned fibres promoted DLEC alignment, an important feature for improving texture in food products. Finally, the fibrous scaffolds and edible bioinks were successfully combined to fabricate a cultivated fish prototype. Overall, these findings highlight the potential of edible electrospun fibres for the development of cultivated fish fillets.</t>
  </si>
  <si>
    <t xml:space="preserve">in</t>
  </si>
  <si>
    <t xml:space="preserve">This study develops edible electrospun scaffolds incorporating microalgae biomass (Nannochloropsis oceanica) to support fish cell culture for cultivated seafood, directly advancing cultivated meat/seafood technology with fermentation-relevant microalgae biomass as a functional ingredient.</t>
  </si>
  <si>
    <t xml:space="preserve">CM</t>
  </si>
  <si>
    <t xml:space="preserve">CC</t>
  </si>
  <si>
    <t xml:space="preserve">pub.1184458384</t>
  </si>
  <si>
    <t xml:space="preserve">Development of a Recombinant Omicron BA.1 Subunit Vaccine Candidate in Pichia pastoris</t>
  </si>
  <si>
    <t xml:space="preserve">Low-cost and safe vaccines are needed to fill the vaccine inequity gap for future pandemics. Pichia pastoris is an ideal expression system for recombinant protein production due to its cost-effective and easy-to-scale-up process. Here, we developed a next-generation SARS-CoV2 Omicron BA.1-based recombinant vaccine candidate expressed in P. pastoris. The receptor binding domain of Omicron BA.1 spike protein (RBD-Omicron) was produced at 0.35 g/L in supernatant. With a 60% recovery after two-step purification, RBD-Omicron showed 99% purity. After in vitro characterisation of purified RBD-Omicron via chromatography, mass spectrometry, calorimetry and surface plasmon resonance-based methods, it was injected into mice for immunization studies. Three different doses of Alum and CpG adjuvanted RBD-Omicron were investigated and 10 μg RBD-Omicron gave the highest antigenicity. After two doses of vaccination, IgG titers in mice serum reached to more than 106. These serum antibodies also recognized earlier (Delta Plus: B.1.617.2) and later (Eris: EG.5, Pirola: BA.2.86) SARS-CoV2 variants. The long-term immunological response in mice was measured by analyzing serum antibody titers and T-cell response of splenocytes after 60 weeks. Interestingly, IgG titers and Th1 response were significantly high even after a year. Omicron subvariants are dominantly circulating in the world, so Omicron sub-lineage-based vaccines can be used for future pandemics. The RBD-Omicron-based vaccine candidate developed in this study is suitable for technology transfer and transition into the clinic.</t>
  </si>
  <si>
    <t xml:space="preserve">out</t>
  </si>
  <si>
    <t xml:space="preserve">NA</t>
  </si>
  <si>
    <t xml:space="preserve">pub.1190543844</t>
  </si>
  <si>
    <t xml:space="preserve">Disruptive technologies and intra-value conflicts: The case of naturalness and sustainability in cellular agriculture</t>
  </si>
  <si>
    <t xml:space="preserve">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</si>
  <si>
    <t xml:space="preserve">This paper directly addresses cellular agriculture (cultivated meat/alternative proteins) from a societal and policy perspective, analyzing stakeholder values around sustainability and naturalness in the context of this alternative protein production method.</t>
  </si>
  <si>
    <t xml:space="preserve">pub.1190912480</t>
  </si>
  <si>
    <t xml:space="preserve">Renewable Energy-Driven Integration of Algae Photobioreactors in Wineries for Cost-Efficient Protein Production</t>
  </si>
  <si>
    <t xml:space="preserve">Ensuring a consistent and adequate supply of protein is becoming increasingly critical due to the combined effects of climate change and a growing world population. Algae cultivation has emerged as a viable solution to meet this need. This paper highlights the importance of protein in current and anticipated future food systems and provides an overview of algae cultivation techniques. Among these, photobioreactors stand out for their efficiency, low water requirements and reduced risk of contamination. However, one of the major challenges is the high cost of both lighting and carbon dioxide, which is essential for algae growth. To address this challenge, we present an innovative approach that integrates algae photobioreactor systems into wineries. Wineries produce a significant amount of carbon dioxide during the fermentation process, which can be reused for algae cultivation. In addition, energy demand in wineries is highly seasonal, making it complex to determine the optimal size of renewable energy systems and storage. By integrating an algae system, energy demand can be more evenly distributed throughout the year, while providing an additional revenue stream for wineries. In , this paper proposes a synergistic relationship between wineries and algae cultivation, highlighting a sustainable solution to pressing global challenges.</t>
  </si>
  <si>
    <t xml:space="preserve">This paper concerns the cultivation of microalgae in photobioreactors as a protein source for food systems, which falls under fermentation/biomass fermentation category, with the integration into wineries as an enabling production approach.</t>
  </si>
  <si>
    <t xml:space="preserve">F</t>
  </si>
  <si>
    <t xml:space="preserve">pub.1191935176</t>
  </si>
  <si>
    <t xml:space="preserve">Algae Protein Creates Sustainable Alternatives for Various Food Matrices: From Function to Nutrition</t>
  </si>
  <si>
    <t xml:space="preserve">Protein deficiency and environmental deterioration are pressing and complex issues in traditional agriculture system. Algae, which can grow without the need of land and with minimal water, offer a rich source of protein. Recently, large-scale algae cultivation and advanced extraction techniques have been developed, positioning algae protein as a promising alternative to traditional animal proteins in various food categories. This review explores the global development of algae protein in the food industry, emphasizing its potential in association with animal protein or as a substitute for animal protein in foods. It highlights the importance of algae protein extraction and quality in food structuring and nutrition. Algae protein can be tailored to create a wide range of food products, though its properties are not fully understood and depend on cultivation conditions and extraction methods. Currently, the utilization of algae protein can be achieved through the use of entire biomass or of protein concentrates, which may contain a variety of proteins and non-protein components. Despite the challenges associated with non-purified algae protein, the field is advancing toward efficiently extracting protein from the algae matrix and incorporating it into new food matrices. This progress makes the application of algae protein in "blue foods" increasingly promising. However, like plant proteins, algae protein faces the dual challenges of sustainability and functionality.</t>
  </si>
  <si>
    <t xml:space="preserve">This review explicitly covers algae protein as an alternative to animal proteins in food products, discussing extraction, functionality, nutrition, and application in various food matrices, which is clearly within scope of plant-based alternative proteins (macroalgae/microalgae as protein sources).</t>
  </si>
  <si>
    <t xml:space="preserve">PB</t>
  </si>
  <si>
    <t xml:space="preserve">pub.1185329350</t>
  </si>
  <si>
    <t xml:space="preserve">Physical and Sensory Properties of Vegan Organic Microalgae Pasta with High Protein and/or Fiber Content</t>
  </si>
  <si>
    <t xml:space="preserve">Market opportunities for microalgae pasta increase if an added health value can be declared. This work aimed to develop organic, vegan, protein- and/or fiber-rich microalgae pasta. Chlorella vulgaris (CV) at 3% and 5%, denatured wheat gluten (dG) and/or apple fibers (AF) were added to the dough and processing, cooking behavior, color, firmness, and sensory properties were investigated to test the influence of increasing protein and fiber contents and the impact of combined ingredients in comparison with the individual ingredients. For dG, the lowest impact on color and sensory changes (unaltered acceptance) was observed, but in combination with CV and AF, the overall effects were higher than with CV or AF alone. In addition, all dG-containing samples showed reduced water absorption and increased firmness, most likely due to a condensed protein network. CV and AF alone had no effect on firmness, but combinations did. AF slightly and 3% CV strongly affected odor, taste, and acceptance (27%) of the pasta. Combinations of CV with dG or AF increased the acceptability (45% and 36%, respectively), combinations of all ingredients worsened it (18%). We conclude that high protein and/or fiber Chlorella pasta is technically feasible, but that CV’s taste must be improved for greater acceptance.</t>
  </si>
  <si>
    <t xml:space="preserve">Microalgae pasta is a food product that does not substitute animal-derived foods — pasta is explicitly listed as out of scope (bread, pasta, snacks), and the microalgae here serves as a nutritional/functional additive rather than as an alternative protein source replacing animal protein.</t>
  </si>
  <si>
    <t xml:space="preserve">pub.1187661745</t>
  </si>
  <si>
    <t xml:space="preserve">Biotechnology-enhanced immunoassay for accurate determination of HT-2 toxin in edible insect samples</t>
  </si>
  <si>
    <t xml:space="preserve">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</si>
  <si>
    <t xml:space="preserve">pub.1196086614</t>
  </si>
  <si>
    <t xml:space="preserve">Evaluating quality of novel alternative protein sources (microbial and insect proteins) using the INFOGEST in vitro digestion model</t>
  </si>
  <si>
    <t xml:space="preserve">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</si>
  <si>
    <t xml:space="preserve">While microbial protein (MPX) is studied, the research explicitly frames the application as for both humans and animals, and the comparison includes fishmeal and insect protein primarily in an animal feed context, with no stated application as an alternative protein food product for humans.</t>
  </si>
  <si>
    <t xml:space="preserve">I am trying to get this to be a 3</t>
  </si>
  <si>
    <t xml:space="preserve">pub.1184570405</t>
  </si>
  <si>
    <t xml:space="preserve">Recent updates on plant protein-based dairy cheese alternatives: outlook and challenges</t>
  </si>
  <si>
    <t xml:space="preserve">In response to population growth, ethical considerations, and the environmental impacts of animal proteins, researchers are intensifying efforts to find alternative protein sources that replicate the functionality and nutritional profile of animal proteins. In this regard, plant-based cheese alternatives are becoming increasingly common in the marketplace, as one of the emerging dairy-free products. However, the dairy industry faces challenges in developing dairy-free products alternatives that meet the demands of customers with specific lifestyles or diets, ensure sustainability, and retain traditional customers. These challenges include food neophobia, the need to mimic the physicochemical, sensory, functional, and nutritional properties of dairy products, the inefficient conversion factor of plant-based proteins into animal proteins, and high production expenses. Given the distinct nature of plant-based milks, understanding their differences from cow's milk is crucial for formulating alternatives with comparable properties. Designing dairy-free cheese analogs requires overcoming electrostatic repulsion energy barriers among plant proteins to induce gelation and curd formation. Innovative approaches have substantially enhanced the physicochemical and sensory properties of these alternatives. Researchers are exploring the application of microalgae as a plant protein source and investigating new microbial fermentation methods to increase protein content in dairy-free products.</t>
  </si>
  <si>
    <t xml:space="preserve">This review directly concerns plant protein-based cheese alternatives (plant-based dairy analogues), including microalgae as protein sources and microbial fermentation methods, which are clearly within the alternative proteins scope.</t>
  </si>
  <si>
    <t xml:space="preserve">pub.1188406674</t>
  </si>
  <si>
    <t xml:space="preserve">Development and Characterizing of Soy‐Sauce Like Seasoning from Yellow Pea (Pisum sativum)</t>
  </si>
  <si>
    <t xml:space="preserve">Due to the chemical profile of yellow peas, comparable to soybeans, the yellow pea is a suitable candidate for more sustainable alternative plant‐based food products, particularly for soy sauce, a widely used condiment for seasoning. This study focuses on developing an alternative soy sauce using yellow peas, taking advantage of their high protein composition and allergen‐friendly profile. To produce a yellow pea‐based sauce, the yellow peas are processed through two fermentation steps similar to traditionally produced soy sauce. The first fermentation is the solid phase fermentation in which the mold breaks down macromolecules into substrates for bacterial and yeast activity. The second stage is the stage where flavor and aroma are developed over a certain period in solution with high salt content. In this study, two types of local yellow peas were utilized, and the fermentation process spanned three months, with sampling intervals ranging from 7 to 14 days, starting from day 5 through day 90. The key parameters, including pH, total acidity, amino acid nitrogen content, salt concentration, volatile substances, and free amino acid profiles are measured using gas chromatography (GS) and high‐performance liquid chromatography (HPLC). The identification of volatile contribution provides an insight into the flavor profile. Furthermore, a statistical experimental design is to be implemented to evaluate the effects of brine salt concentration (8‐20%) and fermentation temperature (25°C‐35°C) on product quality with results expected to provide insights into optimal fermentation conditions. Preliminary results showed varied pH and free amino nitrogen content influenced by temperature, salt concentration and fermentation duration. Thus, this study provides a foundation for creating sustainable, allergen‐friendly soy sauce alternatives and insights into the fermentation process of yellow pea‐based substrates.</t>
  </si>
  <si>
    <t xml:space="preserve">This study develops a soy-sauce-like seasoning/condiment from yellow peas, which is a flavoring product rather than an alternative protein substitute for animal-derived foods (meat, dairy, egg, or seafood), placing it outside the scope of alternative proteins.</t>
  </si>
  <si>
    <t xml:space="preserve">metric</t>
  </si>
  <si>
    <t xml:space="preserve">value</t>
  </si>
  <si>
    <t xml:space="preserve">n</t>
  </si>
  <si>
    <t xml:space="preserve">scope_accuracy</t>
  </si>
  <si>
    <t xml:space="preserve">70%</t>
  </si>
  <si>
    <t xml:space="preserve">pillar_accuracy</t>
  </si>
  <si>
    <t xml:space="preserve">20%</t>
  </si>
  <si>
    <t xml:space="preserve">pillar_accuracy_both_in_scope</t>
  </si>
  <si>
    <t xml:space="preserve">0%</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</si>
</sst>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Q15" activeCellId="0" sqref="Q15"/>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row>
    <row r="2" customFormat="false" ht="15" hidden="false" customHeight="false" outlineLevel="0" collapsed="false">
      <c r="A2" s="0" t="s">
        <v>15</v>
      </c>
      <c r="B2" s="0" t="s">
        <v>16</v>
      </c>
      <c r="C2" s="0" t="s">
        <v>17</v>
      </c>
      <c r="D2" s="0" t="s">
        <v>18</v>
      </c>
      <c r="E2" s="0" t="s">
        <v>18</v>
      </c>
      <c r="F2" s="0" t="n">
        <v>5</v>
      </c>
      <c r="G2" s="0" t="s">
        <v>19</v>
      </c>
      <c r="H2" s="1" t="b">
        <f aca="false">TRUE()</f>
        <v>1</v>
      </c>
      <c r="I2" s="0" t="s">
        <v>20</v>
      </c>
      <c r="J2" s="0" t="s">
        <v>21</v>
      </c>
      <c r="K2" s="1" t="b">
        <f aca="false">FALSE()</f>
        <v>0</v>
      </c>
      <c r="L2" s="1" t="b">
        <f aca="false">FALSE()</f>
        <v>0</v>
      </c>
      <c r="M2" s="1" t="b">
        <f aca="false">TRUE()</f>
        <v>1</v>
      </c>
      <c r="N2" s="1" t="b">
        <f aca="false">TRUE()</f>
        <v>1</v>
      </c>
      <c r="O2" s="1" t="b">
        <f aca="false">FALSE()</f>
        <v>0</v>
      </c>
    </row>
    <row r="3" customFormat="false" ht="15" hidden="false" customHeight="false" outlineLevel="0" collapsed="false">
      <c r="A3" s="0" t="s">
        <v>22</v>
      </c>
      <c r="B3" s="0" t="s">
        <v>23</v>
      </c>
      <c r="C3" s="0" t="s">
        <v>24</v>
      </c>
      <c r="D3" s="0" t="s">
        <v>25</v>
      </c>
      <c r="H3" s="1" t="b">
        <f aca="false">FALSE()</f>
        <v>0</v>
      </c>
      <c r="I3" s="0" t="s">
        <v>26</v>
      </c>
      <c r="J3" s="0" t="s">
        <v>21</v>
      </c>
      <c r="K3" s="1" t="b">
        <f aca="false">FALSE()</f>
        <v>0</v>
      </c>
    </row>
    <row r="4" customFormat="false" ht="15" hidden="false" customHeight="false" outlineLevel="0" collapsed="false">
      <c r="A4" s="0" t="s">
        <v>27</v>
      </c>
      <c r="B4" s="0" t="s">
        <v>28</v>
      </c>
      <c r="C4" s="0" t="s">
        <v>29</v>
      </c>
      <c r="D4" s="0" t="s">
        <v>18</v>
      </c>
      <c r="E4" s="0" t="s">
        <v>18</v>
      </c>
      <c r="F4" s="0" t="n">
        <v>5</v>
      </c>
      <c r="G4" s="0" t="s">
        <v>30</v>
      </c>
      <c r="H4" s="1" t="b">
        <f aca="false">TRUE()</f>
        <v>1</v>
      </c>
      <c r="I4" s="0" t="s">
        <v>21</v>
      </c>
      <c r="J4" s="0" t="s">
        <v>20</v>
      </c>
      <c r="K4" s="1" t="b">
        <f aca="false">FALSE()</f>
        <v>0</v>
      </c>
      <c r="L4" s="1" t="b">
        <f aca="false">FALSE()</f>
        <v>0</v>
      </c>
      <c r="M4" s="1" t="b">
        <f aca="false">FALSE()</f>
        <v>0</v>
      </c>
      <c r="N4" s="1" t="b">
        <f aca="false">TRUE()</f>
        <v>1</v>
      </c>
      <c r="O4" s="1" t="b">
        <f aca="false">TRUE()</f>
        <v>1</v>
      </c>
    </row>
    <row r="5" customFormat="false" ht="15" hidden="false" customHeight="false" outlineLevel="0" collapsed="false">
      <c r="A5" s="0" t="s">
        <v>31</v>
      </c>
      <c r="B5" s="0" t="s">
        <v>32</v>
      </c>
      <c r="C5" s="0" t="s">
        <v>33</v>
      </c>
      <c r="D5" s="0" t="s">
        <v>18</v>
      </c>
      <c r="E5" s="0" t="s">
        <v>18</v>
      </c>
      <c r="F5" s="0" t="n">
        <v>4</v>
      </c>
      <c r="G5" s="0" t="s">
        <v>34</v>
      </c>
      <c r="H5" s="1" t="b">
        <f aca="false">TRUE()</f>
        <v>1</v>
      </c>
      <c r="I5" s="0" t="s">
        <v>35</v>
      </c>
      <c r="J5" s="0" t="s">
        <v>26</v>
      </c>
      <c r="K5" s="1" t="b">
        <f aca="false">FALSE()</f>
        <v>0</v>
      </c>
      <c r="L5" s="1" t="b">
        <f aca="false">FALSE()</f>
        <v>0</v>
      </c>
      <c r="M5" s="1" t="b">
        <f aca="false">FALSE()</f>
        <v>0</v>
      </c>
      <c r="N5" s="1" t="b">
        <f aca="false">FALSE()</f>
        <v>0</v>
      </c>
      <c r="O5" s="1" t="b">
        <f aca="false">FALSE()</f>
        <v>0</v>
      </c>
    </row>
    <row r="6" customFormat="false" ht="15" hidden="false" customHeight="false" outlineLevel="0" collapsed="false">
      <c r="A6" s="0" t="s">
        <v>36</v>
      </c>
      <c r="B6" s="0" t="s">
        <v>37</v>
      </c>
      <c r="C6" s="0" t="s">
        <v>38</v>
      </c>
      <c r="D6" s="0" t="s">
        <v>18</v>
      </c>
      <c r="E6" s="0" t="s">
        <v>18</v>
      </c>
      <c r="F6" s="0" t="n">
        <v>5</v>
      </c>
      <c r="G6" s="0" t="s">
        <v>39</v>
      </c>
      <c r="H6" s="1" t="b">
        <f aca="false">TRUE()</f>
        <v>1</v>
      </c>
      <c r="I6" s="0" t="s">
        <v>21</v>
      </c>
      <c r="J6" s="0" t="s">
        <v>40</v>
      </c>
      <c r="K6" s="1" t="b">
        <f aca="false">FALSE()</f>
        <v>0</v>
      </c>
      <c r="L6" s="1" t="b">
        <f aca="false">TRUE()</f>
        <v>1</v>
      </c>
      <c r="M6" s="1" t="b">
        <f aca="false">FALSE()</f>
        <v>0</v>
      </c>
      <c r="N6" s="1" t="b">
        <f aca="false">FALSE()</f>
        <v>0</v>
      </c>
      <c r="O6" s="1" t="b">
        <f aca="false">FALSE()</f>
        <v>0</v>
      </c>
    </row>
    <row r="7" customFormat="false" ht="15" hidden="false" customHeight="false" outlineLevel="0" collapsed="false">
      <c r="A7" s="0" t="s">
        <v>41</v>
      </c>
      <c r="B7" s="0" t="s">
        <v>42</v>
      </c>
      <c r="C7" s="0" t="s">
        <v>43</v>
      </c>
      <c r="D7" s="0" t="s">
        <v>25</v>
      </c>
      <c r="E7" s="0" t="s">
        <v>25</v>
      </c>
      <c r="F7" s="0" t="n">
        <v>2</v>
      </c>
      <c r="G7" s="0" t="s">
        <v>44</v>
      </c>
      <c r="H7" s="1" t="b">
        <f aca="false">TRUE()</f>
        <v>1</v>
      </c>
      <c r="I7" s="0" t="s">
        <v>26</v>
      </c>
      <c r="J7" s="0" t="s">
        <v>26</v>
      </c>
      <c r="K7" s="1" t="b">
        <f aca="false">TRUE()</f>
        <v>1</v>
      </c>
      <c r="L7" s="1" t="b">
        <f aca="false">FALSE()</f>
        <v>0</v>
      </c>
      <c r="M7" s="1" t="b">
        <f aca="false">FALSE()</f>
        <v>0</v>
      </c>
      <c r="N7" s="1" t="b">
        <f aca="false">FALSE()</f>
        <v>0</v>
      </c>
      <c r="O7" s="1" t="b">
        <f aca="false">FALSE()</f>
        <v>0</v>
      </c>
    </row>
    <row r="8" customFormat="false" ht="15" hidden="false" customHeight="false" outlineLevel="0" collapsed="false">
      <c r="A8" s="0" t="s">
        <v>45</v>
      </c>
      <c r="B8" s="0" t="s">
        <v>46</v>
      </c>
      <c r="C8" s="0" t="s">
        <v>47</v>
      </c>
      <c r="D8" s="0" t="s">
        <v>25</v>
      </c>
      <c r="H8" s="1" t="b">
        <f aca="false">FALSE()</f>
        <v>0</v>
      </c>
      <c r="I8" s="0" t="s">
        <v>26</v>
      </c>
      <c r="J8" s="0" t="s">
        <v>21</v>
      </c>
      <c r="K8" s="1" t="b">
        <f aca="false">FALSE()</f>
        <v>0</v>
      </c>
    </row>
    <row r="9" customFormat="false" ht="15" hidden="false" customHeight="false" outlineLevel="0" collapsed="false">
      <c r="A9" s="0" t="s">
        <v>48</v>
      </c>
      <c r="B9" s="0" t="s">
        <v>49</v>
      </c>
      <c r="C9" s="0" t="s">
        <v>50</v>
      </c>
      <c r="D9" s="0" t="s">
        <v>18</v>
      </c>
      <c r="E9" s="0" t="s">
        <v>25</v>
      </c>
      <c r="F9" s="0" t="n">
        <v>2</v>
      </c>
      <c r="G9" s="0" t="s">
        <v>51</v>
      </c>
      <c r="H9" s="2" t="b">
        <f aca="false">FALSE()</f>
        <v>0</v>
      </c>
      <c r="I9" s="0" t="s">
        <v>35</v>
      </c>
      <c r="J9" s="0" t="s">
        <v>26</v>
      </c>
      <c r="K9" s="1" t="b">
        <f aca="false">FALSE()</f>
        <v>0</v>
      </c>
      <c r="L9" s="1" t="b">
        <f aca="false">FALSE()</f>
        <v>0</v>
      </c>
      <c r="M9" s="1" t="b">
        <f aca="false">FALSE()</f>
        <v>0</v>
      </c>
      <c r="N9" s="1" t="b">
        <f aca="false">FALSE()</f>
        <v>0</v>
      </c>
      <c r="O9" s="1" t="b">
        <f aca="false">FALSE()</f>
        <v>0</v>
      </c>
      <c r="Q9" s="0" t="s">
        <v>52</v>
      </c>
    </row>
    <row r="10" customFormat="false" ht="15" hidden="false" customHeight="false" outlineLevel="0" collapsed="false">
      <c r="A10" s="0" t="s">
        <v>53</v>
      </c>
      <c r="B10" s="0" t="s">
        <v>54</v>
      </c>
      <c r="C10" s="0" t="s">
        <v>55</v>
      </c>
      <c r="D10" s="0" t="s">
        <v>18</v>
      </c>
      <c r="E10" s="0" t="s">
        <v>18</v>
      </c>
      <c r="F10" s="0" t="n">
        <v>5</v>
      </c>
      <c r="G10" s="0" t="s">
        <v>56</v>
      </c>
      <c r="H10" s="1" t="b">
        <f aca="false">TRUE()</f>
        <v>1</v>
      </c>
      <c r="I10" s="0" t="s">
        <v>40</v>
      </c>
      <c r="J10" s="0" t="s">
        <v>21</v>
      </c>
      <c r="K10" s="1" t="b">
        <f aca="false">FALSE()</f>
        <v>0</v>
      </c>
      <c r="L10" s="1" t="b">
        <f aca="false">TRUE()</f>
        <v>1</v>
      </c>
      <c r="M10" s="1" t="b">
        <f aca="false">TRUE()</f>
        <v>1</v>
      </c>
      <c r="N10" s="1" t="b">
        <f aca="false">FALSE()</f>
        <v>0</v>
      </c>
      <c r="O10" s="1" t="b">
        <f aca="false">FALSE()</f>
        <v>0</v>
      </c>
    </row>
    <row r="11" customFormat="false" ht="15" hidden="false" customHeight="false" outlineLevel="0" collapsed="false">
      <c r="A11" s="0" t="s">
        <v>57</v>
      </c>
      <c r="B11" s="0" t="s">
        <v>58</v>
      </c>
      <c r="C11" s="0" t="s">
        <v>59</v>
      </c>
      <c r="D11" s="0" t="s">
        <v>25</v>
      </c>
      <c r="E11" s="0" t="s">
        <v>25</v>
      </c>
      <c r="F11" s="0" t="n">
        <v>3</v>
      </c>
      <c r="G11" s="0" t="s">
        <v>60</v>
      </c>
      <c r="H11" s="1" t="b">
        <f aca="false">TRUE()</f>
        <v>1</v>
      </c>
      <c r="I11" s="0" t="s">
        <v>26</v>
      </c>
      <c r="J11" s="0" t="s">
        <v>26</v>
      </c>
      <c r="K11" s="1" t="b">
        <f aca="false">TRUE()</f>
        <v>1</v>
      </c>
      <c r="L11" s="1" t="b">
        <f aca="false">FALSE()</f>
        <v>0</v>
      </c>
      <c r="M11" s="1" t="b">
        <f aca="false">FALSE()</f>
        <v>0</v>
      </c>
      <c r="N11" s="1" t="b">
        <f aca="false">FALSE()</f>
        <v>0</v>
      </c>
      <c r="O11" s="1"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61</v>
      </c>
      <c r="B1" s="0" t="s">
        <v>62</v>
      </c>
      <c r="C1" s="0" t="s">
        <v>63</v>
      </c>
    </row>
    <row r="2" customFormat="false" ht="15" hidden="false" customHeight="false" outlineLevel="0" collapsed="false">
      <c r="A2" s="0" t="s">
        <v>64</v>
      </c>
      <c r="B2" s="0" t="s">
        <v>65</v>
      </c>
      <c r="C2" s="0" t="n">
        <v>10</v>
      </c>
    </row>
    <row r="3" customFormat="false" ht="15" hidden="false" customHeight="false" outlineLevel="0" collapsed="false">
      <c r="A3" s="0" t="s">
        <v>66</v>
      </c>
      <c r="B3" s="0" t="s">
        <v>67</v>
      </c>
      <c r="C3" s="0" t="n">
        <v>10</v>
      </c>
    </row>
    <row r="4" customFormat="false" ht="15" hidden="false" customHeight="false" outlineLevel="0" collapsed="false">
      <c r="A4" s="0" t="s">
        <v>68</v>
      </c>
      <c r="B4" s="0" t="s">
        <v>69</v>
      </c>
      <c r="C4" s="0"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2026-06-15T13:34:36Z</dcterms:created>
  <dc:creator>openpyxl</dc:creator>
  <dc:description/>
  <dc:language>en-GB</dc:language>
  <cp:lastModifiedBy/>
  <dcterms:modified xsi:type="dcterms:W3CDTF">2026-06-15T14:43:22Z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