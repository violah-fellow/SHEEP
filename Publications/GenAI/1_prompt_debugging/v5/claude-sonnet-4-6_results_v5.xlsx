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<sst xmlns="http://schemas.openxmlformats.org/spreadsheetml/2006/main" count="186" uniqueCount="119">
  <si>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</si>
  <si>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</si>
  <si>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</si>
  <si>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</si>
  <si>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</si>
  <si>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</si>
  <si>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</si>
  <si>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</si>
  <si>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</si>
  <si>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</si>
  <si>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</si>
  <si>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</si>
  <si>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</si>
  <si>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</si>
  <si>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Scope</t>
  </si>
  <si>
    <t xml:space="preserve">Pillar</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</si>
  <si>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</si>
  <si>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</si>
  <si>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</si>
  <si>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</si>
  <si>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This study investigates serum reduction and growth factor supplementation for a fish (Atlantic sturgeon) cell line, with explicit aims toward developing serum-free, chemically defined culture media, which is directly relevant to cultivated seafood cell culture media development.</t>
  </si>
  <si>
    <t xml:space="preserve">CM</t>
  </si>
  <si>
    <t xml:space="preserve">Previously considered out of scope, but edge case, could be in.</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</si>
  <si>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</si>
  <si>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</si>
  <si>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</si>
  <si>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The review focuses on alginate extraction and functional properties, with cultivated meat explicitly identified as a key application direction, making it in scope as an enabling material for cultivated meat production.</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</si>
  <si>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</si>
  <si>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</si>
  <si>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</si>
  <si>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agronomic study focuses on pea and faba bean, both high-protein crops used as alternative protein feedstocks, evaluating intercropping strategies to optimise grain yield, which is directly relevant to alternative protein ingredient supply chains.</t>
  </si>
  <si>
    <t xml:space="preserve">PB</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</si>
  <si>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</si>
  <si>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</si>
  <si>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</si>
  <si>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The study explicitly includes cultivated meat as a named subject of consumer acceptance research among Italian undergraduates, collecting and reporting specific data on willingness to eat it, making it in scope despite also covering insect-based proteins and soil-less vegetables.</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</si>
  <si>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</si>
  <si>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</si>
  <si>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</si>
  <si>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The study uses fermentation of microalgae (Chlorella vulgaris) and wine pomace to generate protein-rich functional ingredients, with microalgal biomass as a protein source classified under fermentation, and the application is explicitly for the food industry as alternative functional protein ingredients.</t>
  </si>
  <si>
    <t xml:space="preserve">CC</t>
  </si>
  <si>
    <t xml:space="preserve">F</t>
  </si>
  <si>
    <t xml:space="preserve">Edit to prompt: clarity that traditional fermentation is plant-based</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</si>
  <si>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</si>
  <si>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</si>
  <si>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</si>
  <si>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explicitly addresses policy instruments and strategies for the protein transition, including shifting consumption from animal-based to plant-based proteins, which falls squarely within the socioeconomic/policy scope of alternative proteins research.</t>
  </si>
  <si>
    <t xml:space="preserve">NA</t>
  </si>
  <si>
    <t xml:space="preserve">Consider edit to code – if in scope but all NA, assign CC</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</si>
  <si>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</si>
  <si>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</si>
  <si>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</si>
  <si>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This consumer tracking report explicitly collects and reports data on consumer awareness of lab-grown/cell-cultivated meat, making it in scope as a socioeconomic/consumer acceptance study with specific data on alternative proteins.</t>
  </si>
  <si>
    <t xml:space="preserve">Fix. Always excluded by Haiku.</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</si>
  <si>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</si>
  <si>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</si>
  <si>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</si>
  <si>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out</t>
  </si>
  <si>
    <t xml:space="preserve">While this publication concerns protein extraction and fractionation from maize germ, the primary focus is on processing a side stream for general food ingredient applications (foam stability), and maize is a staple crop where protein is not the primary value; the work does not explicitly position the protein as an alternative protein ingredient substituting animal proteins.</t>
  </si>
  <si>
    <t xml:space="preserve">Previously considered out of scope. Confidence = 2 so could manual check.</t>
  </si>
  <si>
    <t xml:space="preserve">OOS – told only to assign if in scope; needs manual check</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</si>
  <si>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</si>
  <si>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</si>
  <si>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</si>
  <si>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The study explicitly investigates consumer practices around meat reduction and the role of plant-based meat analogues in flexitarian households, which is directly relevant to the acceptance and adoption of alternative proteins.</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</si>
  <si>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</si>
  <si>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</si>
  <si>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</si>
  <si>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Although this study involves fungal biomass (Aspergillus oryzae) production via fermentation, the stated application is explicitly animal feed, not human food, which falls under the exclusions.</t>
  </si>
  <si>
    <t xml:space="preserve">I agree with LLM that this is out of scope.</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</si>
  <si>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</si>
  <si>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</si>
  <si>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</si>
  <si>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concerns avian primordial germ cell biology and genetic conservation, with no relevance to alternative protein development or human food applications.</t>
  </si>
  <si>
    <t xml:space="preserve">I agree with LLM that this is out of scope (though Dave disagrees).</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</si>
  <si>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</si>
  <si>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</si>
  <si>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</si>
  <si>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publication includes life-cycle assessment of microbial protein and fungi-based protein pathways as novel food ingredients replacing meat, which are in-scope fermentation-derived alternative proteins, even though insect proteins and feed applications are also covered.</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</si>
  <si>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</si>
  <si>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</si>
  <si>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</si>
  <si>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While the study uses commercial food protein isolates and examines flavor-protein binding relevant to food design, the focus is on mucin's role in flavor binding mechanisms rather than advancing alternative protein development or substitution of animal proteins, and there is no stated or implied application to alternative protein products.</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</si>
  <si>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</si>
  <si>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</si>
  <si>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</si>
  <si>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publication explicitly covers alternative proteins from legumes, microalgae, and fermentation for food and feed applications, which are in scope despite also including insect-based proteins (which are not the sole focus).</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</si>
  <si>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</si>
  <si>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</si>
  <si>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</si>
  <si>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While tofu sausages are included, the primary focus is on antimicrobial hydrogel coating technology for food preservation applied to both pork and tofu sausages, not on the development or characterisation of alternative proteins or plant-based meat analogues.</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</si>
  <si>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</si>
  <si>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</si>
  <si>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</si>
  <si>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The publication focuses on mycoprotein derived from filamentous fungal biomass (Aspergillus oryzae) as the primary protein source for a 3D-printed food product, which falls within the fermentation/biomass fermentation category of alternative proteins, despite the dysphagia application context.</t>
  </si>
  <si>
    <t xml:space="preserve">Previously excluded for dysphagia focus.</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</si>
  <si>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</si>
  <si>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</si>
  <si>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</si>
  <si>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review focuses on the neurological health outcomes of vegan and vegetarian diets, examining nutrient deficiencies and inflammatory markers, which is a broad dietary health study rather than research advancing the development, characterisation, or optimisation of alternative protein ingredients or products.</t>
  </si>
  <si>
    <t xml:space="preserve">I would agree with the LLM. I do not see any clear mention of alt proteins.</t>
  </si>
  <si>
    <t xml:space="preserve">Using sonnet fixed the issues I had with socioeconomic and exclusion conflicts.</t>
  </si>
  <si>
    <t xml:space="preserve">Confidence scale currently goes 1 (conf out) 3 (uncertain) 5 (conf in)</t>
  </si>
  <si>
    <t xml:space="preserve">4 &amp; 5 are all correctly in scope</t>
  </si>
  <si>
    <t xml:space="preserve">2 &amp; 3 are either uncertain, or incorrectly labelled out of scope when in scope</t>
  </si>
  <si>
    <t xml:space="preserve">1 is labelled out of scope and I agree with the LLM</t>
  </si>
  <si>
    <t xml:space="preserve">-&gt; Send 2 &amp; 3 for manual review. Check this makes sense in the upcoming validation.</t>
  </si>
  <si>
    <t xml:space="preserve">Truthfully though, all FALSE in green are ones where I personally agree they should be out of scope…</t>
  </si>
  <si>
    <t xml:space="preserve">Orange is where Haiku said out of scope and I agreed but now Sonnet says in scope… Lots of edge cases, dysphagia is the weirdest one.</t>
  </si>
  <si>
    <t xml:space="preserve">Next step: check if 2&amp;3 for manual review works on a full dataset. I am concerned I may get a lot of 2’s that are quite confidently out of scope.</t>
  </si>
  <si>
    <t xml:space="preserve">metric</t>
  </si>
  <si>
    <t xml:space="preserve">value</t>
  </si>
  <si>
    <t xml:space="preserve">n</t>
  </si>
  <si>
    <t xml:space="preserve">scope_accuracy</t>
  </si>
  <si>
    <t xml:space="preserve">65%</t>
  </si>
  <si>
    <t xml:space="preserve">pillar_accuracy</t>
  </si>
  <si>
    <t xml:space="preserve">59%</t>
  </si>
  <si>
    <t xml:space="preserve">pillar_accuracy_both_in_scope</t>
  </si>
  <si>
    <t xml:space="preserve">82%</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</si>
</sst>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C9211E"/>
      <name val="Calibri"/>
      <family val="2"/>
      <charset val="1"/>
    </font>
    <font>
      <sz val="11"/>
      <color rgb="FFC9211E"/>
      <name val="Calibri"/>
      <family val="2"/>
      <charset val="1"/>
    </font>
    <font>
      <b val="true"/>
      <sz val="11"/>
      <color theme="1"/>
      <name val="Calibri"/>
      <family val="2"/>
      <charset val="1"/>
    </font>
  </fonts>
  <fills count="5">
    <fill>
      <patternFill patternType="none"/>
    </fill>
    <fill>
      <patternFill patternType="gray125"/>
    </fill>
    <fill>
      <patternFill patternType="solid">
        <fgColor rgb="FFFF8000"/>
        <bgColor rgb="FFFF6600"/>
      </patternFill>
    </fill>
    <fill>
      <patternFill patternType="solid">
        <fgColor rgb="FFFFFF00"/>
        <bgColor rgb="FFFFFF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80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6" activeCellId="0" sqref="O6"/>
    </sheetView>
  </sheetViews>
  <sheetFormatPr defaultColWidth="8.34375" defaultRowHeight="15" customHeight="false" zeroHeight="false" outlineLevelRow="0" outlineLevelCol="0"/>
  <cols>
    <col collapsed="false" customWidth="false" hidden="false" outlineLevel="0" max="14" min="1" style="1" width="8.34"/>
    <col collapsed="false" customWidth="true" hidden="false" outlineLevel="0" max="15" min="15" style="2" width="29.33"/>
    <col collapsed="false" customWidth="true" hidden="false" outlineLevel="0" max="16" min="16" style="2" width="27.4"/>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2" t="s">
        <v>14</v>
      </c>
      <c r="P1" s="2" t="s">
        <v>15</v>
      </c>
    </row>
    <row r="2" customFormat="false" ht="45.1" hidden="false" customHeight="false" outlineLevel="0" collapsed="false">
      <c r="A2" s="3" t="s">
        <v>16</v>
      </c>
      <c r="B2" s="3" t="s">
        <v>17</v>
      </c>
      <c r="C2" s="4" t="s">
        <v>18</v>
      </c>
      <c r="D2" s="3" t="s">
        <v>19</v>
      </c>
      <c r="E2" s="3" t="s">
        <v>19</v>
      </c>
      <c r="F2" s="3" t="n">
        <v>4</v>
      </c>
      <c r="G2" s="3" t="s">
        <v>20</v>
      </c>
      <c r="H2" s="5" t="b">
        <f aca="false">TRUE()</f>
        <v>1</v>
      </c>
      <c r="I2" s="3" t="s">
        <v>21</v>
      </c>
      <c r="J2" s="3" t="s">
        <v>21</v>
      </c>
      <c r="K2" s="1" t="b">
        <f aca="false">TRUE()</f>
        <v>1</v>
      </c>
      <c r="L2" s="1" t="b">
        <f aca="false">FALSE()</f>
        <v>0</v>
      </c>
      <c r="M2" s="1" t="b">
        <f aca="false">FALSE()</f>
        <v>0</v>
      </c>
      <c r="N2" s="1" t="b">
        <f aca="false">TRUE()</f>
        <v>1</v>
      </c>
      <c r="O2" s="4" t="s">
        <v>22</v>
      </c>
    </row>
    <row r="3" customFormat="false" ht="23.3" hidden="false" customHeight="false" outlineLevel="0" collapsed="false">
      <c r="A3" s="3" t="s">
        <v>23</v>
      </c>
      <c r="B3" s="3" t="s">
        <v>24</v>
      </c>
      <c r="C3" s="3" t="s">
        <v>25</v>
      </c>
      <c r="D3" s="3" t="s">
        <v>19</v>
      </c>
      <c r="E3" s="3" t="s">
        <v>19</v>
      </c>
      <c r="F3" s="3" t="n">
        <v>4</v>
      </c>
      <c r="G3" s="3" t="s">
        <v>26</v>
      </c>
      <c r="H3" s="5" t="b">
        <f aca="false">TRUE()</f>
        <v>1</v>
      </c>
      <c r="I3" s="3" t="s">
        <v>21</v>
      </c>
      <c r="J3" s="3" t="s">
        <v>21</v>
      </c>
      <c r="K3" s="1" t="b">
        <f aca="false">TRUE()</f>
        <v>1</v>
      </c>
      <c r="L3" s="1" t="b">
        <f aca="false">FALSE()</f>
        <v>0</v>
      </c>
      <c r="M3" s="1" t="b">
        <f aca="false">FALSE()</f>
        <v>0</v>
      </c>
      <c r="N3" s="1" t="b">
        <f aca="false">TRUE()</f>
        <v>1</v>
      </c>
      <c r="O3" s="4" t="s">
        <v>22</v>
      </c>
    </row>
    <row r="4" customFormat="false" ht="15" hidden="false" customHeight="false" outlineLevel="0" collapsed="false">
      <c r="A4" s="3" t="s">
        <v>27</v>
      </c>
      <c r="B4" s="3" t="s">
        <v>28</v>
      </c>
      <c r="C4" s="3" t="s">
        <v>29</v>
      </c>
      <c r="D4" s="3" t="s">
        <v>19</v>
      </c>
      <c r="E4" s="3" t="s">
        <v>19</v>
      </c>
      <c r="F4" s="3" t="n">
        <v>4</v>
      </c>
      <c r="G4" s="3" t="s">
        <v>30</v>
      </c>
      <c r="H4" s="1" t="b">
        <f aca="false">TRUE()</f>
        <v>1</v>
      </c>
      <c r="I4" s="3" t="s">
        <v>31</v>
      </c>
      <c r="J4" s="3" t="s">
        <v>31</v>
      </c>
      <c r="K4" s="1" t="b">
        <f aca="false">TRUE()</f>
        <v>1</v>
      </c>
      <c r="L4" s="1" t="b">
        <f aca="false">TRUE()</f>
        <v>1</v>
      </c>
      <c r="M4" s="1" t="b">
        <f aca="false">FALSE()</f>
        <v>0</v>
      </c>
      <c r="N4" s="1" t="b">
        <f aca="false">FALSE()</f>
        <v>0</v>
      </c>
    </row>
    <row r="5" customFormat="false" ht="15" hidden="false" customHeight="false" outlineLevel="0" collapsed="false">
      <c r="A5" s="3" t="s">
        <v>32</v>
      </c>
      <c r="B5" s="3" t="s">
        <v>33</v>
      </c>
      <c r="C5" s="3" t="s">
        <v>34</v>
      </c>
      <c r="D5" s="3" t="s">
        <v>19</v>
      </c>
      <c r="E5" s="3" t="s">
        <v>19</v>
      </c>
      <c r="F5" s="3" t="n">
        <v>4</v>
      </c>
      <c r="G5" s="3" t="s">
        <v>35</v>
      </c>
      <c r="H5" s="1" t="b">
        <f aca="false">TRUE()</f>
        <v>1</v>
      </c>
      <c r="I5" s="3" t="s">
        <v>21</v>
      </c>
      <c r="J5" s="3" t="s">
        <v>21</v>
      </c>
      <c r="K5" s="1" t="b">
        <f aca="false">TRUE()</f>
        <v>1</v>
      </c>
      <c r="L5" s="1" t="b">
        <f aca="false">FALSE()</f>
        <v>0</v>
      </c>
      <c r="M5" s="1" t="b">
        <f aca="false">FALSE()</f>
        <v>0</v>
      </c>
      <c r="N5" s="1" t="b">
        <f aca="false">TRUE()</f>
        <v>1</v>
      </c>
    </row>
    <row r="6" customFormat="false" ht="34.2" hidden="false" customHeight="false" outlineLevel="0" collapsed="false">
      <c r="A6" s="3" t="s">
        <v>36</v>
      </c>
      <c r="B6" s="3" t="s">
        <v>37</v>
      </c>
      <c r="C6" s="3" t="s">
        <v>38</v>
      </c>
      <c r="D6" s="3" t="s">
        <v>19</v>
      </c>
      <c r="E6" s="3" t="s">
        <v>19</v>
      </c>
      <c r="F6" s="3" t="n">
        <v>4</v>
      </c>
      <c r="G6" s="3" t="s">
        <v>39</v>
      </c>
      <c r="H6" s="1" t="b">
        <f aca="false">TRUE()</f>
        <v>1</v>
      </c>
      <c r="I6" s="3" t="s">
        <v>40</v>
      </c>
      <c r="J6" s="3" t="s">
        <v>41</v>
      </c>
      <c r="K6" s="6" t="b">
        <f aca="false">FALSE()</f>
        <v>0</v>
      </c>
      <c r="L6" s="1" t="b">
        <f aca="false">FALSE()</f>
        <v>0</v>
      </c>
      <c r="M6" s="1" t="b">
        <f aca="false">TRUE()</f>
        <v>1</v>
      </c>
      <c r="N6" s="1" t="b">
        <f aca="false">FALSE()</f>
        <v>0</v>
      </c>
      <c r="P6" s="2" t="s">
        <v>42</v>
      </c>
    </row>
    <row r="7" customFormat="false" ht="23.3" hidden="false" customHeight="false" outlineLevel="0" collapsed="false">
      <c r="A7" s="3" t="s">
        <v>43</v>
      </c>
      <c r="B7" s="3" t="s">
        <v>44</v>
      </c>
      <c r="C7" s="3" t="s">
        <v>45</v>
      </c>
      <c r="D7" s="3" t="s">
        <v>19</v>
      </c>
      <c r="E7" s="3" t="s">
        <v>19</v>
      </c>
      <c r="F7" s="3" t="n">
        <v>5</v>
      </c>
      <c r="G7" s="3" t="s">
        <v>46</v>
      </c>
      <c r="H7" s="1" t="b">
        <f aca="false">TRUE()</f>
        <v>1</v>
      </c>
      <c r="I7" s="3" t="s">
        <v>40</v>
      </c>
      <c r="J7" s="3" t="s">
        <v>47</v>
      </c>
      <c r="K7" s="6" t="b">
        <f aca="false">FALSE()</f>
        <v>0</v>
      </c>
      <c r="L7" s="1" t="b">
        <f aca="false">FALSE()</f>
        <v>0</v>
      </c>
      <c r="M7" s="1" t="b">
        <f aca="false">FALSE()</f>
        <v>0</v>
      </c>
      <c r="N7" s="1" t="b">
        <f aca="false">FALSE()</f>
        <v>0</v>
      </c>
      <c r="P7" s="7" t="s">
        <v>48</v>
      </c>
    </row>
    <row r="8" customFormat="false" ht="15" hidden="false" customHeight="false" outlineLevel="0" collapsed="false">
      <c r="A8" s="3" t="s">
        <v>49</v>
      </c>
      <c r="B8" s="3" t="s">
        <v>50</v>
      </c>
      <c r="C8" s="3" t="s">
        <v>51</v>
      </c>
      <c r="D8" s="3" t="s">
        <v>19</v>
      </c>
      <c r="E8" s="3" t="s">
        <v>19</v>
      </c>
      <c r="F8" s="3" t="n">
        <v>4</v>
      </c>
      <c r="G8" s="3" t="s">
        <v>52</v>
      </c>
      <c r="H8" s="8" t="b">
        <f aca="false">TRUE()</f>
        <v>1</v>
      </c>
      <c r="I8" s="3" t="s">
        <v>21</v>
      </c>
      <c r="J8" s="3" t="s">
        <v>21</v>
      </c>
      <c r="K8" s="1" t="b">
        <f aca="false">TRUE()</f>
        <v>1</v>
      </c>
      <c r="L8" s="1" t="b">
        <f aca="false">FALSE()</f>
        <v>0</v>
      </c>
      <c r="M8" s="1" t="b">
        <f aca="false">FALSE()</f>
        <v>0</v>
      </c>
      <c r="N8" s="1" t="b">
        <f aca="false">TRUE()</f>
        <v>1</v>
      </c>
      <c r="O8" s="4" t="s">
        <v>53</v>
      </c>
    </row>
    <row r="9" customFormat="false" ht="34.2" hidden="false" customHeight="false" outlineLevel="0" collapsed="false">
      <c r="A9" s="3" t="s">
        <v>54</v>
      </c>
      <c r="B9" s="3" t="s">
        <v>55</v>
      </c>
      <c r="C9" s="3" t="s">
        <v>56</v>
      </c>
      <c r="D9" s="3" t="s">
        <v>19</v>
      </c>
      <c r="E9" s="3" t="s">
        <v>57</v>
      </c>
      <c r="F9" s="8" t="n">
        <v>2</v>
      </c>
      <c r="G9" s="3" t="s">
        <v>58</v>
      </c>
      <c r="H9" s="8" t="b">
        <f aca="false">FALSE()</f>
        <v>0</v>
      </c>
      <c r="I9" s="3" t="s">
        <v>31</v>
      </c>
      <c r="J9" s="3" t="s">
        <v>47</v>
      </c>
      <c r="K9" s="6" t="b">
        <f aca="false">FALSE()</f>
        <v>0</v>
      </c>
      <c r="L9" s="1" t="b">
        <f aca="false">FALSE()</f>
        <v>0</v>
      </c>
      <c r="M9" s="1" t="b">
        <f aca="false">FALSE()</f>
        <v>0</v>
      </c>
      <c r="N9" s="1" t="b">
        <f aca="false">FALSE()</f>
        <v>0</v>
      </c>
      <c r="O9" s="4" t="s">
        <v>59</v>
      </c>
      <c r="P9" s="2" t="s">
        <v>60</v>
      </c>
    </row>
    <row r="10" customFormat="false" ht="15" hidden="false" customHeight="false" outlineLevel="0" collapsed="false">
      <c r="A10" s="3" t="s">
        <v>61</v>
      </c>
      <c r="B10" s="3" t="s">
        <v>62</v>
      </c>
      <c r="C10" s="3" t="s">
        <v>63</v>
      </c>
      <c r="D10" s="3" t="s">
        <v>19</v>
      </c>
      <c r="E10" s="3" t="s">
        <v>19</v>
      </c>
      <c r="F10" s="3" t="n">
        <v>4</v>
      </c>
      <c r="G10" s="3" t="s">
        <v>64</v>
      </c>
      <c r="H10" s="1" t="b">
        <f aca="false">TRUE()</f>
        <v>1</v>
      </c>
      <c r="I10" s="3" t="s">
        <v>31</v>
      </c>
      <c r="J10" s="3" t="s">
        <v>31</v>
      </c>
      <c r="K10" s="1" t="b">
        <f aca="false">TRUE()</f>
        <v>1</v>
      </c>
      <c r="L10" s="1" t="b">
        <f aca="false">TRUE()</f>
        <v>1</v>
      </c>
      <c r="M10" s="1" t="b">
        <f aca="false">FALSE()</f>
        <v>0</v>
      </c>
      <c r="N10" s="1" t="b">
        <f aca="false">FALSE()</f>
        <v>0</v>
      </c>
    </row>
    <row r="11" customFormat="false" ht="23.3" hidden="false" customHeight="false" outlineLevel="0" collapsed="false">
      <c r="A11" s="3" t="s">
        <v>65</v>
      </c>
      <c r="B11" s="3" t="s">
        <v>66</v>
      </c>
      <c r="C11" s="3" t="s">
        <v>67</v>
      </c>
      <c r="D11" s="3" t="s">
        <v>19</v>
      </c>
      <c r="E11" s="3" t="s">
        <v>57</v>
      </c>
      <c r="F11" s="8" t="n">
        <v>2</v>
      </c>
      <c r="G11" s="3" t="s">
        <v>68</v>
      </c>
      <c r="H11" s="8" t="b">
        <f aca="false">FALSE()</f>
        <v>0</v>
      </c>
      <c r="I11" s="3" t="s">
        <v>41</v>
      </c>
      <c r="J11" s="3" t="s">
        <v>41</v>
      </c>
      <c r="K11" s="1" t="b">
        <f aca="false">TRUE()</f>
        <v>1</v>
      </c>
      <c r="L11" s="1" t="b">
        <f aca="false">FALSE()</f>
        <v>0</v>
      </c>
      <c r="M11" s="1" t="b">
        <f aca="false">TRUE()</f>
        <v>1</v>
      </c>
      <c r="N11" s="1" t="b">
        <f aca="false">FALSE()</f>
        <v>0</v>
      </c>
      <c r="O11" s="4" t="s">
        <v>69</v>
      </c>
    </row>
    <row r="12" customFormat="false" ht="23.3" hidden="false" customHeight="false" outlineLevel="0" collapsed="false">
      <c r="A12" s="3" t="s">
        <v>70</v>
      </c>
      <c r="B12" s="3" t="s">
        <v>71</v>
      </c>
      <c r="C12" s="3" t="s">
        <v>72</v>
      </c>
      <c r="D12" s="3" t="s">
        <v>19</v>
      </c>
      <c r="E12" s="3" t="s">
        <v>57</v>
      </c>
      <c r="F12" s="8" t="n">
        <v>1</v>
      </c>
      <c r="G12" s="3" t="s">
        <v>73</v>
      </c>
      <c r="H12" s="8" t="b">
        <f aca="false">FALSE()</f>
        <v>0</v>
      </c>
      <c r="I12" s="3" t="s">
        <v>21</v>
      </c>
      <c r="J12" s="3" t="s">
        <v>47</v>
      </c>
      <c r="K12" s="6" t="b">
        <f aca="false">FALSE()</f>
        <v>0</v>
      </c>
      <c r="L12" s="1" t="b">
        <f aca="false">FALSE()</f>
        <v>0</v>
      </c>
      <c r="M12" s="1" t="b">
        <f aca="false">FALSE()</f>
        <v>0</v>
      </c>
      <c r="N12" s="1" t="b">
        <f aca="false">FALSE()</f>
        <v>0</v>
      </c>
      <c r="O12" s="4" t="s">
        <v>74</v>
      </c>
      <c r="P12" s="2" t="s">
        <v>60</v>
      </c>
    </row>
    <row r="13" customFormat="false" ht="15" hidden="false" customHeight="false" outlineLevel="0" collapsed="false">
      <c r="A13" s="3" t="s">
        <v>75</v>
      </c>
      <c r="B13" s="3" t="s">
        <v>76</v>
      </c>
      <c r="C13" s="3" t="s">
        <v>77</v>
      </c>
      <c r="D13" s="3" t="s">
        <v>19</v>
      </c>
      <c r="E13" s="3" t="s">
        <v>19</v>
      </c>
      <c r="F13" s="3" t="n">
        <v>4</v>
      </c>
      <c r="G13" s="3" t="s">
        <v>78</v>
      </c>
      <c r="H13" s="1" t="b">
        <f aca="false">TRUE()</f>
        <v>1</v>
      </c>
      <c r="I13" s="3" t="s">
        <v>41</v>
      </c>
      <c r="J13" s="3" t="s">
        <v>41</v>
      </c>
      <c r="K13" s="1" t="b">
        <f aca="false">TRUE()</f>
        <v>1</v>
      </c>
      <c r="L13" s="1" t="b">
        <f aca="false">FALSE()</f>
        <v>0</v>
      </c>
      <c r="M13" s="1" t="b">
        <f aca="false">TRUE()</f>
        <v>1</v>
      </c>
      <c r="N13" s="1" t="b">
        <f aca="false">FALSE()</f>
        <v>0</v>
      </c>
    </row>
    <row r="14" customFormat="false" ht="23.3" hidden="false" customHeight="false" outlineLevel="0" collapsed="false">
      <c r="A14" s="3" t="s">
        <v>79</v>
      </c>
      <c r="B14" s="3" t="s">
        <v>80</v>
      </c>
      <c r="C14" s="3" t="s">
        <v>81</v>
      </c>
      <c r="D14" s="3" t="s">
        <v>19</v>
      </c>
      <c r="E14" s="3" t="s">
        <v>57</v>
      </c>
      <c r="F14" s="8" t="n">
        <v>2</v>
      </c>
      <c r="G14" s="3" t="s">
        <v>82</v>
      </c>
      <c r="H14" s="8" t="b">
        <f aca="false">FALSE()</f>
        <v>0</v>
      </c>
      <c r="I14" s="3" t="s">
        <v>31</v>
      </c>
      <c r="J14" s="3" t="s">
        <v>47</v>
      </c>
      <c r="K14" s="6" t="b">
        <f aca="false">FALSE()</f>
        <v>0</v>
      </c>
      <c r="L14" s="1" t="b">
        <f aca="false">FALSE()</f>
        <v>0</v>
      </c>
      <c r="M14" s="1" t="b">
        <f aca="false">FALSE()</f>
        <v>0</v>
      </c>
      <c r="N14" s="1" t="b">
        <f aca="false">FALSE()</f>
        <v>0</v>
      </c>
      <c r="P14" s="2" t="s">
        <v>60</v>
      </c>
    </row>
    <row r="15" customFormat="false" ht="15" hidden="false" customHeight="false" outlineLevel="0" collapsed="false">
      <c r="A15" s="3" t="s">
        <v>83</v>
      </c>
      <c r="B15" s="3" t="s">
        <v>84</v>
      </c>
      <c r="C15" s="3" t="s">
        <v>85</v>
      </c>
      <c r="D15" s="3" t="s">
        <v>19</v>
      </c>
      <c r="E15" s="3" t="s">
        <v>19</v>
      </c>
      <c r="F15" s="3" t="n">
        <v>4</v>
      </c>
      <c r="G15" s="3" t="s">
        <v>86</v>
      </c>
      <c r="H15" s="8" t="b">
        <f aca="false">TRUE()</f>
        <v>1</v>
      </c>
      <c r="I15" s="3" t="s">
        <v>40</v>
      </c>
      <c r="J15" s="3" t="s">
        <v>40</v>
      </c>
      <c r="K15" s="1" t="b">
        <f aca="false">TRUE()</f>
        <v>1</v>
      </c>
      <c r="L15" s="1" t="b">
        <f aca="false">TRUE()</f>
        <v>1</v>
      </c>
      <c r="M15" s="1" t="b">
        <f aca="false">TRUE()</f>
        <v>1</v>
      </c>
      <c r="N15" s="1" t="b">
        <f aca="false">FALSE()</f>
        <v>0</v>
      </c>
      <c r="O15" s="4" t="s">
        <v>53</v>
      </c>
    </row>
    <row r="16" customFormat="false" ht="23.3" hidden="false" customHeight="false" outlineLevel="0" collapsed="false">
      <c r="A16" s="3" t="s">
        <v>87</v>
      </c>
      <c r="B16" s="3" t="s">
        <v>88</v>
      </c>
      <c r="C16" s="3" t="s">
        <v>89</v>
      </c>
      <c r="D16" s="3" t="s">
        <v>19</v>
      </c>
      <c r="E16" s="3" t="s">
        <v>57</v>
      </c>
      <c r="F16" s="8" t="n">
        <v>2</v>
      </c>
      <c r="G16" s="3" t="s">
        <v>90</v>
      </c>
      <c r="H16" s="8" t="b">
        <f aca="false">FALSE()</f>
        <v>0</v>
      </c>
      <c r="I16" s="3" t="s">
        <v>31</v>
      </c>
      <c r="J16" s="3" t="s">
        <v>47</v>
      </c>
      <c r="K16" s="6" t="b">
        <f aca="false">FALSE()</f>
        <v>0</v>
      </c>
      <c r="L16" s="1" t="b">
        <f aca="false">FALSE()</f>
        <v>0</v>
      </c>
      <c r="M16" s="1" t="b">
        <f aca="false">FALSE()</f>
        <v>0</v>
      </c>
      <c r="N16" s="1" t="b">
        <f aca="false">FALSE()</f>
        <v>0</v>
      </c>
      <c r="P16" s="2" t="s">
        <v>60</v>
      </c>
    </row>
    <row r="17" customFormat="false" ht="23.3" hidden="false" customHeight="false" outlineLevel="0" collapsed="false">
      <c r="A17" s="3" t="s">
        <v>91</v>
      </c>
      <c r="B17" s="3" t="s">
        <v>92</v>
      </c>
      <c r="C17" s="3" t="s">
        <v>93</v>
      </c>
      <c r="D17" s="3" t="s">
        <v>19</v>
      </c>
      <c r="E17" s="3" t="s">
        <v>19</v>
      </c>
      <c r="F17" s="3" t="n">
        <v>4</v>
      </c>
      <c r="G17" s="3" t="s">
        <v>94</v>
      </c>
      <c r="H17" s="5" t="b">
        <f aca="false">TRUE()</f>
        <v>1</v>
      </c>
      <c r="I17" s="3" t="s">
        <v>41</v>
      </c>
      <c r="J17" s="3" t="s">
        <v>41</v>
      </c>
      <c r="K17" s="1" t="b">
        <f aca="false">TRUE()</f>
        <v>1</v>
      </c>
      <c r="L17" s="1" t="b">
        <f aca="false">FALSE()</f>
        <v>0</v>
      </c>
      <c r="M17" s="1" t="b">
        <f aca="false">TRUE()</f>
        <v>1</v>
      </c>
      <c r="N17" s="1" t="b">
        <f aca="false">FALSE()</f>
        <v>0</v>
      </c>
      <c r="O17" s="4" t="s">
        <v>95</v>
      </c>
    </row>
    <row r="18" customFormat="false" ht="45.1" hidden="false" customHeight="false" outlineLevel="0" collapsed="false">
      <c r="A18" s="3" t="s">
        <v>96</v>
      </c>
      <c r="B18" s="3" t="s">
        <v>97</v>
      </c>
      <c r="C18" s="4" t="s">
        <v>98</v>
      </c>
      <c r="D18" s="3" t="s">
        <v>19</v>
      </c>
      <c r="E18" s="3" t="s">
        <v>57</v>
      </c>
      <c r="F18" s="8" t="n">
        <v>2</v>
      </c>
      <c r="G18" s="3" t="s">
        <v>99</v>
      </c>
      <c r="H18" s="8" t="b">
        <f aca="false">FALSE()</f>
        <v>0</v>
      </c>
      <c r="I18" s="3" t="s">
        <v>31</v>
      </c>
      <c r="J18" s="3" t="s">
        <v>47</v>
      </c>
      <c r="K18" s="6" t="b">
        <f aca="false">FALSE()</f>
        <v>0</v>
      </c>
      <c r="L18" s="1" t="b">
        <f aca="false">FALSE()</f>
        <v>0</v>
      </c>
      <c r="M18" s="1" t="b">
        <f aca="false">FALSE()</f>
        <v>0</v>
      </c>
      <c r="N18" s="1" t="b">
        <f aca="false">FALSE()</f>
        <v>0</v>
      </c>
      <c r="O18" s="2" t="s">
        <v>100</v>
      </c>
      <c r="P18" s="2" t="s">
        <v>60</v>
      </c>
    </row>
    <row r="21" customFormat="false" ht="15" hidden="false" customHeight="false" outlineLevel="0" collapsed="false">
      <c r="F21" s="3" t="s">
        <v>101</v>
      </c>
    </row>
    <row r="22" customFormat="false" ht="15" hidden="false" customHeight="false" outlineLevel="0" collapsed="false">
      <c r="F22" s="9" t="s">
        <v>102</v>
      </c>
      <c r="G22" s="10"/>
      <c r="H22" s="10"/>
      <c r="I22" s="10"/>
      <c r="J22" s="10"/>
    </row>
    <row r="23" customFormat="false" ht="15" hidden="false" customHeight="false" outlineLevel="0" collapsed="false">
      <c r="F23" s="1" t="s">
        <v>103</v>
      </c>
    </row>
    <row r="24" customFormat="false" ht="15" hidden="false" customHeight="false" outlineLevel="0" collapsed="false">
      <c r="F24" s="1" t="s">
        <v>104</v>
      </c>
    </row>
    <row r="25" customFormat="false" ht="15" hidden="false" customHeight="false" outlineLevel="0" collapsed="false">
      <c r="F25" s="1" t="s">
        <v>105</v>
      </c>
    </row>
    <row r="26" customFormat="false" ht="15" hidden="false" customHeight="false" outlineLevel="0" collapsed="false">
      <c r="F26" s="1" t="s">
        <v>106</v>
      </c>
    </row>
    <row r="27" customFormat="false" ht="15" hidden="false" customHeight="false" outlineLevel="0" collapsed="false">
      <c r="O27" s="4"/>
    </row>
    <row r="28" customFormat="false" ht="15" hidden="false" customHeight="false" outlineLevel="0" collapsed="false">
      <c r="F28" s="3" t="s">
        <v>107</v>
      </c>
    </row>
    <row r="29" customFormat="false" ht="15" hidden="false" customHeight="false" outlineLevel="0" collapsed="false">
      <c r="F29" s="3" t="s">
        <v>108</v>
      </c>
    </row>
    <row r="31" customFormat="false" ht="15" hidden="false" customHeight="false" outlineLevel="0" collapsed="false">
      <c r="F31" s="11"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3" t="s">
        <v>110</v>
      </c>
      <c r="B1" s="3" t="s">
        <v>111</v>
      </c>
      <c r="C1" s="3" t="s">
        <v>112</v>
      </c>
    </row>
    <row r="2" customFormat="false" ht="15" hidden="false" customHeight="false" outlineLevel="0" collapsed="false">
      <c r="A2" s="3" t="s">
        <v>113</v>
      </c>
      <c r="B2" s="3" t="s">
        <v>114</v>
      </c>
      <c r="C2" s="3" t="n">
        <v>17</v>
      </c>
    </row>
    <row r="3" customFormat="false" ht="15" hidden="false" customHeight="false" outlineLevel="0" collapsed="false">
      <c r="A3" s="3" t="s">
        <v>115</v>
      </c>
      <c r="B3" s="3" t="s">
        <v>116</v>
      </c>
      <c r="C3" s="3" t="n">
        <v>17</v>
      </c>
    </row>
    <row r="4" customFormat="false" ht="15" hidden="false" customHeight="false" outlineLevel="0" collapsed="false">
      <c r="A4" s="3" t="s">
        <v>117</v>
      </c>
      <c r="B4" s="3" t="s">
        <v>118</v>
      </c>
      <c r="C4" s="3"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318</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2026-06-10T22:16:34Z</dcterms:created>
  <dc:creator>openpyxl</dc:creator>
  <dc:description/>
  <dc:language>en-GB</dc:language>
  <cp:lastModifiedBy/>
  <dcterms:modified xsi:type="dcterms:W3CDTF">2026-06-12T11:33:13Z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