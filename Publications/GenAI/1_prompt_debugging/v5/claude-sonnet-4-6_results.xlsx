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mparison" sheetId="1" state="visible" r:id="rId3"/>
    <sheet name="metric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<sst xmlns="http://schemas.openxmlformats.org/spreadsheetml/2006/main" count="169" uniqueCount="106">
  <si>
    <t xml:space="preserve">id</t>
  </si>
  <si>
    <t xml:space="preserve">title</t>
  </si>
  <si>
    <t xml:space="preserve">abstract</t>
  </si>
  <si>
    <t xml:space="preserve">scope</t>
  </si>
  <si>
    <t xml:space="preserve">scope_LLM</t>
  </si>
  <si>
    <t xml:space="preserve">confidence_LLM</t>
  </si>
  <si>
    <t xml:space="preserve">reasoning_LLM</t>
  </si>
  <si>
    <t xml:space="preserve">correct_scope</t>
  </si>
  <si>
    <t xml:space="preserve">pillar</t>
  </si>
  <si>
    <t xml:space="preserve">pillar_LLM</t>
  </si>
  <si>
    <t xml:space="preserve">correct_pillar</t>
  </si>
  <si>
    <t xml:space="preserve">plant_based_LLM</t>
  </si>
  <si>
    <t xml:space="preserve">fermentation_LLM</t>
  </si>
  <si>
    <t xml:space="preserve">cultivated_LLM</t>
  </si>
  <si>
    <t xml:space="preserve">pub.1193443783</t>
  </si>
  <si>
    <t xml:space="preserve">Proliferation and metabolic activity of the Atlantic sturgeon cell line AOXlar7y under short-term serum-reduced conditions, and the effect of stimulation with growth factors and cytokines</t>
  </si>
  <si>
    <t xml:space="preserve">Introduction: Fish cell lines represent a powerful tool for studying the biology and toxicology of aquatic species in compliance with the 3Rs principles. In addition, they hold potential for more advanced biotechnological applications. However, fish cell cultures are mainly cultivated with fetal bovine serum. Therefore, in this study, we investigated the impact of serum reduction and the effects of six growth factors and cytokines on a sturgeon larval cell line (AOXla7y), which has been previously proven to be a valuable model for climate change and toxicology studies.
Methods: The serum reduction (from 10% to 5% and 2%) and the addition of two concentrations (10 and 50 ng/mL) of six growth factors and cytokines (FGF-2, IGF-1, LIF, IFN-γ, IL-13, and IL-15) to the 2% serum growth medium were evaluated over 6 days of cultivation. The morphology and cell density were determined using phasecontrast images after the experiment ended, while real-time label-free cell impedance (xCELLigence) was recorded throughout the cultivation period. Moreover, the end-point oxygen consumption in basal and uncoupled respiration conditions was analyzed with the Seahorse XF Cell Mito Stress Test Kit.
Results: The results demonstrated a general adaptation of the sturgeon cell line to a serum-reduced environment and the modulatory effects of growth factor and cytokine supplementation on cell growth and metabolism.
Discussion: These findings suggest that the sturgeon cell line has the potential to transition to a serumfree medium without major observed morphological modifications and with a limited reduction in proliferation. Its metabolism was differentially modulated by the signaling of growth factors and cytokines and exhibited a variable metabolic phenotype under mitochondrial stress. This study provides a characterization of the Atlantic sturgeon cell metabolism and offers a preliminary assessment for developing an animal-free and chemically defined medium.</t>
  </si>
  <si>
    <t xml:space="preserve">in</t>
  </si>
  <si>
    <t xml:space="preserve">This study investigates serum reduction and growth factor supplementation for a fish (Atlantic sturgeon) cell line, with explicit aims toward developing serum-free, chemically defined culture media, which is directly relevant to cultivated seafood cell culture media development.</t>
  </si>
  <si>
    <t xml:space="preserve">CM</t>
  </si>
  <si>
    <t xml:space="preserve">Previously considered out of scope, but edge case, could be in.</t>
  </si>
  <si>
    <t xml:space="preserve">pub.1189767013</t>
  </si>
  <si>
    <t xml:space="preserve">Keeping an eye on alginate: innovations and opportunities for sustainable production and diverse applications</t>
  </si>
  <si>
    <t xml:space="preserve">Alginate is a biocompatible, biodegradable, brown seaweed polysaccharide with diverse techno-functional properties. However, growing environmental concerns are driving the need for more sustainable alginate extraction methods. Novel methods such as ultrasound-assisted extraction, microwave-assisted extraction and subcritical water extraction among others, have attracted significant attention by improving polysaccharide yields and addressing current production bottlenecks i.e., extraction time, solvent consumption and energy demand. These technologies used individually or in combination with novel solvents (food grade solvents, ionic liquids, deep eutectic solvents), offer promising environmentally friendly and food-grade alternatives. Large-scale optimised methods utilising these innovative methods remain underexplored. In addition, pre-treatment strategies utilising green protocols could improve alginate yields and properties. This narrative review aims to examine conventional alginate processing alongside emerging technologies and solvents to enhance extraction efficiency and functional properties. It explores the advantages as well as disadvantages of these approaches such as cost and scalability. Challenges for future uses of alginates are also discussed i.e., mechanical and biological. By deepening our understanding of these properties future research could unlock innovative applications, with cultivated meat offering a novel and promising direction.</t>
  </si>
  <si>
    <t xml:space="preserve">The review focuses on alginate extraction and functional properties, with cultivated meat explicitly identified as a key application direction, making it in scope as an enabling material for cultivated meat production.</t>
  </si>
  <si>
    <t xml:space="preserve">pub.1193123540</t>
  </si>
  <si>
    <t xml:space="preserve">Intercropping traditional pea varieties with faba bean produces grain yields similar to pure stands of modern varieties in organic agriculture</t>
  </si>
  <si>
    <t xml:space="preserve">Although being a historical farming practise, little research has been performed on intercropping pea with faba bean, and no study has previously tested traditional varieties in this species combination. To evaluate the influence of variety and seeding ratio on grain yield in pea-faba bean intercropping, a field experiment was conducted over three years (2021–2023) under organic management in southern Sweden. The experiment included a set of three faba bean varieties, and nine traditional and one modern pea variety. Total yield (sum of both species) of the intercrops with traditional pea varieties varied from around 0.44 to 4.9 t ha−1 across all years and treatments, and several of the intercrop combinations were as productive as pure stands of modern varieties (both species). When compared in intercropping, some traditional pea varieties produced higher pea yield than the modern variety. There was a big difference among pea varieties in their competitiveness toward the intercropped faba bean. By using traditional varieties, it was possible to find matching maturity times and segregating seed sizes between the two species. Intercropping did generally not influence time to pod maturity or seed size. Traditional pea varieties suffered from severe lodging in pure stands and gained improved standing ability when intercropped with faba bean. This study has shown that intercropping pea with faba bean can facilitate the production of traditional pea varieties that lack proper standing ability on their own; however, different varieties require different seeding ratios for optimal performance.</t>
  </si>
  <si>
    <t xml:space="preserve">This agronomic study focuses on pea and faba bean, both high-protein crops used as alternative protein feedstocks, evaluating intercropping strategies to optimise grain yield, which is directly relevant to alternative protein ingredient supply chains.</t>
  </si>
  <si>
    <t xml:space="preserve">PB</t>
  </si>
  <si>
    <t xml:space="preserve">pub.1186250605</t>
  </si>
  <si>
    <t xml:space="preserve">Changing Food in a Changing World: Assessing Compliance to Insects, Cultivated Meat, and Soil-Less Products Among Italian Undergraduates</t>
  </si>
  <si>
    <t xml:space="preserve">Background/Objectives: In recent decades, the need for sustainable alternatives to traditional foods for the global population has become urgent. To this aim, edible insects, cultivated meat, and vegetables produced through soil-less farming have been proposed. This cross-sectional study was aimed at exploring willingness to eat these novel foods and its possible correlates in young Italian adults. Methods: An electronic questionnaire was administered to the student populations of 13 universities throughout the Italian territory. Results: The results show that insects and cultivated meat were widely acknowledged as possible food, while soil-free cultivation seems to be less known. Indeed, the percentage of participants who have heard of insects, cultivated meat, and soil-free cultivation was respectively equal to 91.5%, 84.7%, and 32.9%. However, the majority of respondents were uncertain about the sustainability of all the proposed products (52.6% for insects, 39.5% for cultivated meat, and 58.0% for soil-free cultivation, respectively), and the propensity to try and eat insects (9.5%) was lower than that declared for synthetic meat (22.8%) and products from soil-free cultivation (19.2%). However, the regression analysis showed that the propensity to eat these foods regularly is positively related to the confidence in their sustainability (p &lt; 0.001). Willingness to try each of the proposed foods positively correlated with that declared for the others (p &lt; 0.001). Conclusions: These findings highlight the need to implement interventions aimed at increasing awareness about the use of these products as alternatives to less sustainable foods and the importance of identifying consumer groups to which these interventions should be addressed.</t>
  </si>
  <si>
    <t xml:space="preserve">The study explicitly includes cultivated meat as a named subject of consumer acceptance research among Italian undergraduates, collecting and reporting specific data on willingness to eat it, making it in scope despite also covering insect-based proteins and soil-less vegetables.</t>
  </si>
  <si>
    <t xml:space="preserve">pub.1184676351</t>
  </si>
  <si>
    <t xml:space="preserve">Fermentation of a wine pomace and microalgae blend to synergistically enhance the functional value of protein- and polyphenol-rich matrices</t>
  </si>
  <si>
    <t xml:space="preserve">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</si>
  <si>
    <t xml:space="preserve">The study uses fermentation of microalgae (Chlorella vulgaris) and wine pomace to generate protein-rich functional ingredients, with microalgal biomass as a protein source classified under fermentation, and the application is explicitly for the food industry as alternative functional protein ingredients.</t>
  </si>
  <si>
    <t xml:space="preserve">CC</t>
  </si>
  <si>
    <t xml:space="preserve">F</t>
  </si>
  <si>
    <t xml:space="preserve">pub.1185271743</t>
  </si>
  <si>
    <t xml:space="preserve">Toward consumer-focused food policies: a toolbox for encouraging the protein transition</t>
  </si>
  <si>
    <t xml:space="preserve">In transitioning toward consuming more sustainable diets, it is of great importance to eat less animal-based foods. Particularly shifting to diets lower in meat is key. For several decades, numerous scholars and authoritative organizations have advocated for such a change that is less harmful to human and planetary health. Yet the large body of scientific evidence and the urgent calls for action have been largely neglected in food policymaking despite the increasing impact of climate change and escalating healthcare costs. A first and relatively minor break with this willful ignorance can be observed in the Netherlands, where the Ministry of Agriculture, Nature, and Food Quality has communicated the need for rebalancing the consumption ratio between plant-based and animal-based proteins by 2030. This innovative policy statement on modifying food-consumption patterns is taken as a starting point. In anticipation of further steps in this direction, this article presents a suite of policy instruments and strategies to give substance to demand-side protein policies that are conducive to moderating consumers’ (over-)abundant intake of meat. This overview of policy measures includes conventional and controversial ones, taking the Nuffield intervention ladder as its framework. The novel policy toolbox introduced in this study intends to help muster courage for the development and implementation of consumer-targeted policy interventions to move away from meat-intensive diets.</t>
  </si>
  <si>
    <t xml:space="preserve">This publication explicitly addresses policy instruments and strategies for the protein transition, including shifting consumption from animal-based to plant-based proteins, which falls squarely within the socioeconomic/policy scope of alternative proteins research.</t>
  </si>
  <si>
    <t xml:space="preserve">NA</t>
  </si>
  <si>
    <t xml:space="preserve">pub.1190672497</t>
  </si>
  <si>
    <t xml:space="preserve">Consumer Insights Tracker End of Year Report (Insights From April 2024 to March 2025)</t>
  </si>
  <si>
    <t xml:space="preserve">This report presents the findings from the Consumer Insights Tracker which is an online monthly tracking survey commissioned by the Food Standards Agency (FSA). The survey monitors the behaviour and attitudes of consumers aged 16+ in England, Wales and Northern Ireland in relation to food. This report presents an overview of key findings from April 2024 to March 2025. Where appropriate, longer-term trends over the full tracking period (from July 2023) are presented. Food prices remained the top prompted concern for respondents throughout the year, ranging from 86% - 88% reporting concern each month. Although worries about household food affordability declined slightly, one in five (21%) respondents reported worry about this in March 2025. The proportion reporting certain money-saving shopping behaviours such as choosing cheaper brands and buying discounted items also declined over the year. The proportion saying they had engaged in potentially risky food safety behaviours to reduce energy costs varied slightly (21% - 28%), with a peak in December 2024 (28%). Worries about food availability remained relatively stable (19% - 24%), as did overall confidence in the food supply chain (58% - 63%). Among those with some knowledge of the FSA and what it does, trust in the FSA fluctuated (56% - 65%), peaking at 65% in July 2024. Awareness of novel foods and food production techniques varied, with around seven in ten saying they had heard of lab-grown meat (72%), but only around half saying they had heard of cell-cultivated products and cell-cultivated meat (both 52%).</t>
  </si>
  <si>
    <t xml:space="preserve">This consumer tracking report explicitly collects and reports data on consumer awareness of lab-grown/cell-cultivated meat, making it in scope as a socioeconomic/consumer acceptance study with specific data on alternative proteins.</t>
  </si>
  <si>
    <t xml:space="preserve">Fix. Always excluded by Haiku.</t>
  </si>
  <si>
    <t xml:space="preserve">pub.1192751374</t>
  </si>
  <si>
    <t xml:space="preserve">Processing a maize germ side stream: de-oiling as key to dry fractionation and foam stability</t>
  </si>
  <si>
    <t xml:space="preserve">Maize grain processing usually starts with degerming to lower its oil content. The created maize germ-enriched fraction (MGF) represents up to 15 % of the kernel mass. Oil recovered from the MGF is valuable, but the non-oil fraction is underutilized. We separated MGF (14 % protein, 40 % starch, 18 % oil; db) into enriched fractions via dry processing, and reflect on the energy efficiency in combination with additional aqueous extraction. Dry fractionation requires mechanical pressing and oil extraction with hexane or food-safe 2-methyltetrahydrofuran, which yields cakes having residual oil contents of 0.4 w/dw% or 3.1 w/dw%, respectively. Both cakes could be milled, and air classification enriched protein in the fine fraction from 19 % to 27 % by deflecting larger starch granules. The protein yield relative to MGF was 15 %, mainly due to milling losses. CLSM revealed the protein to be in a fibrous matrix, hence it was not enriched further by electrostatic separation. Due to the moderate protein contents and yields, aqueous protein extraction was more energy efficient from de-oiled flour than from fine fractions. Extracts from hexane-processed fractions foamed better than whey protein at 0.5 mg protein/mL. Processing with 2-methyltetrahydrofuran did not enable stable foaming, which requires optimization towards lower residual oil contents.</t>
  </si>
  <si>
    <t xml:space="preserve">out</t>
  </si>
  <si>
    <t xml:space="preserve">While this publication concerns protein extraction and fractionation from maize germ, the primary focus is on processing a side stream for general food ingredient applications (foam stability), and maize is a staple crop where protein is not the primary value; the work does not explicitly position the protein as an alternative protein ingredient substituting animal proteins.</t>
  </si>
  <si>
    <t xml:space="preserve">Previously considered out of scope. Low confidence so manual check anyway.</t>
  </si>
  <si>
    <t xml:space="preserve">pub.1184367118</t>
  </si>
  <si>
    <t xml:space="preserve">We are a family! Exploring flexitarian households’ meat reduction practices</t>
  </si>
  <si>
    <t xml:space="preserve">It is widely accepted that the (over)consumption of meat is negatively linked to environmental problems and public health issues, yet research shows that actual meat consumption remains (too) high. While most research related to the protein transition focuses on consumers' motivations, perceptions and acceptance towards plant-based meat alternatives, a clear need arises to extensively study the context in which (plant-based) meals are consumed. In this research, a generative research approach was applied to extend knowledge on flexitarian households' meat reduction practices. Participants (n = 30) from different household types completed assignments with their household members to reflect on their households' meat consumption and reduction practices over the course of a full week. After this sensitizing week, participants were interviewed about their meat reduction practices. Results show that participants high in cooking skills and interest are searching for, or have developed, a practice of reformulating their meals into 'complete' or 'authentic' vegetarian meals which entails a different culinary experience compared to meat-based meals. They usually avoided meat analogues, and used products such as pulses, cheeses, nuts and herbs to create tasty and satiating 'complete' vegetarian meals. However, participants with less available resources like time and skills used meat analogues as convenient replacers of meat. Partners and children had a strong influence on the households' formation of meat reduction practices, as their preferences resulted in compromises regarding the households' meat consumption frequency and types of meals consumed. In conclusion, this research provides unique insights into flexitarian households' meat reduction practices, and fuels the discussion on the role of meat analogues and the consumers' need for 'complete' and 'authentic' vegetarian meal experiences.</t>
  </si>
  <si>
    <t xml:space="preserve">The study explicitly investigates consumer practices around meat reduction and the role of plant-based meat analogues in flexitarian households, which is directly relevant to the acceptance and adoption of alternative proteins.</t>
  </si>
  <si>
    <t xml:space="preserve">pub.1193249719</t>
  </si>
  <si>
    <t xml:space="preserve">Evaluating Scale-Up Cultivation Modes for Aspergillus oryzae Biomass Production Using VFA-Rich Effluents from Agro-Industrial Residues</t>
  </si>
  <si>
    <t xml:space="preserve">Organic-waste-derived volatile fatty acids (VFAs) are promising substrates for fungal biomass cultivation, offering a nutrient-rich medium capable of meeting microbial growth requirements. However, the growth and biomass productivity are highly influenced by the VFAs' composition and mode of operation. This study investigated the cultivation of Aspergillus oryzae fungal biomass using agro-industrial-derived VFA effluent, employing repeated-batch and fed-batch (stepwise and continuous-feeding) cultivation modes to evaluate fungal growth and biomass composition. The highest dry biomass yield of 0.41 dry biomass/gVFAsfed (g/g) was achieved in fed-batch mode with continuous feeding, where the biomass exhibited pellet morphology, facilitating ease of harvesting. The crude protein content varied according to the cultivation strategy, reaching 45-53% in continuous-feeding fed-batch mode, while it was 34-42% in stepwise fed-batch mode. Additionally, the fungal biomass contained significant levels of essential macronutrients and trace elements, including Mg, Ca, K, Mn, and Fe, which are crucial if the biomass is intended to be used in animal feed formulations. This study highlights the effects of cultivation modes on biomass composition and the potential of VFA-derived fungal biomass as a sustainable feed ingredient.</t>
  </si>
  <si>
    <t xml:space="preserve">Although this study involves fungal biomass (Aspergillus oryzae) production via fermentation, the stated application is explicitly animal feed, not human food, which falls under the exclusions.</t>
  </si>
  <si>
    <t xml:space="preserve">pub.1192827486</t>
  </si>
  <si>
    <t xml:space="preserve">Transcriptome profiles for defining avian primordial germ cell development</t>
  </si>
  <si>
    <t xml:space="preserve">Avian biology has contributed to many research areas, such as sustainable protein production, endocrinology, developmental biology, neurosciences, and immunology. Primordial germ cells, lineage-restricted stem cells, are key for the conservation of genetic diversity of bird species, as well as for studying germ cell development and producing genetic models to study avian biology. Here, we review the current knowledge of developmental and fate decision processes in avian primordial germ cells focusing on insights revealed by gene expression profiling. We summarized the characteristics and fundamental pathways required for chicken primordial cell growth. In addition, we discuss the common and disparate features of PGCs from chicken compared to other avian species. These insights are valuable for researchers in germ cell biology, reproductive biotechnology, and avian genetic conservation and indicate a need for the analysis of further bird species.</t>
  </si>
  <si>
    <t xml:space="preserve">This publication concerns avian primordial germ cell biology and genetic conservation, with no relevance to alternative protein development or human food applications.</t>
  </si>
  <si>
    <t xml:space="preserve">pub.1186661415</t>
  </si>
  <si>
    <t xml:space="preserve">Environmental mitigation potential of waste-to-nutrition pathways</t>
  </si>
  <si>
    <t xml:space="preserve">Processing underutilized bioresidues (for example, straw, manure and wood) into novel food and feed products such as fungi-based proteins, microbial proteins and insects represents ‘waste-to-nutrition’ pathways that are increasingly promoted to reduce the environmental impacts of food systems, including pressures on climate change, land and water resources. However, the actual environmental mitigation potential of this strategy depends on future technological advancements and contextual factors, which remain uncertain. Here we compare five conventional bioresidue valorization pathways with insect farming, microbial conversion and protein extraction by simulating their life-cycle assessment across 8,820 combinations of future process efficiencies, 9 food and energy systems scenarios and 11 representative bioresidues across France. Overall, processing bioresidues into novel ingredients is competitive only in certain conditions. These include access to decarbonized energy, substantial technological advancements and scenarios where novel ingredients replace meat rather than animal feed. The microbial conversion of woody residues, manure and sludge into feed will constitute the more sustainable valorization strategy only in contexts where current demand for animal-based food is maintained. However, the sustainability of this scenario must still be further appraised in terms of scaling these systems to a broader level.</t>
  </si>
  <si>
    <t xml:space="preserve">The publication includes life-cycle assessment of microbial protein and fungi-based protein pathways as novel food ingredients replacing meat, which are in-scope fermentation-derived alternative proteins, even though insect proteins and feed applications are also covered.</t>
  </si>
  <si>
    <t xml:space="preserve">pub.1191677996</t>
  </si>
  <si>
    <t xml:space="preserve">An in vitro study exploring the role of mucin in the protein-flavor binding mechanism</t>
  </si>
  <si>
    <t xml:space="preserve">In the mouth, food flavors interact with salivary proteins like mucin, which protects mucosal surfaces and influences the rate of aroma release. The role of mucin in the protein-flavor binding mechanism was evaluated in a model system in vitro using GC-MS. The number of binding sites (n) and binding constants (K) of commercial food protein isolates (PIs) and carbonyl compounds were calculated using Klotz plots. Results suggested a linear relationship between PIs and carbonyl compounds, where K increased with the flavor chain length, and n ranged from n = 0.021 to 7.194. Mucin addition to flavor-protein systems increased flavor binding up to fifteen times. At 0.01(w/v)% mucin, structural changes enhanced flavor binding. At higher mucin levels, further unfolding leads to aggregation, restricting access of the flavor molecules to the binding sites. These results confirmed the role of flavor structural characteristics and mucin on flavor binding, essential for optimal food design.</t>
  </si>
  <si>
    <t xml:space="preserve">While the study uses commercial food protein isolates and examines flavor-protein binding relevant to food design, the focus is on mucin's role in flavor binding mechanisms rather than advancing alternative protein development or substitution of animal proteins, and there is no stated or implied application to alternative protein products.</t>
  </si>
  <si>
    <t xml:space="preserve">pub.1196064670</t>
  </si>
  <si>
    <t xml:space="preserve">CIPROMED: building resilient and circular protein systems for the Mediterranean</t>
  </si>
  <si>
    <t xml:space="preserve">CIPROMED: building resilient and circular protein systems for the Mediterranean CIPROMED strengthens Mediterranean agri-food resilience by valorising local crops, agri-industrial residues and alternative proteins from insects, legumes, microalgae and fermentation. Using circular, sustainable processes, it transforms side-streams into high-value food and feed ingredients, enriches soils with insect frass, and applies microbial fermentation to enhance protein quality, supporting a resource-efficient, climate-smart agri-food system.</t>
  </si>
  <si>
    <t xml:space="preserve">The publication explicitly covers alternative proteins from legumes, microalgae, and fermentation for food and feed applications, which are in scope despite also including insect-based proteins (which are not the sole focus).</t>
  </si>
  <si>
    <t xml:space="preserve">pub.1184344359</t>
  </si>
  <si>
    <t xml:space="preserve">Chitosan-zinc oxide thyme oil-based edible antimicrobial hydrogel coatings: application on pork and tofu sausages</t>
  </si>
  <si>
    <t xml:space="preserve">Abstract Chitosan (CS), zinc oxide (ZnO), and essential oils have been widely researched for their potential in food packaging and preservation due to their ability to extend shelf-life. This study examined the effects of CS-poly-vinyl alcohol-based (CS/PVOH) hydrogel coatings on the microbiological quality and shelf-life of pork and tofu sausages. The hydrogel coatings included ZnO grown on montmorillonite (MT) (ZnO@NaMt) and thyme oil adsorbed in organically modified MT (TO@OrgMt) nanohybrids dispersed in a CS/PVOH-based composite. The sausages were analysed for mesophilic, psychrotrophic, and lactic acid bacteria (LAB). Statistical tests were employed to assess the differences between groups. Pork sausages’ shelf-life was extended to 10 and 20 days for CS/PVOH/ZnO@NaMt, CS/PVOH/TO@OrgMt, and for pure CS, CS/PVOH coated samples, respectively. The bacteriostatic effect of CS/PVOH/ZnO@NaMt, CS/PVOH/TO@OrgMt, and CS/PVOH hydrogel coatings was observed after the 20th day. Mesophilic and psychrotrophic bacteria counts decreased, and tofu sausages’ shelf-life was also prolonged, indicating the coatings’ ability to extend shelf-life.</t>
  </si>
  <si>
    <t xml:space="preserve">While tofu sausages are included, the primary focus is on antimicrobial hydrogel coating technology for food preservation applied to both pork and tofu sausages, not on the development or characterisation of alternative proteins or plant-based meat analogues.</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</si>
  <si>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</si>
  <si>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</si>
  <si>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</si>
  <si>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The publication focuses on mycoprotein derived from filamentous fungal biomass (Aspergillus oryzae) as the primary protein source for a 3D-printed food product, which falls within the fermentation/biomass fermentation category of alternative proteins, despite the dysphagia application context.</t>
  </si>
  <si>
    <t xml:space="preserve">Previously excluded for dysphagia focus.</t>
  </si>
  <si>
    <t xml:space="preserve">pub.1186213546</t>
  </si>
  <si>
    <t xml:space="preserve">Impact of Vegan and Vegetarian Diets on Neurological Health: A Critical Review</t>
  </si>
  <si>
    <t xml:space="preserve">BACKGROUND/OBJECTIVES: The global shift towards vegan and vegetarian diets has garnered attention for their ethical, environmental, and potential health benefits. These diets are often rich in phytonutrients and antioxidants, which have been associated with lower levels of inflammatory markers, such as C-reactive protein (CRP) and interleukin-6 (IL-6), suggesting a potential protective effect against systemic inflammation and oxidative stress. However, despite these benefits, concerns remain regarding their impact on neurological health due to the possible deficiencies of critical nutrients such as vitamin B12, DHA, EPA, and iron. This review critically evaluates the influence of these dietary patterns on neurological outcomes, emphasizing their nutritional composition, potential deficiencies, and their interplay with inflammation and oxidative stress.
METHODS: A systematic review of the literature published between 2010 and 2023 was conducted, focusing on studies that explore the relationship between vegan and vegetarian diets and neurological health. Key nutrients such as vitamin B12, omega-3 fatty acids, iron, and zinc were analyzed alongside antinutritional factors and their effects on the nervous system.
RESULTS: Evidence suggests that vegan and vegetarian diets, when well planned, can be rich in phytonutrients and antioxidants, which have been associated with lower levels of inflammatory markers, such as C-reactive protein (CRP) and interleukin-6 (IL-6). These findings indicate a potential role in reducing systemic inflammation and oxidative stress, both of which are linked to neurodegenerative diseases. However, deficiencies in critical nutrients such as vitamin B12, DHA, EPA, and iron have been consistently associated with an increased risk of cognitive decline, mood disturbances, and neurodegenerative disorders. Additionally, the presence of antinutritional factors like phytates and oxalates may further impair nutrient absorption, necessitating careful dietary planning and supplementation.
CONCLUSIONS: While plant-based diets provide anti-inflammatory and antioxidant benefits, their neurological implications depend on nutrient adequacy. Proper planning, supplementation, and food preparation techniques are essential to mitigate risks and enhance cognitive health. Further research is needed to explore long-term neurological outcomes and optimize dietary strategies.</t>
  </si>
  <si>
    <t xml:space="preserve">This review focuses on the neurological health outcomes of vegan and vegetarian diets, examining nutrient deficiencies and inflammatory markers, which is a broad dietary health study rather than research advancing the development, characterisation, or optimisation of alternative protein ingredients or products.</t>
  </si>
  <si>
    <t xml:space="preserve">Using sonnet fixed the issues I had with socioeconomic and exclusion conflicts.</t>
  </si>
  <si>
    <t xml:space="preserve">Also, all publications here with FALSE have a confidence of 1 or 2 so they would go for manual review!</t>
  </si>
  <si>
    <t xml:space="preserve">Truthfully though, all FALSE in green are ones where I personally agree they should be out of scope…</t>
  </si>
  <si>
    <t xml:space="preserve">Orange is where Haiku said out of scope and I agreed but now Sonnet says in scope… Lots of edge cases, dysphagia is the weirdest one.</t>
  </si>
  <si>
    <t xml:space="preserve">metric</t>
  </si>
  <si>
    <t xml:space="preserve">value</t>
  </si>
  <si>
    <t xml:space="preserve">n</t>
  </si>
  <si>
    <t xml:space="preserve">scope_accuracy</t>
  </si>
  <si>
    <t xml:space="preserve">65%</t>
  </si>
  <si>
    <t xml:space="preserve">pillar_accuracy</t>
  </si>
  <si>
    <t xml:space="preserve">59%</t>
  </si>
  <si>
    <t xml:space="preserve">pillar_accuracy_both_in_scope</t>
  </si>
  <si>
    <t xml:space="preserve">82%</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</si>
</sst>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FF8000"/>
        <bgColor rgb="FFFF66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80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27" activeCellId="0" sqref="J27"/>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row>
    <row r="2" customFormat="false" ht="45.1" hidden="false" customHeight="false" outlineLevel="0" collapsed="false">
      <c r="A2" s="0" t="s">
        <v>14</v>
      </c>
      <c r="B2" s="0" t="s">
        <v>15</v>
      </c>
      <c r="C2" s="1" t="s">
        <v>16</v>
      </c>
      <c r="D2" s="0" t="s">
        <v>17</v>
      </c>
      <c r="E2" s="0" t="s">
        <v>17</v>
      </c>
      <c r="F2" s="0" t="n">
        <v>4</v>
      </c>
      <c r="G2" s="0" t="s">
        <v>18</v>
      </c>
      <c r="H2" s="2" t="b">
        <f aca="false">TRUE()</f>
        <v>1</v>
      </c>
      <c r="I2" s="0" t="s">
        <v>19</v>
      </c>
      <c r="J2" s="0" t="s">
        <v>19</v>
      </c>
      <c r="K2" s="3" t="b">
        <f aca="false">TRUE()</f>
        <v>1</v>
      </c>
      <c r="L2" s="3" t="b">
        <f aca="false">FALSE()</f>
        <v>0</v>
      </c>
      <c r="M2" s="3" t="b">
        <f aca="false">FALSE()</f>
        <v>0</v>
      </c>
      <c r="N2" s="3" t="b">
        <f aca="false">TRUE()</f>
        <v>1</v>
      </c>
      <c r="O2" s="0" t="s">
        <v>20</v>
      </c>
    </row>
    <row r="3" customFormat="false" ht="15" hidden="false" customHeight="false" outlineLevel="0" collapsed="false">
      <c r="A3" s="0" t="s">
        <v>21</v>
      </c>
      <c r="B3" s="0" t="s">
        <v>22</v>
      </c>
      <c r="C3" s="0" t="s">
        <v>23</v>
      </c>
      <c r="D3" s="0" t="s">
        <v>17</v>
      </c>
      <c r="E3" s="0" t="s">
        <v>17</v>
      </c>
      <c r="F3" s="0" t="n">
        <v>4</v>
      </c>
      <c r="G3" s="0" t="s">
        <v>24</v>
      </c>
      <c r="H3" s="2" t="b">
        <f aca="false">TRUE()</f>
        <v>1</v>
      </c>
      <c r="I3" s="0" t="s">
        <v>19</v>
      </c>
      <c r="J3" s="0" t="s">
        <v>19</v>
      </c>
      <c r="K3" s="3" t="b">
        <f aca="false">TRUE()</f>
        <v>1</v>
      </c>
      <c r="L3" s="3" t="b">
        <f aca="false">FALSE()</f>
        <v>0</v>
      </c>
      <c r="M3" s="3" t="b">
        <f aca="false">FALSE()</f>
        <v>0</v>
      </c>
      <c r="N3" s="3" t="b">
        <f aca="false">TRUE()</f>
        <v>1</v>
      </c>
      <c r="O3" s="0" t="s">
        <v>20</v>
      </c>
    </row>
    <row r="4" customFormat="false" ht="15" hidden="false" customHeight="false" outlineLevel="0" collapsed="false">
      <c r="A4" s="0" t="s">
        <v>25</v>
      </c>
      <c r="B4" s="0" t="s">
        <v>26</v>
      </c>
      <c r="C4" s="0" t="s">
        <v>27</v>
      </c>
      <c r="D4" s="0" t="s">
        <v>17</v>
      </c>
      <c r="E4" s="0" t="s">
        <v>17</v>
      </c>
      <c r="F4" s="0" t="n">
        <v>4</v>
      </c>
      <c r="G4" s="0" t="s">
        <v>28</v>
      </c>
      <c r="H4" s="3" t="b">
        <f aca="false">TRUE()</f>
        <v>1</v>
      </c>
      <c r="I4" s="0" t="s">
        <v>29</v>
      </c>
      <c r="J4" s="0" t="s">
        <v>29</v>
      </c>
      <c r="K4" s="3" t="b">
        <f aca="false">TRUE()</f>
        <v>1</v>
      </c>
      <c r="L4" s="3" t="b">
        <f aca="false">TRUE()</f>
        <v>1</v>
      </c>
      <c r="M4" s="3" t="b">
        <f aca="false">FALSE()</f>
        <v>0</v>
      </c>
      <c r="N4" s="3" t="b">
        <f aca="false">FALSE()</f>
        <v>0</v>
      </c>
    </row>
    <row r="5" customFormat="false" ht="15" hidden="false" customHeight="false" outlineLevel="0" collapsed="false">
      <c r="A5" s="0" t="s">
        <v>30</v>
      </c>
      <c r="B5" s="0" t="s">
        <v>31</v>
      </c>
      <c r="C5" s="0" t="s">
        <v>32</v>
      </c>
      <c r="D5" s="0" t="s">
        <v>17</v>
      </c>
      <c r="E5" s="0" t="s">
        <v>17</v>
      </c>
      <c r="F5" s="0" t="n">
        <v>4</v>
      </c>
      <c r="G5" s="0" t="s">
        <v>33</v>
      </c>
      <c r="H5" s="3" t="b">
        <f aca="false">TRUE()</f>
        <v>1</v>
      </c>
      <c r="I5" s="0" t="s">
        <v>19</v>
      </c>
      <c r="J5" s="0" t="s">
        <v>19</v>
      </c>
      <c r="K5" s="3" t="b">
        <f aca="false">TRUE()</f>
        <v>1</v>
      </c>
      <c r="L5" s="3" t="b">
        <f aca="false">FALSE()</f>
        <v>0</v>
      </c>
      <c r="M5" s="3" t="b">
        <f aca="false">FALSE()</f>
        <v>0</v>
      </c>
      <c r="N5" s="3" t="b">
        <f aca="false">TRUE()</f>
        <v>1</v>
      </c>
    </row>
    <row r="6" customFormat="false" ht="15" hidden="false" customHeight="false" outlineLevel="0" collapsed="false">
      <c r="A6" s="0" t="s">
        <v>34</v>
      </c>
      <c r="B6" s="0" t="s">
        <v>35</v>
      </c>
      <c r="C6" s="0" t="s">
        <v>36</v>
      </c>
      <c r="D6" s="0" t="s">
        <v>17</v>
      </c>
      <c r="E6" s="0" t="s">
        <v>17</v>
      </c>
      <c r="F6" s="0" t="n">
        <v>4</v>
      </c>
      <c r="G6" s="0" t="s">
        <v>37</v>
      </c>
      <c r="H6" s="3" t="b">
        <f aca="false">TRUE()</f>
        <v>1</v>
      </c>
      <c r="I6" s="0" t="s">
        <v>38</v>
      </c>
      <c r="J6" s="0" t="s">
        <v>39</v>
      </c>
      <c r="K6" s="3" t="b">
        <f aca="false">FALSE()</f>
        <v>0</v>
      </c>
      <c r="L6" s="3" t="b">
        <f aca="false">FALSE()</f>
        <v>0</v>
      </c>
      <c r="M6" s="3" t="b">
        <f aca="false">TRUE()</f>
        <v>1</v>
      </c>
      <c r="N6" s="3" t="b">
        <f aca="false">FALSE()</f>
        <v>0</v>
      </c>
    </row>
    <row r="7" customFormat="false" ht="15" hidden="false" customHeight="false" outlineLevel="0" collapsed="false">
      <c r="A7" s="0" t="s">
        <v>40</v>
      </c>
      <c r="B7" s="0" t="s">
        <v>41</v>
      </c>
      <c r="C7" s="0" t="s">
        <v>42</v>
      </c>
      <c r="D7" s="0" t="s">
        <v>17</v>
      </c>
      <c r="E7" s="0" t="s">
        <v>17</v>
      </c>
      <c r="F7" s="0" t="n">
        <v>5</v>
      </c>
      <c r="G7" s="0" t="s">
        <v>43</v>
      </c>
      <c r="H7" s="3" t="b">
        <f aca="false">TRUE()</f>
        <v>1</v>
      </c>
      <c r="I7" s="0" t="s">
        <v>38</v>
      </c>
      <c r="J7" s="0" t="s">
        <v>44</v>
      </c>
      <c r="K7" s="3" t="b">
        <f aca="false">FALSE()</f>
        <v>0</v>
      </c>
      <c r="L7" s="3" t="b">
        <f aca="false">FALSE()</f>
        <v>0</v>
      </c>
      <c r="M7" s="3" t="b">
        <f aca="false">FALSE()</f>
        <v>0</v>
      </c>
      <c r="N7" s="3" t="b">
        <f aca="false">FALSE()</f>
        <v>0</v>
      </c>
    </row>
    <row r="8" customFormat="false" ht="15" hidden="false" customHeight="false" outlineLevel="0" collapsed="false">
      <c r="A8" s="0" t="s">
        <v>45</v>
      </c>
      <c r="B8" s="0" t="s">
        <v>46</v>
      </c>
      <c r="C8" s="0" t="s">
        <v>47</v>
      </c>
      <c r="D8" s="0" t="s">
        <v>17</v>
      </c>
      <c r="E8" s="0" t="s">
        <v>17</v>
      </c>
      <c r="F8" s="0" t="n">
        <v>4</v>
      </c>
      <c r="G8" s="0" t="s">
        <v>48</v>
      </c>
      <c r="H8" s="4" t="b">
        <f aca="false">TRUE()</f>
        <v>1</v>
      </c>
      <c r="I8" s="0" t="s">
        <v>19</v>
      </c>
      <c r="J8" s="0" t="s">
        <v>19</v>
      </c>
      <c r="K8" s="3" t="b">
        <f aca="false">TRUE()</f>
        <v>1</v>
      </c>
      <c r="L8" s="3" t="b">
        <f aca="false">FALSE()</f>
        <v>0</v>
      </c>
      <c r="M8" s="3" t="b">
        <f aca="false">FALSE()</f>
        <v>0</v>
      </c>
      <c r="N8" s="3" t="b">
        <f aca="false">TRUE()</f>
        <v>1</v>
      </c>
      <c r="O8" s="0" t="s">
        <v>49</v>
      </c>
    </row>
    <row r="9" customFormat="false" ht="15" hidden="false" customHeight="false" outlineLevel="0" collapsed="false">
      <c r="A9" s="0" t="s">
        <v>50</v>
      </c>
      <c r="B9" s="0" t="s">
        <v>51</v>
      </c>
      <c r="C9" s="0" t="s">
        <v>52</v>
      </c>
      <c r="D9" s="0" t="s">
        <v>17</v>
      </c>
      <c r="E9" s="0" t="s">
        <v>53</v>
      </c>
      <c r="F9" s="5" t="n">
        <v>2</v>
      </c>
      <c r="G9" s="0" t="s">
        <v>54</v>
      </c>
      <c r="H9" s="4" t="b">
        <f aca="false">FALSE()</f>
        <v>0</v>
      </c>
      <c r="I9" s="0" t="s">
        <v>29</v>
      </c>
      <c r="J9" s="0" t="s">
        <v>44</v>
      </c>
      <c r="K9" s="3" t="b">
        <f aca="false">FALSE()</f>
        <v>0</v>
      </c>
      <c r="L9" s="3" t="b">
        <f aca="false">FALSE()</f>
        <v>0</v>
      </c>
      <c r="M9" s="3" t="b">
        <f aca="false">FALSE()</f>
        <v>0</v>
      </c>
      <c r="N9" s="3" t="b">
        <f aca="false">FALSE()</f>
        <v>0</v>
      </c>
      <c r="O9" s="0" t="s">
        <v>55</v>
      </c>
    </row>
    <row r="10" customFormat="false" ht="15" hidden="false" customHeight="false" outlineLevel="0" collapsed="false">
      <c r="A10" s="0" t="s">
        <v>56</v>
      </c>
      <c r="B10" s="0" t="s">
        <v>57</v>
      </c>
      <c r="C10" s="0" t="s">
        <v>58</v>
      </c>
      <c r="D10" s="0" t="s">
        <v>17</v>
      </c>
      <c r="E10" s="0" t="s">
        <v>17</v>
      </c>
      <c r="F10" s="0" t="n">
        <v>4</v>
      </c>
      <c r="G10" s="0" t="s">
        <v>59</v>
      </c>
      <c r="H10" s="3" t="b">
        <f aca="false">TRUE()</f>
        <v>1</v>
      </c>
      <c r="I10" s="0" t="s">
        <v>29</v>
      </c>
      <c r="J10" s="0" t="s">
        <v>29</v>
      </c>
      <c r="K10" s="3" t="b">
        <f aca="false">TRUE()</f>
        <v>1</v>
      </c>
      <c r="L10" s="3" t="b">
        <f aca="false">TRUE()</f>
        <v>1</v>
      </c>
      <c r="M10" s="3" t="b">
        <f aca="false">FALSE()</f>
        <v>0</v>
      </c>
      <c r="N10" s="3" t="b">
        <f aca="false">FALSE()</f>
        <v>0</v>
      </c>
    </row>
    <row r="11" customFormat="false" ht="15" hidden="false" customHeight="false" outlineLevel="0" collapsed="false">
      <c r="A11" s="0" t="s">
        <v>60</v>
      </c>
      <c r="B11" s="0" t="s">
        <v>61</v>
      </c>
      <c r="C11" s="0" t="s">
        <v>62</v>
      </c>
      <c r="D11" s="0" t="s">
        <v>17</v>
      </c>
      <c r="E11" s="0" t="s">
        <v>53</v>
      </c>
      <c r="F11" s="5" t="n">
        <v>2</v>
      </c>
      <c r="G11" s="0" t="s">
        <v>63</v>
      </c>
      <c r="H11" s="4" t="b">
        <f aca="false">FALSE()</f>
        <v>0</v>
      </c>
      <c r="I11" s="0" t="s">
        <v>39</v>
      </c>
      <c r="J11" s="0" t="s">
        <v>39</v>
      </c>
      <c r="K11" s="3" t="b">
        <f aca="false">TRUE()</f>
        <v>1</v>
      </c>
      <c r="L11" s="3" t="b">
        <f aca="false">FALSE()</f>
        <v>0</v>
      </c>
      <c r="M11" s="3" t="b">
        <f aca="false">TRUE()</f>
        <v>1</v>
      </c>
      <c r="N11" s="3" t="b">
        <f aca="false">FALSE()</f>
        <v>0</v>
      </c>
    </row>
    <row r="12" customFormat="false" ht="15" hidden="false" customHeight="false" outlineLevel="0" collapsed="false">
      <c r="A12" s="0" t="s">
        <v>64</v>
      </c>
      <c r="B12" s="0" t="s">
        <v>65</v>
      </c>
      <c r="C12" s="0" t="s">
        <v>66</v>
      </c>
      <c r="D12" s="0" t="s">
        <v>17</v>
      </c>
      <c r="E12" s="0" t="s">
        <v>53</v>
      </c>
      <c r="F12" s="5" t="n">
        <v>1</v>
      </c>
      <c r="G12" s="0" t="s">
        <v>67</v>
      </c>
      <c r="H12" s="4" t="b">
        <f aca="false">FALSE()</f>
        <v>0</v>
      </c>
      <c r="I12" s="0" t="s">
        <v>19</v>
      </c>
      <c r="J12" s="0" t="s">
        <v>44</v>
      </c>
      <c r="K12" s="3" t="b">
        <f aca="false">FALSE()</f>
        <v>0</v>
      </c>
      <c r="L12" s="3" t="b">
        <f aca="false">FALSE()</f>
        <v>0</v>
      </c>
      <c r="M12" s="3" t="b">
        <f aca="false">FALSE()</f>
        <v>0</v>
      </c>
      <c r="N12" s="3" t="b">
        <f aca="false">FALSE()</f>
        <v>0</v>
      </c>
    </row>
    <row r="13" customFormat="false" ht="15" hidden="false" customHeight="false" outlineLevel="0" collapsed="false">
      <c r="A13" s="0" t="s">
        <v>68</v>
      </c>
      <c r="B13" s="0" t="s">
        <v>69</v>
      </c>
      <c r="C13" s="0" t="s">
        <v>70</v>
      </c>
      <c r="D13" s="0" t="s">
        <v>17</v>
      </c>
      <c r="E13" s="0" t="s">
        <v>17</v>
      </c>
      <c r="F13" s="0" t="n">
        <v>4</v>
      </c>
      <c r="G13" s="0" t="s">
        <v>71</v>
      </c>
      <c r="H13" s="3" t="b">
        <f aca="false">TRUE()</f>
        <v>1</v>
      </c>
      <c r="I13" s="0" t="s">
        <v>39</v>
      </c>
      <c r="J13" s="0" t="s">
        <v>39</v>
      </c>
      <c r="K13" s="3" t="b">
        <f aca="false">TRUE()</f>
        <v>1</v>
      </c>
      <c r="L13" s="3" t="b">
        <f aca="false">FALSE()</f>
        <v>0</v>
      </c>
      <c r="M13" s="3" t="b">
        <f aca="false">TRUE()</f>
        <v>1</v>
      </c>
      <c r="N13" s="3" t="b">
        <f aca="false">FALSE()</f>
        <v>0</v>
      </c>
    </row>
    <row r="14" customFormat="false" ht="15" hidden="false" customHeight="false" outlineLevel="0" collapsed="false">
      <c r="A14" s="0" t="s">
        <v>72</v>
      </c>
      <c r="B14" s="0" t="s">
        <v>73</v>
      </c>
      <c r="C14" s="0" t="s">
        <v>74</v>
      </c>
      <c r="D14" s="0" t="s">
        <v>17</v>
      </c>
      <c r="E14" s="0" t="s">
        <v>53</v>
      </c>
      <c r="F14" s="0" t="n">
        <v>2</v>
      </c>
      <c r="G14" s="0" t="s">
        <v>75</v>
      </c>
      <c r="H14" s="4" t="b">
        <f aca="false">FALSE()</f>
        <v>0</v>
      </c>
      <c r="I14" s="0" t="s">
        <v>29</v>
      </c>
      <c r="J14" s="0" t="s">
        <v>44</v>
      </c>
      <c r="K14" s="3" t="b">
        <f aca="false">FALSE()</f>
        <v>0</v>
      </c>
      <c r="L14" s="3" t="b">
        <f aca="false">FALSE()</f>
        <v>0</v>
      </c>
      <c r="M14" s="3" t="b">
        <f aca="false">FALSE()</f>
        <v>0</v>
      </c>
      <c r="N14" s="3" t="b">
        <f aca="false">FALSE()</f>
        <v>0</v>
      </c>
    </row>
    <row r="15" customFormat="false" ht="15" hidden="false" customHeight="false" outlineLevel="0" collapsed="false">
      <c r="A15" s="0" t="s">
        <v>76</v>
      </c>
      <c r="B15" s="0" t="s">
        <v>77</v>
      </c>
      <c r="C15" s="0" t="s">
        <v>78</v>
      </c>
      <c r="D15" s="0" t="s">
        <v>17</v>
      </c>
      <c r="E15" s="0" t="s">
        <v>17</v>
      </c>
      <c r="F15" s="0" t="n">
        <v>4</v>
      </c>
      <c r="G15" s="0" t="s">
        <v>79</v>
      </c>
      <c r="H15" s="4" t="b">
        <f aca="false">TRUE()</f>
        <v>1</v>
      </c>
      <c r="I15" s="0" t="s">
        <v>38</v>
      </c>
      <c r="J15" s="0" t="s">
        <v>38</v>
      </c>
      <c r="K15" s="3" t="b">
        <f aca="false">TRUE()</f>
        <v>1</v>
      </c>
      <c r="L15" s="3" t="b">
        <f aca="false">TRUE()</f>
        <v>1</v>
      </c>
      <c r="M15" s="3" t="b">
        <f aca="false">TRUE()</f>
        <v>1</v>
      </c>
      <c r="N15" s="3" t="b">
        <f aca="false">FALSE()</f>
        <v>0</v>
      </c>
      <c r="O15" s="0" t="s">
        <v>49</v>
      </c>
    </row>
    <row r="16" customFormat="false" ht="15" hidden="false" customHeight="false" outlineLevel="0" collapsed="false">
      <c r="A16" s="0" t="s">
        <v>80</v>
      </c>
      <c r="B16" s="0" t="s">
        <v>81</v>
      </c>
      <c r="C16" s="0" t="s">
        <v>82</v>
      </c>
      <c r="D16" s="0" t="s">
        <v>17</v>
      </c>
      <c r="E16" s="0" t="s">
        <v>53</v>
      </c>
      <c r="F16" s="0" t="n">
        <v>2</v>
      </c>
      <c r="G16" s="0" t="s">
        <v>83</v>
      </c>
      <c r="H16" s="4" t="b">
        <f aca="false">FALSE()</f>
        <v>0</v>
      </c>
      <c r="I16" s="0" t="s">
        <v>29</v>
      </c>
      <c r="J16" s="0" t="s">
        <v>44</v>
      </c>
      <c r="K16" s="3" t="b">
        <f aca="false">FALSE()</f>
        <v>0</v>
      </c>
      <c r="L16" s="3" t="b">
        <f aca="false">FALSE()</f>
        <v>0</v>
      </c>
      <c r="M16" s="3" t="b">
        <f aca="false">FALSE()</f>
        <v>0</v>
      </c>
      <c r="N16" s="3" t="b">
        <f aca="false">FALSE()</f>
        <v>0</v>
      </c>
    </row>
    <row r="17" customFormat="false" ht="15" hidden="false" customHeight="false" outlineLevel="0" collapsed="false">
      <c r="A17" s="0" t="s">
        <v>84</v>
      </c>
      <c r="B17" s="0" t="s">
        <v>85</v>
      </c>
      <c r="C17" s="0" t="s">
        <v>86</v>
      </c>
      <c r="D17" s="0" t="s">
        <v>17</v>
      </c>
      <c r="E17" s="0" t="s">
        <v>17</v>
      </c>
      <c r="F17" s="0" t="n">
        <v>4</v>
      </c>
      <c r="G17" s="0" t="s">
        <v>87</v>
      </c>
      <c r="H17" s="2" t="b">
        <f aca="false">TRUE()</f>
        <v>1</v>
      </c>
      <c r="I17" s="0" t="s">
        <v>39</v>
      </c>
      <c r="J17" s="0" t="s">
        <v>39</v>
      </c>
      <c r="K17" s="3" t="b">
        <f aca="false">TRUE()</f>
        <v>1</v>
      </c>
      <c r="L17" s="3" t="b">
        <f aca="false">FALSE()</f>
        <v>0</v>
      </c>
      <c r="M17" s="3" t="b">
        <f aca="false">TRUE()</f>
        <v>1</v>
      </c>
      <c r="N17" s="3" t="b">
        <f aca="false">FALSE()</f>
        <v>0</v>
      </c>
      <c r="O17" s="0" t="s">
        <v>88</v>
      </c>
    </row>
    <row r="18" customFormat="false" ht="45.1" hidden="false" customHeight="false" outlineLevel="0" collapsed="false">
      <c r="A18" s="0" t="s">
        <v>89</v>
      </c>
      <c r="B18" s="0" t="s">
        <v>90</v>
      </c>
      <c r="C18" s="1" t="s">
        <v>91</v>
      </c>
      <c r="D18" s="0" t="s">
        <v>17</v>
      </c>
      <c r="E18" s="0" t="s">
        <v>53</v>
      </c>
      <c r="F18" s="0" t="n">
        <v>2</v>
      </c>
      <c r="G18" s="0" t="s">
        <v>92</v>
      </c>
      <c r="H18" s="4" t="b">
        <f aca="false">FALSE()</f>
        <v>0</v>
      </c>
      <c r="I18" s="0" t="s">
        <v>29</v>
      </c>
      <c r="J18" s="0" t="s">
        <v>44</v>
      </c>
      <c r="K18" s="3" t="b">
        <f aca="false">FALSE()</f>
        <v>0</v>
      </c>
      <c r="L18" s="3" t="b">
        <f aca="false">FALSE()</f>
        <v>0</v>
      </c>
      <c r="M18" s="3" t="b">
        <f aca="false">FALSE()</f>
        <v>0</v>
      </c>
      <c r="N18" s="3" t="b">
        <f aca="false">FALSE()</f>
        <v>0</v>
      </c>
    </row>
    <row r="21" customFormat="false" ht="15" hidden="false" customHeight="false" outlineLevel="0" collapsed="false">
      <c r="F21" s="0" t="s">
        <v>93</v>
      </c>
    </row>
    <row r="22" customFormat="false" ht="15" hidden="false" customHeight="false" outlineLevel="0" collapsed="false">
      <c r="F22" s="0" t="s">
        <v>94</v>
      </c>
    </row>
    <row r="23" customFormat="false" ht="15" hidden="false" customHeight="false" outlineLevel="0" collapsed="false">
      <c r="F23" s="0" t="s">
        <v>95</v>
      </c>
    </row>
    <row r="24" customFormat="false" ht="15" hidden="false" customHeight="false" outlineLevel="0" collapsed="false">
      <c r="F24" s="0"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97</v>
      </c>
      <c r="B1" s="0" t="s">
        <v>98</v>
      </c>
      <c r="C1" s="0" t="s">
        <v>99</v>
      </c>
    </row>
    <row r="2" customFormat="false" ht="15" hidden="false" customHeight="false" outlineLevel="0" collapsed="false">
      <c r="A2" s="0" t="s">
        <v>100</v>
      </c>
      <c r="B2" s="0" t="s">
        <v>101</v>
      </c>
      <c r="C2" s="0" t="n">
        <v>17</v>
      </c>
    </row>
    <row r="3" customFormat="false" ht="15" hidden="false" customHeight="false" outlineLevel="0" collapsed="false">
      <c r="A3" s="0" t="s">
        <v>102</v>
      </c>
      <c r="B3" s="0" t="s">
        <v>103</v>
      </c>
      <c r="C3" s="0" t="n">
        <v>17</v>
      </c>
    </row>
    <row r="4" customFormat="false" ht="15" hidden="false" customHeight="false" outlineLevel="0" collapsed="false">
      <c r="A4" s="0" t="s">
        <v>104</v>
      </c>
      <c r="B4" s="0" t="s">
        <v>105</v>
      </c>
      <c r="C4" s="0"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2026-06-10T22:16:34Z</dcterms:created>
  <dc:creator>openpyxl</dc:creator>
  <dc:description/>
  <dc:language>en-GB</dc:language>
  <cp:lastModifiedBy/>
  <dcterms:modified xsi:type="dcterms:W3CDTF">2026-06-10T23:28:31Z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