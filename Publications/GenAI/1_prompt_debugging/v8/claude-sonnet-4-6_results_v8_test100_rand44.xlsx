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metric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<sst xmlns="http://schemas.openxmlformats.org/spreadsheetml/2006/main" count="923" uniqueCount="490">
  <si>
    <t xml:space="preserve">id</t>
  </si>
  <si>
    <t xml:space="preserve">title</t>
  </si>
  <si>
    <t xml:space="preserve">abstract</t>
  </si>
  <si>
    <t xml:space="preserve">scope</t>
  </si>
  <si>
    <t xml:space="preserve">scope_LLM</t>
  </si>
  <si>
    <t xml:space="preserve">confidence_LLM</t>
  </si>
  <si>
    <t xml:space="preserve">reasoning_LLM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</si>
  <si>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</si>
  <si>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</si>
  <si>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</si>
  <si>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</si>
  <si>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</si>
  <si>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</si>
  <si>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</si>
  <si>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cross_cutting_LLM</t>
  </si>
  <si>
    <t xml:space="preserve">Scope notes</t>
  </si>
  <si>
    <t xml:space="preserve">Pillar notes</t>
  </si>
  <si>
    <t xml:space="preserve">pub.1185069089</t>
  </si>
  <si>
    <t xml:space="preserve">Wireless Stimulation of Barium Titanate@PEDOT Nanoparticles Toward Bioelectrical Modulation in Cancer</t>
  </si>
  <si>
    <t xml:space="preserve">Cancer cells possess distinct bioelectrical properties, yet therapies leveraging these characteristics remain underexplored. Herein, we introduce an innovative nanobioelectronic system combining a piezoelectric barium titanate nanoparticle core with a conducting poly(3,4-ethylenedioxythiophene) shell (BTO@PEDOT NPs), designed to modulate cancer cell bioelectricity through noninvasive, wireless stimulation. Our hypothesis is that acting as nanoantennas, BTO@PEDOT NPs convert mechanical inputs provided by ultrasound (US) into electrical signals, capable of interfering with the bioelectronic circuitry of two human breast cancer cell lines, MCF-7 and MDA-MB-231. Upon US stimulation, the viability of MCF-7 and MDA-MB-231 cells treated with 200 μg mL-1 BTO@PEDOT NPs and US reduced significantly to 31% and 24%, respectively, while healthy human mammary fibroblasts (HMF) were unaffected by the treatment. Subsequent assays shed light on how this approach could interact with cell's bioelectrical mechanisms, namely, by increasing intracellular reactive oxygen species (ROS) and calcium concentrations. Furthermore, this system was able to polarize cancer cell membranes, halting their cell cycle and potentially harnessing their tumorigenic characteristics. These findings underscore the crucial role of bioelectricity in cancer progression and highlight the potential of nanobioelectronic systems as an emerging and promising strategy for cancer intervention.</t>
  </si>
  <si>
    <t xml:space="preserve">out</t>
  </si>
  <si>
    <t xml:space="preserve">This publication concerns a nanobioelectronic cancer therapy system using piezoelectric nanoparticles and has no relevance to alternative proteins or food applications.</t>
  </si>
  <si>
    <t xml:space="preserve">NA</t>
  </si>
  <si>
    <t xml:space="preserve">pub.1190780280</t>
  </si>
  <si>
    <t xml:space="preserve">Stabilization of double emulsions with anthocyanins using a plant protein–inositol hexaphosphate complex</t>
  </si>
  <si>
    <t xml:space="preserve">BACKGROUND: Double emulsions (water-in-oil-in-water - W/O/W) offer a promising strategy for encapsulating sensitive bioactive compounds like anthocyanins. Their performance depends on the choice of stabilizing agents and the structural integrity of the interfacial layer, particularly under processing conditions such as spray drying. This study combined plant-based proteins (pea and rice) with inositol hexaphosphate (IP6) to investigate their coacervation behavior and effectiveness in stabilizing anthocyanin-loaded double emulsions.
RESULTS: Eight formulations were evaluated, varying in protein type (pea - PP or rice - RP), protein-to-IP6 ratios (1:1 or 2:1), and wall-to-emulsion ratios (2:1 or 4:1). The highest anthocyanin retention (94.4%) was observed in RP-1:1-2:1, and the lowest (30.6%) occurred in RP-2:1-4:1. Scanning electron microscopy (SEM) revealed that higher wall-to-emulsion ratios led to smaller and more uniform microcapsules but retention efficiency decreased. Fourier-transform infrared (FTIR) analysis showed that rice protein systems exhibited higher α-helix content and α-helix:β-sheet ratios, correlating with better film cohesiveness, interfacial integrity, and controlled release. In contrast, pea protein systems were dominated by β-sheet and random coil structures, leading to more disordered matrices, greater surface irregularities, and increased anthocyanin leakage. These structural differences reflect protein-specific interactions with IP6 and are consistent with literature reporting superior mechanical and barrier properties for α-helical structures. Physical characterization showed that pea protein capsules retained more moisture and had higher tapped density, whereas rice protein capsules were lighter in color.
CONCLUSION: The use of protein-IP6 complexes is a viable strategy for stabilizing anthocyanin-rich double emulsions. Rice protein, due to its α-helical-rich structure, contributes to greater stability and encapsulation efficiency, whereas pea protein provides flexibility and moisture retention but lower structural cohesion. These findings highlight the importance of protein secondary structure in designing efficient plant-based encapsulation systems for food, pharmaceutical, and cosmetic applications. © 2025 Society of Chemical Industry.</t>
  </si>
  <si>
    <t xml:space="preserve">While plant proteins (pea and rice) are used, this study focuses on encapsulation of anthocyanins (bioactive compounds) for food, pharmaceutical, and cosmetic applications broadly, without a stated application in alternative protein products or animal product substitution — the implied use case is nutraceutical/bioactive delivery rather than alternative protein development.</t>
  </si>
  <si>
    <t xml:space="preserve">pub.1187683375</t>
  </si>
  <si>
    <t xml:space="preserve">Assessing the impact of copper toxicity on soil ecosystems and barley growth: identification of robust indicators</t>
  </si>
  <si>
    <t xml:space="preserve">Abstract Over the past decade, the escalating prevalence of copper (Cu) pollution in soil has raised significant concerns due to its potential detrimental impacts on soil quality, microbial communities, plant health, food security, and land degradation. Despite extensive research, the response mechanisms, threshold levels, and reliable indicators of Cu pollution remain debated. Therefore, comprehensive studies are needed to gain a better understanding of these dynamics. This study address these gaps by: (1) evaluating Cu toxicity effects on soil biological, biochemical, barley germination, growth, biomass, and physiological parameters, and (2) identifying robust indicators for early assessment of Cu-associated risks. Soil was amended with CuSO4 at concentrations ranging from 0 to 210 mg kg−1. Factors exacerbating Cu toxicity included Cu concentration, pH levels, and the duration of Cu accumulation within the soil ecosystem. Consequently, at the highest Cu concentration a significant reduction in soil biological, biochemical, barley germination, growth, biomass, and physiological parameters was observed towards the end of the experiment. Simultaneously, there was a substantial increase in the levels of antioxidant enzymes, malondialdehyde (MDA), reactive oxygen species (ROS), and electrolyte leakage (EL) triggered by Cu presence. Correlation analyses highlighted bacterial populations, microbial biomass carbon (MBC), dehydrogenase activity, respiration rates, pH levels, seedling fresh biomass and height, chlorophyll content, photosynthetic activity, protein content, superoxide dismutase (SOD) activity, ROS levels, and MDA as sensitive indicators of Cu stress. As a result, these parameters are proposed as reliable indicators for predicting Cu toxicity thresholds, excessive accumulation, and associated risks within soil ecosystems. These indicators have implications not only for land degradation but also for food security considerations.</t>
  </si>
  <si>
    <t xml:space="preserve">This study concerns copper toxicity effects on soil ecosystems and barley growth as a general agronomic/environmental study, with no connection to alternative protein development or animal product substitution.</t>
  </si>
  <si>
    <t xml:space="preserve">pub.1188008903</t>
  </si>
  <si>
    <t xml:space="preserve">Large-Scale Chromatography for the Isolation of 7S Globulin Enriched Fraction from Pigeon Pea Seeds</t>
  </si>
  <si>
    <t xml:space="preserve">Pigeon pea (Cajanus cajan) contains around 60% globulin proteins, of which 7S globulin is the most abundant fraction. In this work, a purification protocol for pigeon pea 7S globulin was developed using large-scale chromatography. The process was designed on an analytical scale through desalting of the crude protein extract followed by anion exchange chromatography and size exclusion chromatography. Then, the process was scaled up to a large scale. The purified fraction presented a protein content of 89 g/100 g powder and yield close to 23%. The isolated 7S globulin showed two main subunits of 64 and 49 kDa, identified as the α- and β-chains of β-conglycinin by proteomic analysis. The developed protocol was shown to be suitable for purifying pigeon pea 7S globulin on a large scale, and it is relevant for isolating this fraction from other pulse seeds in sufficient quantities for their characterization and evaluation of functional properties.</t>
  </si>
  <si>
    <t xml:space="preserve">in</t>
  </si>
  <si>
    <t xml:space="preserve">This publication concerns the isolation and purification of globulin proteins from pigeon pea (a high-protein legume), which is relevant to characterising plant protein fractions for potential use as alternative protein ingredients in human food.</t>
  </si>
  <si>
    <t xml:space="preserve">PB</t>
  </si>
  <si>
    <t xml:space="preserve">pub.1192893761</t>
  </si>
  <si>
    <t xml:space="preserve">Enhancing lupin protein extraction and functionality through defatting: Impact of different solvents</t>
  </si>
  <si>
    <t xml:space="preserve">This study evaluated GRAS (Generally Recognized As Safe) solvents-ethyl acetate, ethanol, supercritical CO₂ (scCO₂), and scCO₂ followed by gas-expanded ethanol (scCO₂ + GLX)-for defatting lupin flour before protein extraction, compared to hexane-defatted and non-defatted flours (control). Ethanol, ethyl acetate, and scCO₂ + GLX showed the highest oil yields (6.7-8.3 %). Fatty acid profiles were similar, but γ-tocopherol content varied, with ethyl acetate and scCO₂ + GLX recovering ∼11 μg/100 g. Compared to the control, emulsion stability increased by 203 % with ethanol, and foam capacity rose by 134 % with scCO₂ + GLX. FTIR revealed protein structural changes, especially after high-pressure treatments. Defatted samples showed up to 10 % higher protein isolate yield and purity. Solubility at pH 7 and foaming improved by up to 59 % and 143 %, respectively, compared to the control. All isolates formed stable emulsions (zeta potential &gt; -28 mV). These findings support the use of GRAS solvents to enhance protein recovery and functionality in food applications.</t>
  </si>
  <si>
    <t xml:space="preserve">This study directly investigates protein extraction and functional properties of lupin protein isolates using GRAS solvents, which is clearly in scope as lupin is a high-protein crop used as an alternative protein feedstock and the research advances the development and characterisation of plant-based protein ingredients for food applications.</t>
  </si>
  <si>
    <t xml:space="preserve">pub.1195946446</t>
  </si>
  <si>
    <t xml:space="preserve">Masculinity Perceptions and Hostile Sexism Shape Evaluations of Plant-Based Meat Alternatives</t>
  </si>
  <si>
    <t xml:space="preserve">Plant-based meat alternatives could play an important role in reducing global meat consumption. We argue, however, that psychological obstacles related to masculinity perceptions and sexist beliefs may hinder the acceptance of meat alternatives. Across two experiments (Experiment 1, N = 216 U.K. students; Experiment 2, N = 1,182 U.S. residents), omnivores rated identical images of dishes more negatively when labeled as plant-based rather than as regular meat. Furthermore, plant-based labels led to lower perceived masculinity of the dishes and evoked psychological avoidance reactions, which, in turn, were associated with more negative evaluations. Importantly, these effects were especially pronounced among individuals higher (vs. lower) in hostile sexist beliefs. The findings indicate that symbolic associations (meat-masculinity link) and sexist beliefs contribute to resistance toward plant-based meat alternatives. We discuss our findings in the wider field of sexism research and raise implications for marketing strategies aiming at increasing the appeal of meat substitutes.</t>
  </si>
  <si>
    <t xml:space="preserve">This study directly examines consumer acceptance and psychological barriers to plant-based meat alternatives, which is clearly in scope as consumer acceptance research on alternative proteins.</t>
  </si>
  <si>
    <t xml:space="preserve">pub.1195989363</t>
  </si>
  <si>
    <t xml:space="preserve">Adaptive thermogenesis in response to weight loss and weight regain: first evidence in adolescents with severe obesity.</t>
  </si>
  <si>
    <t xml:space="preserve">While the effects of multidisciplinary weight loss (WL) on resting energy expenditure remain unclear in adolescents with obesity, the potential presence of adaptive thermogenesis (AT) has never been explored, which was the objective of the present work. Twenty-six adolescents (14·1 (sd 1·5) years) with severe obesity completed a 9-month inpatient multidisciplinary intervention followed by a 4-month follow-up. Anthropometric measurements, body composition (dual X-ray absorptiometry) and resting energy expenditure (REE, indirect calorimetry) were assessed before (T0) and after 9 months of WL intervention (T1) and after a 4-month follow-up (T2). AT, at the level of REE, was defined as a significantly lower measured v. predicted (using regression models with baseline data) REE. Two pre-cited REE equations were used, using both fat mass and fat-free mass (FFM) (predicted REE using equation 1) or FFM only (predicted REE using equation 2). Measured and predicted REE significantly decreased between T0 and T1 (P &lt; 0·001) and remained lower at T2 compared with T0 (measured REE: P = 0·017; predicted REE: P &lt; 0·001). Predicted REE using equation 2 was significantly higher than measured REE at T1 (P = 0·012), suggesting the presence of AT. FFM at T0 was negatively correlated with ATp1T1 (Rho = -0·428; P = 0·033) and ATp2T1 (Rho = -0·485; P = 0·014). The variation of FFM between T0 and T1 was negatively correlated with AT at T1 and T2. These preliminary results suggest the existence of AT in response to WL in adolescents with obesity, independently of the degree of WL. AT was associated with subsequent body weight and fat regain, suggesting AT may represent a damper to WL attempts while increasing the adolescents' risks for subsequent weight and adiposity rebounds.</t>
  </si>
  <si>
    <t xml:space="preserve">This study concerns adaptive thermogenesis and resting energy expenditure in adolescents with obesity undergoing weight loss interventions, with no relevance to alternative proteins.</t>
  </si>
  <si>
    <t xml:space="preserve">pub.1185972884</t>
  </si>
  <si>
    <t xml:space="preserve">Can Plant-Based Cheese Substitutes Nutritionally and Sensorially Replace Cheese in Our Diet?</t>
  </si>
  <si>
    <t xml:space="preserve">Plant-based substitutes for dairy products represent a rapidly developing market worldwide as they become increasingly popular with consumers. This study aimed to determine the nutritional and sensory quality of ten plant-based cheese substitutes labelled 'classic'/'original' purchased on the Slovenian market. The quality was checked using chemical and sensory analysis. When the results of chemical analysis were compared with the nutritional composition of a semi-hard type of cheese, the plant-based cheese substitutes differed greatly. On average, they contained 60 times less protein, 8 times less calcium and 50% more salt per 100 g of product. Considering median values, plant-based substitutes had 200 times less protein, 40 times less calcium, and 58% more salt compared to cheeses. The fatty acid composition was less favourable when compared to a regular semi-hard type of cheese: 50% more saturated fatty acids, almost five times less monounsaturated fatty acids, and only one third of the polyunsaturated fatty acids per 100 g of product, respectively, but no trans fatty acids. Despite some sensory deficiencies (absence of eyes; crumbly, granular, and tough texture; discordant, fatty, and salty taste; foreign odour and pale colour), the sensory quality in this product category was acceptable overall. More research should be conducted in this area to minimise the knowledge gaps in the nutritional composition and sensory quality of plant-based cheese substitutes.</t>
  </si>
  <si>
    <t xml:space="preserve">This study directly evaluates plant-based cheese substitutes as dairy analogues, assessing their nutritional and sensory quality, which is clearly within the scope of alternative protein research on plant-based dairy products.</t>
  </si>
  <si>
    <t xml:space="preserve">pub.1189269329</t>
  </si>
  <si>
    <t xml:space="preserve">Molecular Strategies to Overcome Sensory Challenges in Alternative Protein Foods</t>
  </si>
  <si>
    <t xml:space="preserve">Increasing demand for protein diversity has prompted widespread investigation into alternative protein foods, yet these products frequently exhibit suboptimal flavor, texture, and mouthfeel. In this review, sustainability is emphasized as a driving factor for pursuing novel molecular interventions that address persistent sensory limitations. Detailed attention is given to recent advances in precision fermentation, gene editing, and innovative structuring techniques that act directly on plant protein matrices, aiming to minimize off-flavors, reduce astringency, and improve texture. Emphasis is placed on bridging fundamental molecular insights with practical outcomes: enzymatic treatments and microbial pathways that alter volatile and phenolic profiles, as well as processing conditions that enable fibrous network formation and enhanced creaminess. Various case studies demonstrate how integrated approaches—combining flavor modulation with textural refinements—can produce more acceptable meat and dairy analogs. Although considerable progress has been made, continuing knowledge gaps remain in understanding protein–polyphenol interactions, lipid oxidation pathways, and consumer-driven design principles. By synthesizing cutting-edge studies and proposing directions for future work, this review underscores the significance of deploying biochemical, genetic, and engineering perspectives in tandem. It is anticipated that a broader uptake of these strategies will lead to alternative proteins that meet both sustainability goals and consumer expectations for taste and sensory quality.</t>
  </si>
  <si>
    <t xml:space="preserve">This review explicitly addresses sensory challenges in alternative protein foods including plant-based and precision fermentation approaches for meat and dairy analogues, covering molecular interventions, processing techniques, and flavor/texture improvements directly relevant to alternative protein development.</t>
  </si>
  <si>
    <t xml:space="preserve">CC</t>
  </si>
  <si>
    <t xml:space="preserve">pub.1183886498</t>
  </si>
  <si>
    <t xml:space="preserve">Incubation of adipocytes with α-linolenic acid and non-protein-bound iron results in a higher accumulation of omega-3 fatty acids and iron and lower oxidized lipids compared to incubation with docosahexaenoic acid and protein-bound iron</t>
  </si>
  <si>
    <t xml:space="preserve">Cultured meat may offer advantages over traditional meat production regarding, among other things, animal welfare and carbon footprint, while also providing an opportunity for targeted delivery of health-promoting compounds. This study investigates the targeted accumulation of iron and ω-3 fatty acids from different sources in 3T3-L1 adipocytes as a model for primary adipocytes used for cultured meat research. A higher iron accumulation in 3T3-L1 cells was observed for non-protein-bound iron (iron(II)sulfate heptahydrate (FeSO4), 6.25 ± 2.40; ferrous bisglycinate (FeB) 5.59 ± 3.76 μg iron equivalents/mg protein) compared to protein-bound iron (holo-transferrin (holo-Tf), 1.06 ± 0.46; holo-lactoferrin (holo-LF), 1.55 ± 0.84 μg iron equivalents/mg protein, respectively). Incubation with α-linolenic acid (ALA) or docosahexaenoic acid (DHA) induced a 4-fold increase in PUFA content. However, the co-incubation of DHA with FeSO4 or FeB reduced PUFA from 4 to 2 % and increased lipid peroxidation products (88.59 ± 16.13 and 118.16 ± 17.19 nmol TBARS/mg protein, respectively) compared to co-incubation with ALA. In conclusion, the combination of FeSO4 and ALA is superior to combinations of DHA, FeB, holo-Tf and holo-Lf for the enrichment of iron and PUFA in cultured adipocytes and results in the highest concentrations of iron and increases in total ω-3 fatty acids and lower lipid peroxidation when co-incubated with iron compared to DHA. Furthermore, FeSO4 seems to be most suitable to simultaneously enrich the iron content in cultured adipocytes and ultimately in cultured meat.</t>
  </si>
  <si>
    <t xml:space="preserve">This study directly investigates nutrient enrichment (iron and omega-3 fatty acids) in cultured adipocytes as a model for cultivated meat production, making it clearly in scope for cultivated meat research.</t>
  </si>
  <si>
    <t xml:space="preserve">CM</t>
  </si>
  <si>
    <t xml:space="preserve">pub.1194074326</t>
  </si>
  <si>
    <t xml:space="preserve">Reshaping Meat Consumption: Meat Substitutes in a Sustainability Perspective</t>
  </si>
  <si>
    <t xml:space="preserve">With the rapid growth of the global population and the increasing demand for protein, the continued expansion of the meat industry is placing severe pressure on water and land resources and posing significant challenges to the environment. Meat substitutes, as an emerging source of protein, are viewed as an effective and promising solution to address the surge in global meat consumption. This review provides a new perspective by systematically integrating technological innovation, sustainable development, and socio-cultural transformation into the evaluation framework of meat substitutes. Unlike previous studies focusing solely on nutritional or environmental aspects, we reveal how the synergistic evolution of multi-source raw material utilization and advanced texturization technologies facilitate the paradigm shift in sustainable protein systems. Furthermore, we critically examine the socio-cultural dimensions – including institutional governance, economic power asymmetries, and cultural narratives – that shape the acceptance and integration of meat substitutes into mainstream diets. By synthesizing insights that span food science, sustainability, and social dynamics, this review positions meat substitutes as a driving force for transformative change in global protein systems. It serves as a valuable resource for researchers, policymakers, and industry stakeholders, promoting understanding of the challenges in the development and adoption of meat substitutes.</t>
  </si>
  <si>
    <t xml:space="preserve">This review explicitly covers meat substitutes from multiple protein sources (plant-based, fermentation-derived, cultivated) in the context of sustainability, technology, and socio-cultural acceptance, making it a cross-cutting alternative proteins publication.</t>
  </si>
  <si>
    <t xml:space="preserve">pub.1194826958</t>
  </si>
  <si>
    <t xml:space="preserve">Edible Insects and Allergenic Potential: An Observational Study About In Vitro IgE-Reactivity to Recombinant Pan-Allergens of the Black Soldier Fly (Hermetia illucens) in Patients Sensitized to Crustaceans and Mites</t>
  </si>
  <si>
    <t xml:space="preserve">Given their nutritional features and environmental sustainability, black soldier fly (Hermetia illucens) larvae are currently being considered in Europe for commercialization as human food. The primary goal of this study is the determination of in vitro IgE-cross-reactivity to recombinant tropomyosin (HITPM) and arginine kinase (HIAK) of H. illucens in subjects sensitized to crustaceans and/or mites. Dot blot assays for recombinant HITPM were carried out with the sera of 48 subjects, 30 sensitized to crustaceans (Cr+) and/or house dust mites (HDM+) (STUDY group) and 18 non-sensitized (CTRL group). A higher rate of IgE-reactivity to recombinant HITPM was found in the STUDY group compared to non-sensitized controls (73% vs. 44%; p 0.066). No significant relationship was achieved upon dot blot assays for HIAK. No relevant association between a positive history of food reactions and immunoreactivity to HITPM and to HIAK was reported (15% in HITPM+ vs. 6% in HITPM-, p NS; 28% in HIAK+ vs. 50% in HIAK-, p NS), contrary to the HITPM+Cr+HDM+ subset (50% vs. 0%, p 0.022). Considering the wide overlap of pan-allergens within the Arthropoda phylum, concerns about allergenic potential due to the eventual consumption of H. illucens-enriched foods might be valid. Therefore, targeted studies involving basophil activation tests, skin prick tests, and a double-blind placebo-controlled oral food challenge using H. illucens are needed.</t>
  </si>
  <si>
    <t xml:space="preserve">This study concerns insect-based proteins (black soldier fly larvae), which are explicitly listed as a topic that does not count as alternative proteins.</t>
  </si>
  <si>
    <t xml:space="preserve">pub.1187847578</t>
  </si>
  <si>
    <t xml:space="preserve">Selection and characterization of acid-tolerant Chlorophyta division microalgae for potential metabolites production in a bubble column bioreactor: A ready-to-industrial scale screening</t>
  </si>
  <si>
    <t xml:space="preserve">Microalgae are promising candidates for sustainable bioprocesses owing to their ability to capture/utilize CO2 and produce valuable metabolites. However, strain-to-strain variability poses a challenge to industrial scalability. This paper reports a study on the screening of 28 Chlorophyta microalgal strains from six species cultivated under standardized semi-continuous conditions in a bubble column bioreactor. Growth kinetics, nitrogen uptake, and metabolite accumulation were analyzed to identify strains characterized by promising biomass/metabolite productivities. The results indicated two distinct kinetic behaviors: a large fraction of the investigated strains was characterized by a common biomass/nitrate uptake behavior, and a subset of the strain pool was characterized by atypical nitrogen assimilation patterns. Strains characterized by high biomass growth rates are characterized by high lipid productivity. Strains with intermediate biomass growth rates are characterized by high carbohydrate accumulation. Chlorella vulgaris (ACUF 058) and Chloroidium saccharophilum (ACUF 050) emerged as strong candidates for carbohydrate and protein production, respectively. This study proposed a systematic procedure for strain selection, bridging laboratory screening, and industrial feasibility. These results emphasize the role of tailored cultivation strategies in optimizing biomass yield and metabolite productivity. Further research integrating genomic and proteomic insights will enhance strain-specific process optimization, facilitating the large-scale deployment of microalgal bioprocesses.</t>
  </si>
  <si>
    <t xml:space="preserve">The study screens microalgal strains (Chlorophyta) for biomass and protein production in bioreactors, which falls under fermentation/biomass fermentation as microalgae are a single-cell protein source with potential food applications.</t>
  </si>
  <si>
    <t xml:space="preserve">F</t>
  </si>
  <si>
    <t xml:space="preserve">pub.1184595150</t>
  </si>
  <si>
    <t xml:space="preserve">(M)eat more plants: How category dimensions and inferences shape consumer acceptance of plant-based proteins</t>
  </si>
  <si>
    <t xml:space="preserve">A dietary shift to more plant-based and less animal-derived proteins is needed to counter environmental, public health, and animal welfare problems. Although many consumers find this important, consumers do not regularly consume plant-based proteins. Plant-based proteins are often perceived as one overarching category by consumers. We investigate a wider variety of relevant dimensions on which plant-based proteins might differ (e.g., the extent to which plant-based proteins mimic meat and dairy), which in turn might result in different consumer associations. We conducted a representative survey among Dutch consumers (N = 1002). Using structural equation modelling (SEM), we show that consumers categorise plant-based proteins (i.e., non-analogues, semi-analogues, analogues, and hybrids) along several predefined dimensions (analogy, processing, novelty, origin), and these dimensions predict acceptance through inferences (price, sensory appeal, convenience, familiarity, sustainability, health). This study demonstrates that (new) food alternatives are not one group but can be cross-categorised into multiple (sub)categories. Subcategories result in inferences that can sometimes be conflicting or even paradoxical, shaping consumer acceptance of plant-based proteins. By shedding light on how plant-based proteins are categorised and how this subsequently leads to common (mis)perceptions about certain product categories, we give directions for targeted interventions.</t>
  </si>
  <si>
    <t xml:space="preserve">This study directly investigates consumer acceptance and categorisation of plant-based proteins (including analogues, semi-analogues, and hybrids), which is clearly in scope as consumer acceptance research on plant-based alternative proteins.</t>
  </si>
  <si>
    <t xml:space="preserve">pub.1184123169</t>
  </si>
  <si>
    <t xml:space="preserve">Weeds and agro by-products for sustainable farming of edible field cricket, Gryllus madagascarensis (Orthoptera: Gryllidae)</t>
  </si>
  <si>
    <t xml:space="preserve">Gryllus madagascarensis (Orthoptera: Gryllidae) is a cricket species that shows promise to mitigate food insecurity and malnutrition. But whether this species will accept low- to no-cost weeds and agro by-products as feed, and how these feeds affect its performance, remains unknown. This study assessed the acceptability of 66 weed species and agro by-products (derived from a single plant species) by adult G. madagascarensis and compared the results to a reference feed (chicken feed). We further examined how the 11 top acceptable single plant products affected growth parameters of G. madagascarensis. The parameters assessed included development, survivorship, body mass and body length and reproductive fitness of the crickets on each of these diets. Finally, the costs of the 11 top accepted single plant products were compared. Our results demonstrated that the cricket accepted all 66 single plant products at varying degrees. Tropical white morning glory (Ipomoea alba), cassava tops (Manhot esculentum), taro leaves (Colocasia esculenta), cowpea bran (Vigna unguiculata), American hog-peanut (Afroamphica africana), gallant soldier (Galinsoga parviflora), wheat bran (Triticum aestivum), glycine (Neonotonia wightii), silver leaf Desmodium (Desmodium uncinatum), maize bran (Zea mays) and rice bran (Oryza sativa) were the most accepted. The analysed nutrient content varied across the top 11 accepted single plant products and the reference feed. The shortest development and highest survival rate were recorded with gallant soldier and cowpea bran powders. Wet body mass and body length were highly impacted by various single plant products tested compared to the reference feed. Reproductive parameters were significantly briefer on tropical white morning glory compared to other feeds and the reference diet. Single plant products cost two- to four-fold less than reference feed. The findings are valuable for developing blended diets that balance performance, cost and availability for household and commercial production of crickets as a "green" technology for producing edible sources of protein.</t>
  </si>
  <si>
    <t xml:space="preserve">This study concerns insect-based protein (cricket farming), which is explicitly listed as a topic that does not count as alternative proteins.</t>
  </si>
  <si>
    <t xml:space="preserve">pub.1184830129</t>
  </si>
  <si>
    <t xml:space="preserve">Regulation of the quality, flavour, and microbial community of industrially fermented split red sour soup by Lentilactobacillus buchneri and Pediococcus ethanolidurans</t>
  </si>
  <si>
    <t xml:space="preserve">In order to study the changes in physicochemical properties, microbial diversity, and flavour substances during the industrial fermentation of split red sour soup (RSS) inoculated with lactic acid bacteria (LAB), two groups of samples from natural and inoculated fermentation were analyzed. The physicochemical properties in inoculated fermentation group were better than those of natural fermentation group. Compared to natural fermentation, inoculated fermentation led to rapid acidification, and the increased contents of key volatile compounds (isoamyl acetate, ethyl acetate, phenylethanol, acetic acid, etc.) in sour soup. The dominant bacterial genera in the inoculation group included Lentilactobacillus, Pediococcus, Lactobacillus and Lactiplantibacillus. The dominant bacterial genera in the natural fermentation group were Pediococcus, Lentilactobacillus, Levilactobacillus, and Weissella. The dominant fungal genera in the inoculated fermentation samples of tomato sour soup were Pichia and Hanseniaspora. The dominant genera in the remaining sour soup samples were Kazachstania. Spearman correlation analysis showed that Lentilactobacillus, Levilactobacillus, and other bacterial genera were positively correlated with phenylethanol, isoamyl acetate, and terpenoids in tomato sour soup, whereas Kazachstania, Pichia, Hanseniaspora, Candida, and other fungal spp. were positively correlated with alcohols 2-undecanol, cis-3-hexenyl acetate, etc. In chilli sour soup, most of the bacterial genera were negatively correlated with volatile flavour compounds. Acetic acid was positively correlated with Hanseniaspora and negatively correlated with Candida. This study revealed the effects of LAB fermentation on the flavour quality and microbial community of split RSS and laid the basis for the industrial production of split RSS.</t>
  </si>
  <si>
    <t xml:space="preserve">This study concerns the fermentation of sour soup (a traditional condiment made from tomatoes and chilli), which does not substitute animal-derived protein products and is not an alternative protein application; the fermentation here is a traditional food processing method for a non-animal-substitute product.</t>
  </si>
  <si>
    <t xml:space="preserve">pub.1190066863</t>
  </si>
  <si>
    <t xml:space="preserve">Global developments in the regulation of cultivated meat: A comparative study of the EU, Singapore, US and Australia and New Zealand</t>
  </si>
  <si>
    <t xml:space="preserve">Abstract Cultivated meat, that is, animal flesh grown through cell culturing techniques, also termed cellular agriculture, is positioned by proponents, developers and some governments as the future of food and the solution to the multiple environmental issues associated with intensive animal agriculture. Governments around the world are starting to regulate cultivated meat. This article provides the first comparative analysis of how the United States, the European Union, Singapore, Australia and New Zealand are regulating cultivated meat. It finds that a broadly similar approach is emerging, yet there are significant differences regarding the degree of public participation, the level of consultation between the applicant and the regulator and the role of non‐scientific considerations such as environmental impacts and rural livelihoods. As part of this analysis, this article identifies and applies differing, normative interpretations regarding how cultivated meat should be regulated. These interpretative paradigms are in turn connected with diverging ideas about the role of technology and regulation in addressing environmental issues.</t>
  </si>
  <si>
    <t xml:space="preserve">This publication directly addresses the regulatory frameworks governing cultivated meat across multiple jurisdictions, which is clearly in scope as policy/regulatory research on cultivated meat as an alternative protein.</t>
  </si>
  <si>
    <t xml:space="preserve">pub.1183667033</t>
  </si>
  <si>
    <t xml:space="preserve">Valorisation of white grape pomace sugars for optimized heterotrophic cultivation of Auxenochlorella protothecoides: A sustainable food ingredient</t>
  </si>
  <si>
    <t xml:space="preserve">Microalgae, such as Auxenochlorella protothecoides, are promising candidates as sustainable food sources due to their high protein content and adaptability to various growth modes. However, traditional fermentation methods are costly and resource intensive. This study explores the use of soluble sugars from white grape pomace, a wine industry by-product, as an alternative and cost-effective carbon source for heterotrophic cultivation. Optimization of the growth medium stablished yeast extract as the best nitrogen source, together with the optimal C:N and C:P ratios of 7:1 and 12:1, respectively. The process was scaled to a 6 L bioreactor, achieving a biomass content of 10.04 g L−1 biomass with a 34.51 % dry weight protein. Two semi-continuous strategies, perfusion and fed-batch, were implemented, increasing biomass concentration by 2.02 and 3.27, respectively. While batch-grown biomass showed superior protein content, fatty acid profile and pigment concentration, all biomasses exhibited rich essential amino acid composition, surpassing FAO/WHO standards. These finding support microalgae's role in sustainable agriculture, integrating waste streams into food production systems, and contributing to the circular bioeconomy.</t>
  </si>
  <si>
    <t xml:space="preserve">This study concerns the heterotrophic cultivation of Auxenochlorella protothecoides microalgae as a sustainable food ingredient with high protein content, which falls under biomass fermentation/microalgae as an alternative protein source.</t>
  </si>
  <si>
    <t xml:space="preserve">pub.1196134250</t>
  </si>
  <si>
    <t xml:space="preserve">Post-translational modifications of proteins and their effect on techno-functional properties for food applications</t>
  </si>
  <si>
    <t xml:space="preserve">Post-translational modifications (PTMs), including glycosylation, phosphorylation, acetylation, and methylation, are protein modifications that involve the covalent addition of functional groups after their biosynthesis. They are critical factors for protein structure and function, influencing not only biological activity but also techno-functional properties. Their relevance in food proteins is increasingly recognized as the demand for sustainable proteins grows, particularly for recombinant proteins produced via precision fermentation. This review provides an overview of the most important PTMs and discusses their influence on techno-functional properties of proteins such as solubility, emulsification, gelation, and foaming. Especially hydrophilic functional groups (e.g., glycans and phosphate) often enhance solubility while hydrophobic groups (e.g., fatty acids) tend to reduce it. Hydrophobic interactions also have a profound effect on functionality. Further, methods to modify PTMs chemically, enzymatically, or physically are discussed and analytical techniques for their detection are critically reviewed. By bringing together insights from biology, food science, and protein engineering, this review outlines how targeted PTM control could improve functionality in alternative proteins for food, cosmetic, or pharmaceutical use. This review can serve as a guide on how to modify particularly novel sustainable or recombinant proteins in a targeted manner to tailor their functionality and extend their application areas.</t>
  </si>
  <si>
    <t xml:space="preserve">The review explicitly discusses post-translational modifications in the context of precision fermentation-derived recombinant proteins for alternative protein food applications, making it in scope under the fermentation category.</t>
  </si>
  <si>
    <t xml:space="preserve">pub.1185801276</t>
  </si>
  <si>
    <t xml:space="preserve">Maternal vitamin D status during pregnancy in relation to childhood cardiometabolic risk factors: The GraviD-Child prospective cohort study</t>
  </si>
  <si>
    <t xml:space="preserve">BACKGROUND &amp; AIMS: In utero exposure to deficiencies of certain nutritional factors such as vitamin D has been related to adverse cardiometabolic outcomes in the offspring, but results are conflicting. The aim of this study was to investigate the association between maternal vitamin D status during pregnancy and markers of cardiometabolic risk in childhood.
METHODS: Serum 25-hydroxyvitamin D (25OHD) concentrations were measured at 11- and 33-weeks' gestation. At 7-8 years of age, the children were examined regarding anthropometry, body composition (by bioelectrical impedance), and blood pressure, and a blood sample was drawn. Cardiometabolic risk was assessed using individual cardiometabolic risk factors and a composite score of adiposity, blood pressure, blood lipids, and hemoglobin A1c, using age- and sex-specific z-scores. Associations between maternal vitamin D status in early and late pregnancy and z-scores of markers of cardiometabolic risk were evaluated using adjusted linear and logistic regression analyses.
RESULTS: In total, n = 172 mother-child pairs were included. Neither was an association found between maternal 25OHD concentration with a composite score of cardiometabolic risk in childhood (Odds Ratio (OR) 1.02 (confidence interval (CI) 0.99-1.05), and OR 0.99 (CI 0.97-1.01) in early and late pregnancy, respectively), nor with any individual marker of cardiometabolic risk.
CONCLUSION: In conclusion, there were no evidence of an association between maternal vitamin D status during pregnancy and cardiometabolic risk factors in the child at 7-8 years of age.</t>
  </si>
  <si>
    <t xml:space="preserve">This study concerns maternal vitamin D status during pregnancy and childhood cardiometabolic risk, with no relevance to alternative proteins or plant-based, fermentation-derived, or cultivated food products.</t>
  </si>
  <si>
    <t xml:space="preserve">pub.1193801647</t>
  </si>
  <si>
    <t xml:space="preserve">Two-step digestion pathways of hydrogels from pea proteins</t>
  </si>
  <si>
    <t xml:space="preserve">HYPOTHESIS: Digestion pathways of plant proteins are of high relevance to optimize bioavailability and allergenicity profiles of sustainable and vegan food products. Understanding the structural breakdown of solid food presents a particular challenge, due to the complexity to realize a good model system suitable for comprehensive multi-technique characterization under realistic conditions.
EXPERIMENTS: We used a microfluidic chip to study the structural evolution during in-vitro digestion of solid gels from pea proteins. The gel structure was probed in-situ combining confocal microscopy, small-angle neutron and X-ray scattering using the same experimental platform. SDS-PAGE analysis was performed on related solution and gel samples subjected to different digestion times.
FINDINGS: Combining multiple techniques we reach a multi-scale picture of gel digestion, revealing the breakdown of a more homogeneous gel into more open connected domains with hierarchical internal structures. SDS-PAGE outlines effects of processing on resulting digestion pathways. As central result, we observe a clear two-step digestion process across techniques, switching at about 8-10 min from the initial response to long-term digestion. Overall, the presented methodology holds promise for detailed structural information in future studies aimed at developing new foods with optimized mechanical, nutritional value, and reduced allergenicity.</t>
  </si>
  <si>
    <t xml:space="preserve">This study investigates the in-vitro digestion of pea protein hydrogels, directly relevant to optimizing bioavailability and allergenicity of plant-based food products, making it clearly in scope as plant-based alternative protein research.</t>
  </si>
  <si>
    <t xml:space="preserve">pub.1189555755</t>
  </si>
  <si>
    <t xml:space="preserve">Propolis-Loaded Niosomes for Dermopharmaceutic and Cosmetic Applications: Development, Stability, Safety, and In Vitro Bioactivity Studies</t>
  </si>
  <si>
    <t xml:space="preserve">Propolis, produced bybees, is composed of several biologically relevant phenolic compounds with known analgesic, anti-inflammatory, antitumor, antioxidant, immunomodulatory, wound healing, and antibacterial effects, having gained significant interest for therapeutic and cosmetic purposes. Niosomes, self-assembled vesicular nanosystems, are highly researched for topical delivery due to providing controlled and sustained release, protecting encapsulated compounds from degradation, improving stability, and having good biocompatibility and biodegradability. This work aimed to develop novel propolis-loaded niosomes with small and homogeneous particle size, high encapsulation efficiency, controlled release, adequate stability, relevant bioactivity, and high safety for topical application, for therapeutic and/or cosmetic purposes. Aided by quality by design (QbD) analysis, niosomes containing Tween 20, Kolliphor RH 40, cetyl alcohol, and/or cholesterol were produced by thin-film hydration followed by extrusion, with small particle size (between 100 and 200 nm), homogeneous distribution (PDI below 0.2), relevant ζ-potential (around -38 mV), good stability both under refrigeration and at room temperature, high encapsulation efficiency (ranging from 78.8 to 87.4%), and a controlled release profile, relevant to ensure prolonged bioactivity at the application site. Adequate concentration-dependent in vitro safety in keratinocytes and fibroblasts (up to 12.5 or 25 μg/mL) was demonstrated as well, with some niosomal formulations also showing a low irritative potential in a HET-CAM test, and relevant in vitro anti-inflammatory potential (IC50 from 14.90 to 17.89 ng/mL). These novel nanoplatforms, containing a nature-derived hydrophobic compound with various relevant bioactivities, could serve as versatile and advantageous formulations in both pharmaceutical and cosmetic contexts of application.</t>
  </si>
  <si>
    <t xml:space="preserve">This publication concerns propolis-loaded niosomes for dermopharmaceutical and cosmetic topical applications, with no relevance to alternative proteins or substitution of animal-derived foods.</t>
  </si>
  <si>
    <t xml:space="preserve">pub.1195829095</t>
  </si>
  <si>
    <t xml:space="preserve">From Packaging to Posts: Multimodal Marketing Strategies for Alternative Proteins in Germany</t>
  </si>
  <si>
    <t xml:space="preserve">As alternative proteins become increasingly relevant for sustainability, effective market communication is crucial for consumer acceptance. This study investigates how selected alternative protein products are represented and which argumentative strategies are used in their advertising. Using a mixed-methods approach, 56 product packages and Instagram posts were analyzed through multimodal critical discourse analysis and frequency analysis. The results show that nutritional benefits – such as “vegan” or “high protein” – are most commonly highlighted in both media. Packaging emphasizes environmental aspects, while Instagram posts focus on taste and sensory appeal, indicating that communication strategies are adapted to media contexts and consumer expectations. Additionally, producers employ strategic rhetorical devices, targeted vocabulary, and visual elements to convey messages. These findings deepen understanding of food marketing discourse and provide a basis for interdisciplinary research, as well as for evaluating and improving communication about alternative proteins in a dynamic market.</t>
  </si>
  <si>
    <t xml:space="preserve">This study explicitly investigates marketing and communication strategies for alternative protein products in Germany, covering consumer acceptance and market communication, which falls squarely within the cross-cutting societal/consumer acceptance scope of alternative proteins research.</t>
  </si>
  <si>
    <t xml:space="preserve">pub.1186779650</t>
  </si>
  <si>
    <t xml:space="preserve">Nutritional evaluation of high-value alternative proteins extracted from legume defective seeds</t>
  </si>
  <si>
    <t xml:space="preserve">The high protein content of legumes, including P. vulgaris, L. culinaris, L. albus, and P. sativum, is increasingly valued in food formulations, driving interest in utilizing their by-products. This study evaluates the nutritional quality and applications of four legume protein concentrates derived from defective seeds. Analysis included amino acid composition, antinutrient presence, and in vitro digestion, along with structural analysis. Proximate composition, pigment, mineral, and bioactivity assays were also conducted. All concentrates surpassed 70 % protein concentration and presented a well-balanced amino acid profile meeting the requirements for healthy individuals. Bean concentrate exhibited elevated levels of trypsin inhibitor (53.27 ± 0.19 TIU/mg) and total phenolic compounds (0.82 ± 0.02 mg GAE/g), while pea concentrate showed the highest phytic acid content (2.67 ± 0.02 %). Bean concentrate displayed superior structural stability and lower in vitro protein digestibility (∼20 %), compared to the other concentrates (60-70 %). These findings optimize legume defective seeds utilization in plant-based products, addressing sustainability and enhancing nutritional value.</t>
  </si>
  <si>
    <t xml:space="preserve">This study evaluates protein concentrates from legumes (P. vulgaris, L. culinaris, L. albus, P. sativum) for use in plant-based food products, directly advancing alternative protein ingredient development.</t>
  </si>
  <si>
    <t xml:space="preserve">pub.1194151835</t>
  </si>
  <si>
    <t xml:space="preserve">A coordinated framework for enhancing oxygen dynamics to improve the production of sesquiterpene</t>
  </si>
  <si>
    <t xml:space="preserve">Combining bioprocess and system engineering optimization enhances the synthesis of oxygen-demanding products.
 Microbial production of sesquiterpene like β-farnesene is challenging owing to high energy demands, redox imbalances, and oxygen supply constraints. However, the underlying mechanisms governing these limitations remain poorly understood, making it challenging to optimize production through traditional metabolic engineering strategies. Here, we show a multi-scale framework focused on oxygen dynamics by integrating bioreactor optimization, transcriptomic sequencing, and metabolic engineering to efficiently produce β-farnesene. Starting with improved oxygen supply, we demonstrated high oxygen demand during β-farnesene synthesis and alleviated limitations through an impeller design, which enhanced the oxygen transfer efficiency. Modifications of genes GRE2 , SOD2 , ERG2 , and ALP1 boosted the production capacity, while the expression of hemoglobin improved oxygen utilization and redox homeostasis. These strategies led to a 242% enhancement in β-farnesene production, accompanied by substantial reductions in glucose and oxygen consumption. This work presents a comprehensive strategy to enhance sesquiterpene biosynthesis and provides insights into overcoming oxygen constraints in microbial cell factories.</t>
  </si>
  <si>
    <t xml:space="preserve">This research concerns microbial production of β-farnesene (a sesquiterpene hydrocarbon used as a biofuel/chemical), not an alternative protein or food ingredient intended to substitute animal-derived foods.</t>
  </si>
  <si>
    <t xml:space="preserve">pub.1190518754</t>
  </si>
  <si>
    <t xml:space="preserve">Young Consumers’ Intention to Consume Innovative Food Products: The Case of Alternative Proteins</t>
  </si>
  <si>
    <t xml:space="preserve">The contemporary food environment is experiencing substantial transformations, and sustainability and the pursuit of novel ingredients have become pivotal factors in consumer decision-making and business strategy formulation. The emergence of alternative proteins has significant implications for sustainability, climate change mitigation and animal welfare, and can potentially promote the achievement of different United Nations Sustainable Development Goals. The spread of these novel foods requires significant attention, particularly concerning younger demographics, which are often considered to be more environmentally and ethically aware when making dietary choices. This study investigates the psychological and attitudinal factors that shape young consumers’ intention to consume plant-based, insect-based, and cultured meat alternative proteins, and verifies the existence of heterogeneous segments of consumers. To this purpose principal component analysis and k-means cluster analysis are employed using data from an online survey conducted in Italy, with a sample of 350 young consumers. The findings reveal that the intention to consume alternative protein sources is not particularly pronounced among the young consumers and differs according to the type of alternative protein. Three different profiles of young consumers were found: traditionalist (39% of the sample); enthusiastic (17%) and open-minded (44%). These segments differ significantly with respect to consumption intention, socio-demographic, lifestyle and psychological variables. The results provide useful insights for policymakers to design targeted interventions to encourage young consumers’ sustainable food choices. The findings could also be useful for marketers interested in investing in such innovations as they can benefit from an in-depth knowledge of this market segment.</t>
  </si>
  <si>
    <t xml:space="preserve">This study investigates consumer acceptance and intention to consume plant-based and cultured meat alternative proteins among young consumers, which is in scope as consumer behaviour research explicitly naming and meaningfully discussing alternative proteins; insect-based proteins are also included but do not affect the in-scope classification given the other categories covered.</t>
  </si>
  <si>
    <t xml:space="preserve">pub.1188305210</t>
  </si>
  <si>
    <t xml:space="preserve">Effect of pH and protein to polysaccharide ratio on coacervation of sesame protein isolate-Tragacanth gum: Structure-rheology function</t>
  </si>
  <si>
    <t xml:space="preserve">The electrostatic complexes of sesame protein isolate (SPI) and Tragacanth gum (TRG) as a function of pH (2-8) and biopolymer ratios on their interactions and characterization was investigated. The optimal pH of coacervation was found ~5.0 and ratio of 5:1, which facilitated the strongest electrostatic interactions and highest turbidity for complex formation. Rheological assessments revealed that SPI/TRG coacervates exhibited robust gel-like behavior, characterized by a dominating elastic modulus, indicative of a strong interconnected network structure which was achieved at a ratio of 5:1 SPI to TRG at pH 5.0, suggesting suitability for its bioactive encapsulation. Fourier transform infrared spectroscopy confirmed the presence of both electrostatic interactions and hydrogen bonding during coacervation. Thermal analysis indicated that SPI/TRG coacervates possess enhanced thermal stability compared to the individual components. SEM images and dynamic light scattering provided insights into the morphological characteristics, revealing the impact of hydration and encapsulation on particle size and surface structure. This research contributes to the development of sustainable plant-based ingredients with functional applications in the food industry, paving the way for future studies aimed at optimizing SPI/TRG formulations for specific applications within food systems. The findings underscore the potential of SPI/TRG coacervates as innovative, health-oriented food ingredients.</t>
  </si>
  <si>
    <t xml:space="preserve">Sesame protein isolate is a plant-derived protein source and the research on its coacervation with Tragacanth gum is framed as contributing to sustainable plant-based food ingredients, making it marginally in scope as a functional plant protein ingredient study, though the application to alternative proteins specifically is not explicitly stated.</t>
  </si>
  <si>
    <t xml:space="preserve">pub.1193823756</t>
  </si>
  <si>
    <t xml:space="preserve">Unlocking the potential of oat okara: A review of origins, composition, and upcycling opportunities in plant-based foods</t>
  </si>
  <si>
    <t xml:space="preserve">As the demand for sustainable plant-based alternatives grows, revalorizing by-products from food production in line with circular economy principles can reduce food waste and create economic value. The production of oat-based beverages generates significant amounts of oat okara, a nutrient-rich but underutilized by-product. This review discusses the composition of oat okara, emphasizing its nutritional profile, while also addressing its limitations, and explores several opportunities for its upcycling beyond traditional uses, like animal feed or energy production. By applying chemical, physical, enzymatic, and biological treatments, oat okara's sensory and functional properties can be enhanced, making it suitable for incorporation into commercially viable food products. Enzymatic pretreatments are effective at releasing nutrients and supporting microbial growth, while fermentation further improves sensory qualities, increases nutrient bioavailability, and protects against spoilage. The successful integration of oat okara into food production relies on innovative and cost-effective processing technologies to generate appealing and safe products. Unlocking the full potential of this by-product offers opportunities for the food industry to foster sustainability, improve nutrition, and meet the growing demand for plant-based products.</t>
  </si>
  <si>
    <t xml:space="preserve">This review focuses on oat okara, a by-product of oat-based beverage production, and its upcycling into plant-based food products, which is directly relevant to plant-based alternative protein ingredient development and processing.</t>
  </si>
  <si>
    <t xml:space="preserve">pub.1188483203</t>
  </si>
  <si>
    <t xml:space="preserve">A Balancing Act—20 Years of Nutrition and Health Claims Regulation in Europe: A Historical Perspective and Reflection</t>
  </si>
  <si>
    <t xml:space="preserve">The Nutrition and Health Claims Regulation (NHCR) has introduced a new regulatory perspective in food manufacturing, along with influencing consumers' perception of health-related food claims. Since 2006, a new standard of science-based claims has significantly impacted the European health food market. Over the years, numerous additional decisions have been made, and the ongoing process remains challenging for policymakers striving to harmonize consumer protection and trade within and outside the European Union (EU). This paper presents the current state of the NHCR's implementation, along with key events aimed at enhancing understanding among consumer organizations and food industry stakeholders, while also offering an insider perspective on relevant policy issues. Additionally, we address two pertinent policy issues to elucidate the associated challenges and opportunities, providing insights to support informed decision-making by policymakers. We use the nutrient profiles framework as a case study to illustrate considerations underpinning the objective of "consumer protection", while the "probiotics" market serves as an example for exploring the goal of "facilitation of trade". This historical perspective and reflection lead us to propose possible solutions for future food regulation.</t>
  </si>
  <si>
    <t xml:space="preserve">This paper concerns EU nutrition and health claims regulation broadly, with no specific mention of alternative proteins, plant-based products, fermentation-derived proteins, or cultivated meat.</t>
  </si>
  <si>
    <t xml:space="preserve">pub.1185359123</t>
  </si>
  <si>
    <t xml:space="preserve">Impact of Trophic Mode-Driven Chlorella Biomass on Vegan Food Emulsions: Exploring Structure and Functionality</t>
  </si>
  <si>
    <t xml:space="preserve">Aligning with sustainable green practices, this study examines the partial replacement of chickpea protein isolate with commercially available autotrophic Chlorella vulgaris (Auto-Chlorella) and heterotrophic Parachlorella kessleri (Hetero-Chlorella) to assess impacts on food emulsions' properties and potential functional value. Rheology and texture analysis show that Chlorella biocompounds enhance emulsions by creating a synergistic network with chickpea proteins. The type of Chlorella used significantly influences emulsion characteristics due to differences in culture and processing conditions. Hetero-Chlorella contributed to more structured emulsions, revealed by higher values of the viscoelastic functions (G', G″, and G0N), indicating a complex three-dimensional network (p &lt; 0.05), while Auto-Chlorella excelled in augmenting dietary elements (p &lt; 0.05), leading to emulsions rich in antioxidants and allowing for a 'rich in iron' claim. Both types contribute to smaller oil droplet size, improved firmness, adhesiveness, and appealing coloration (p &lt; 0.05). Preliminary findings on Vitamin B12 content suggest promising bioavailability potential. However, the nutritional density of Chlorella emphasizes the need for careful microbiological stability. Produced on a lab scale without preservatives, these emulsions highlight the need for preservation strategies in large-scale production. This research supports the potential for industrial microalgae-based mayonnaise, addressing consumer demand for innovation while prioritizing safety.</t>
  </si>
  <si>
    <t xml:space="preserve">This study investigates microalgae (Chlorella) biomass as a protein source in vegan food emulsions (mayonnaise analogues), which falls under fermentation/biomass fermentation as a protein source for alternative protein food products.</t>
  </si>
  <si>
    <t xml:space="preserve">pub.1190465784</t>
  </si>
  <si>
    <t xml:space="preserve">Challenges and innovations for sustainable ruminant production based upon One Health principles.</t>
  </si>
  <si>
    <t xml:space="preserve">Almost 12 % of the human population have insufficient access to food and hence are at risk from nutrient deficiencies and related conditions, such as anaemia and stunting. Ruminant meat and milk are rich in protein and micronutrients, making them a highly nutritious food source for human consumption. Conversely, ruminant production contributes to methane (CH4) emissions, a greenhouse gas (GHG) with a global warming potential (GWP) 27–30 times greater than that of carbon dioxide (CO2). Nonetheless, ruminant production plays a crucial role in the circular bioeconomy in terms of upcycling agricultural products that cannot be consumed by humans, into valuable and nutritional food, whilst delivering important ecosystem services. Taking on board the complexities of ruminant production and the need to improve both human and planetary health, there is increasing emphasis on developing innovative solutions to achieve sustainable ruminant production within the ‘One Health’ framework. Specifically, research and innovation will undoubtedly continue to focus on (1) Genetics and Breeding; (2) Animal nutrition and (3) Animal Health, to achieve food security and human health, whilst limiting environmental impact. Implementation of resultant innovations within the agri-food sector will require several enablers, including large-scale investment, multi-actor partnerships, scaling, regulatory approval and importantly social acceptability. This review outlines the grand challenges of achieving sustainable ruminant production and likely research and innovation landscape over the next 15 years and beyond, specifically outlining the pathways and enablers required to achieve sustainable ruminant production within the One Health framework.</t>
  </si>
  <si>
    <t xml:space="preserve">This publication focuses on sustainable ruminant (animal) production within a One Health framework, covering genetics, animal nutrition, and animal health — it does not concern alternative proteins or substitutes for animal-derived foods.</t>
  </si>
  <si>
    <t xml:space="preserve">pub.1186802256</t>
  </si>
  <si>
    <t xml:space="preserve">Generation Z as Innovation Drivers in the Luxury Hospitality Sector. The Case of Cultured Meat</t>
  </si>
  <si>
    <t xml:space="preserve">Research into the market for engineered, in vitro engineered, and cultured meat is limited, partly because it is new and partly due to perceptions that it is both unnatural and untested. This article reports on a study that explores its potential as a unique luxury food experience. Eighteen semistructured interviews were undertaken to explore Generation Z views on and acceptance of cultured meat and its role in the luxury hospitality sector. By drawing on the innovation diffusion model with reference to new cultured meat items such as “The World’s Best Burger,” the study suggests that, after reassurance about the technological processes involved in creating cultured meat and clear information about what value it adds as a luxury item, participants were open to trying cultured meat when positioned as a luxury good and expressed willingness to repeatedly purchase it despite the cost. Luxury restaurants emerge as powerful conduits for accelerating cultured meat adoption among Generation Z consumers by functioning as reassuring and safe “innovation theaters” that systematically foster each stage of Rogers’ adoption process and add new dimensions to the model when applied to this emerging gastronomic context.</t>
  </si>
  <si>
    <t xml:space="preserve">This study directly examines consumer acceptance and adoption of cultured meat among Generation Z in the luxury hospitality sector, which is clearly in scope as societal and consumer acceptance research on cultivated meat.</t>
  </si>
  <si>
    <t xml:space="preserve">pub.1194012217</t>
  </si>
  <si>
    <t xml:space="preserve">Plant-based alginate-guar gum-konjac glucomannan scaffold with enhanced thermal stability and biocompatibility for cultured meat production</t>
  </si>
  <si>
    <t xml:space="preserve">Conventional livestock farming places a heavy burden on natural resources and contributes significantly to greenhouse gas emissions. As a sustainable alternative, cultured meat has gained significant attention; however, developing an effective scaffold for cultured meat production with both structural integrity and thermal stability remains a major challenge. This study presents a novel plant-based scaffold composed of alginate, guar gum, and konjac glucomannan, specifically engineered to improve the thermal stability required for cultured meat applications. The scaffold was fabricated using hydrogel formation, lyophilization, and autoclave sterilization to ensure its suitability for cell cultivation. Mechanical testing revealed an optimized scaffold with a young’s modulus of approximately 93.45 kPa, closely resembling the stiffness of conventional meat. The scaffold demonstrated excellent water retention capacity and significantly enhanced thermal stability, retaining 86.8 % of its weight after cooking, overcoming a key limitation of traditional hydrogel-based scaffolds. Biocompatibility assessments confirmed that the scaffold is not cytotoxic to C2C12 myoblast cells, a mouse model cell line for cultured meat production, with CCK-8 assay results indicating strong cell viability. Additionally, live/dead staining of scaffolds with cultured C2C12 cells showed that over 80 % of cells remained viable, supporting its potential for long-term cell culture. These results highlight the scaffold’s ability to maintain mechanical and structural integrity while providing a supportive environment for cell growth. In addition, myogenic marker MyoD1 was also accessed to confirm the great potential of cell differentiation within the scaffold. This study introduces an innovative scaffold formulation that enhances cultured meat processing by addressing thermal degradation challenges. By integrating plant-based biomaterials, this research paves the way for scalable, sustainable, and commercially viable cultured meat production, aligning with the future of food engineering and alternative protein development.</t>
  </si>
  <si>
    <t xml:space="preserve">This study develops a plant-based hydrogel scaffold specifically engineered for cultured meat production, testing its mechanical properties, thermal stability, and biocompatibility with myoblast cells, which is directly relevant to cultivated meat research.</t>
  </si>
  <si>
    <t xml:space="preserve">pub.1190691295</t>
  </si>
  <si>
    <t xml:space="preserve">Radiofrequency and microwave 3D bioprinting of emulsion gel for dysphagia diets</t>
  </si>
  <si>
    <t xml:space="preserve">Three-dimensional (3D) bioprinting of emulsion gels is expected to achieve a flexible design of dysphagia diets for individuals with difficulty in swallowing. In this study, the 3D bioprinting of emulsion gels have been achieved using radiofrequency (RF) and microwaves (MW). The textural properties were controlled using different RF and MW frequencies. The structure of an emulsion gel ink was composed of ovalbumin, xanthan gum, MgCl2, Tween 80, and canola oil, satisfying the dysphagia diet criteria. The RF treatment at 200 MHz effectively improved the hardness of the emulsion gel by forming thick fibrous aggregates of ovalbumin and ovotransferrin. A 3D-bioprinting system equipped with LEGO Mindstorm EV3 and RF/MW heating was developed in this study to prepare structured emulsion gels. The properties of the 3D-printed gels were found to be equivalent to those of the gels obtained by batch RF/MW heating, satisfying the standards of textural properties for dysphagia diets. The developed RF/MW 3D-bioprinting of hydrogels can be further applied to products such as artificial or cultured meats.</t>
  </si>
  <si>
    <t xml:space="preserve">The study focuses on 3D bioprinting of emulsion gels for dysphagia diets using ovalbumin (an animal-derived protein), with only a brief mention of potential application to cultured meats; the primary research is not directed at alternative protein development but at medical/therapeutic texture-modified diets for swallowing disorders.</t>
  </si>
  <si>
    <t xml:space="preserve">Agree out of scope. Medical exclusion.</t>
  </si>
  <si>
    <t xml:space="preserve">pub.1191203082</t>
  </si>
  <si>
    <t xml:space="preserve">Enhanced Media Optimize Bovine Myogenesis in 2D and 3D Models for Cultivated Meat Applications</t>
  </si>
  <si>
    <t xml:space="preserve">Livestock farming and conventional meat production pose significant environmental, health, and animal welfare challenges. In seeking sustainable alternative solutions, cultivated meat technology typically utilizes differentiation of myogenic progenitor cells (MPCs) into muscle cells for in vitro meat production. However, understanding the molecular determinants governing MPC differentiation into muscle cells, and the potential enhancement of this process through modulation of signaling pathways, remains limited. Herein, we characterized the molecular landscape associated with bovine MPC differentiation in vitro by employing multiomics, and explored its augmentation by small molecules, together leading to identification of media that enhanced myogenic differentiation compared with conventional methods in both 2D cultures and tissue-engineered 3D skeletal muscle constructs. Through bulk and single-cell transcriptomics and proteomics, we compared conventional and enhanced differentiation media, demonstrating that the enhanced media gave rise to unique progenitor-like cell populations, while simultaneously promoting differentiation into myocytes and contractile myotubes expressing a wide array of myogenic markers that more closely resemble bovine muscle cells in vivo. The improved method for promoting myogenic differentiation in 2D and 3D formats, together with the corresponding molecular roadmap, may prove valuable for cultivated meat applications.</t>
  </si>
  <si>
    <t xml:space="preserve">This publication directly concerns the optimization of bovine myogenic progenitor cell differentiation in 2D and 3D culture systems for cultivated meat production, a core cultivated meat research topic.</t>
  </si>
  <si>
    <t xml:space="preserve">pub.1184899770</t>
  </si>
  <si>
    <t xml:space="preserve">Impact of Implementing Female Genomic Selection and the Use of Sex-Selected Semen Technology on Genetic Gain in a Dairy Herd in New Zealand</t>
  </si>
  <si>
    <t xml:space="preserve">Genomic selection (GS) has changed cattle breeding, but its use so far has been in selecting superior bulls for breeding. However, its farm-level impact, particularly on female selection, remains less explored. This study aimed to investigate the impact of implementing GS to identify superior cows and using artificial mating of those cows with sex-selected semen in a New Zealand Holstein-Friesian (HF) dairy herd (n = 1800 cows). Heifers (n = 2061) born over four consecutive years between 2021 and 2024 were genotyped and their genomic breeding values (GBVs) were estimated. These heifers were ranked based on the Balanced Performance Index (BPI; DataGene, Dairy Australia) Lower-performing cows producing less than 15 L/day (or 20 L/day for older cows) and those with severe mastitis were culled. Cows were mated with HF genetics based on production and udder breeding values, while lower-performing cows were mated to beef genetics. Milking adult cows were mated to bulls with similar BPI value. Annual genetic change was measured using Australian breeding values (ABVg) for milk fat production (FAT), protein production (PROT), fertility (FER), Mastitis Resistance (MAS), and BPI. The genetic merits of the heifers improved annually, with BPI increasing from 136 to 184 between 2021 and 2023, corresponding to a financial gain of NZD 17.53 per animal per year. The predicted BPI gain from 2023 to 2026 is expected to rise from 184 to 384, resulting in a financial gain of NZD 72.96 per animal per year. Using sex-selected semen on the top 50% of BPI-rated heifers in 2024 further accelerated genetic gain. Predicted BPI values for progeny born in 2025 and 2026 are 320 and 384, respectively. These findings revealed that the female GS, combined with sex-selected semen from genomically selected bulls, significantly accelerates genetic gain by improving the intensity and accuracy of selection. The approach achieves genetic progress equivalent to what traditionally would have required eight years of breeding without female GS, and has potential to improve dairy herd performance and profitability.</t>
  </si>
  <si>
    <t xml:space="preserve">This study concerns conventional dairy cattle genomic selection and breeding for milk production traits, with no relevance to alternative proteins or plant-based, fermentation, or cultivated meat research.</t>
  </si>
  <si>
    <t xml:space="preserve">pub.1187502172</t>
  </si>
  <si>
    <t xml:space="preserve">Influence of cell disruption on techno-functional properties and digestibility of Chlorella vulgaris proteins</t>
  </si>
  <si>
    <t xml:space="preserve">Due to their high protein content, low resource requirements, and high productivity, microalgae are a promising source of potentially sustainable and functional protein. However, the rigid cell wall of Chlorella vulgaris restricts protein bioaccessibility and reduces protein solubility. The latter restricts the techno-functional properties of the protein, presenting challenges for its use in food applications. This study evaluated the impact of cell disruption by high-pressure homogenization (HPH), bead milling (BM), and pulsed electric field (PEF), on protein digestibility and techno-functional properties. To examine the impact of each method, frozen-thawed C. vulgaris biomass was treated with HPH (600 bar and 1200 bar), BM (0.5 and 1 mm beads), and PEF (6 kV/cm, up to 100 kJ/kg). PEF had minimal impact on protein solubility and was excluded from further analysis. HPH and BM significantly improved protein solubility and enhanced in vitro protein digestibility (from 65 % to over 80 %). Emulsion droplet size was reduced, while foaming capacity and stability were enhanced by both HPH and BM. Similarly, these methods reduced the minimal gelling concentration and increased the oil holding capacity. These improvements make disrupted C. vulgaris a competitive alternative to conventional plant proteins. These findings highlight the potential of cell disrupted C. vulgaris as a potentially sustainable, versatile protein source for innovative food formulations.</t>
  </si>
  <si>
    <t xml:space="preserve">This study investigates Chlorella vulgaris microalgae as a protein source for food applications, which falls under biomass fermentation/microalgae as an alternative protein, examining processing methods to improve its techno-functional properties and digestibility for food use.</t>
  </si>
  <si>
    <t xml:space="preserve">pub.1187018361</t>
  </si>
  <si>
    <t xml:space="preserve">Microencapsulation techniques and encapsulating materials influenced the shelf life and digestion release of vitamin E and isoflavones in soymilk powder</t>
  </si>
  <si>
    <t xml:space="preserve">Soymilk, due to its high-quality protein and isoflavones content, is widely consumed worldwide. Unfortunately, soymilk lacks the powerful antioxidant vitamin E. Encapsulation of vitamin E and isoflavones in soymilk powder is advantageous for malnourished consumers to meet the recommendation. This study aimed to evaluate the impact of different encapsulation techniques and encapsulating materials on the storage stability and bioaccessibility of vitamin E and isoflavones in soymilk powder. Freeze-drying and spray-drying methods were applied with various encapsulating materials prepared from different ratios of maltodextrin to Acacia gum (100:0, 60:40, 50:50, 40:60, and 0:100). The results indicated that a 40:60 ratio of maltodextrin and Acacia gum provided the highest stability for 24 h of soymilk emulsion under the studied conditions. The shelf-life prediction of soymilk powder increased by more than two weeks when stored at 0 °C compared to the storage at ambient temperature. Spray-drying and freeze-drying techniques effectively encapsulate vitamin E and isoflavones within core microcapsules. Especially, freeze-drying process helps to prevent degradation during storage and allows for controlled release of the bioactive compounds during in-vitro digestion. Encapsulation efficiency of isoflavones and vitamin E for all formulation ranged from 80.9 ± 0.01% to 83.5 ± 0.20%, respectively. The highest vitamin E and isoflavones bioaccessibility of encapsulated product increased by up to 4.4-fold and 1.7-fold in the 60:40 formulations. Consuming 20 g of encapsulated vitamin E and 170 g of encapsulated isoflavones daily would be sufficient to meet the recommended intake.</t>
  </si>
  <si>
    <t xml:space="preserve">This study focuses on soymilk powder, a plant-based dairy alternative with high-quality soy protein and isoflavones, and investigates encapsulation techniques to improve its nutritional profile and bioactive compound delivery, which is relevant to plant-based alternative protein product development.</t>
  </si>
  <si>
    <t xml:space="preserve">pub.1193443344</t>
  </si>
  <si>
    <t xml:space="preserve">Structuro-optical optimization of ethyl cellulose-modified candelilla wax/canola oil oleogels for use as sustainable fat replacers in steamed bread systems</t>
  </si>
  <si>
    <t xml:space="preserve">The demand for healthier, sustainable alternatives to conventional solid fats is essential for creating sustainable food systems. This study explored the fat crystal engineering of candelilla wax (CW)/canola oil (CO) oleogels using ethyl cellulose (EC) as a crystal habit modifier. Herein, the aim was to optimize the structural, colorimetric, and mechanical properties of the CW/CO oleogel for use in steamed bread applications. EC concentration (0 % to 10 % (w/w)) was characterized using microscopy, colorimetry, hyperspectral imaging (HSI), X-ray diffraction (XRD), and mechanical testing. Notably, HSI and XRD served as key differentiating tools to decode supramolecular organization and light-scattering phenomena in the oleogels. The 5 % EC oleogel (ST10.0) among the formulations demonstrated the most favorable attributes. ST10.0 exhibited enhanced crystalline morphology, highest yellowness index (46.20 ± 2.17), and a strong reflectance peak at 619 nm (0.919 ± 0.002), indicating superior optical properties. HSI further revealed minimized dark zones and uniform pixel-wise chromaticity. XRD confirmed the rigid and compact molecular packing in ST10.0, evident from the lowest average d-spacing (4.002 Å). Mechanical testing showed that ST10.0 maintained a desirable firmness (548.17 ± 13.50 g) and cohesiveness (2310.44 ± 108.51 g-mm), making it suitable for bakery systems. Incorporation into steamed bread significantly enhanced product dimensions (diameter: 13.00 ± 0.08 cm; height: 4.83 ± 0.04 cm) and crumb aeration. Further, colorimetric evaluation showed improved brightness and diminished browning. These findings demonstrate that ST10.0 oleogel is a promising solid fat replacer with enhanced structural and sensory characteristics, holding significant potential for scalable industrial and clean-label bakery applications.</t>
  </si>
  <si>
    <t xml:space="preserve">This study concerns oleogel fat replacers for steamed bread (a non-animal-product substitute bakery application), which does not qualify as an alternative protein product or ingredient substituting animal-derived foods.</t>
  </si>
  <si>
    <t xml:space="preserve">pub.1185246385</t>
  </si>
  <si>
    <t xml:space="preserve">From forest to fork: a systematic review of mushroom-based meat analogues</t>
  </si>
  <si>
    <t xml:space="preserve">Abstract The consumption of meat analogues is steadily increasing due to factors such as concerns about protein intake, meat availability, health, and environmental issues. Mushrooms provide a potential solution for substituting or replacing animal protein due to their high nutritional value and unique sensory properties. This review examines the differences in physical characteristics, organoleptic qualities, amino acid profiles, and dietary fibre content of meat analogues derived from various mushroom species. The review employed a textual narrative synthesis approach and adhered to the Preferred Reporting Items for Systematic Reviews and Meta-Analyses (PRISMA) guidelines. A comprehensive analysis of 38 relevant publications reveals that the incorporation of mushrooms can influence the colour and texture of meat analogues. Additionally, the review highlights the impact of mushroom addition or substitution on the amino acid and dietary fibre content of meat analogues. It underscores the potential of mushrooms to create meat analogues with enhanced nutritional profiles, benefiting consumers, particularly those facing nutritional challenges like stunting. This article emphasises the importance of considering the specific mushroom species and processing techniques to optimise the quality of meat analogues.</t>
  </si>
  <si>
    <t xml:space="preserve">This review examines mushroom-based meat analogues, where mushrooms (fungal biomass) serve as protein sources for animal product substitution, which falls under biomass fermentation/mycoprotein category of alternative proteins.</t>
  </si>
  <si>
    <t xml:space="preserve">Wrong label. Add ‘mushroom’ to plant-based definition. Currently getting drawn to ‘fungal’ biomass fermentation.</t>
  </si>
  <si>
    <t xml:space="preserve">pub.1184251166</t>
  </si>
  <si>
    <t xml:space="preserve">Effects of instant controlled pressure drop on amaranth phytochemicals and antioxidant capacity</t>
  </si>
  <si>
    <t xml:space="preserve">Amaranth is a pre-Columbian staple crop used as a nutritious gluten-free grain associated with several health properties. Instant Controlled Pressure Drop (DIC) is an emerging technology used in many food industries. This study evaluates the effect of DIC treatment on amaranth. A. hypochondriacus was submitted to DIC treatments. Proximal analyses were assessed according to AOAC methodologies, phenolic compounds, flavonoids, and antioxidant capacity were measured using standard methods. The application of DIC treatments did not yield significant alterations in amaranth composition. However, a marginal yet statistically significant reduction was observed in the protein percentage. Pressure and time exert a visible increase in the phenolic and flavonoid contents and in the antioxidant activity. The combination of 0.36 MPa and 22 s held the best results in both varieties studied. The significant increase in TPC, TFC, and antioxidant capacities following DIC treatment highlights the potential of this technology as a novel method for enhancing the functional attributes of amaranth.</t>
  </si>
  <si>
    <t xml:space="preserve">While amaranth is a high-protein crop, this study focuses on phytochemicals, flavonoids, and antioxidant capacity rather than protein functionality or use as an alternative protein ingredient for animal product substitution, and the application is framed around general health properties rather than alternative protein development.</t>
  </si>
  <si>
    <t xml:space="preserve">pub.1192807197</t>
  </si>
  <si>
    <t xml:space="preserve">Efficient Yeast Inactivation and Protein Extraction from Wine Lees Using Pulsed Electric Fields and Ultrasound: A Comparative Energy-Based Approach</t>
  </si>
  <si>
    <t xml:space="preserve">The valorization of wine lees, a major by-product of winemaking, is gaining attention as part of broader initiatives to promote circular economy and sustainable resource use in the agri-food sector. This study assessed ultrasound (US), pulsed electric fields (PEF), and their combination (PEF + US) as non-thermal technologies for promoting yeast autolysis and recovering intracellular proteins from wine lees. All treatments effectively reduced yeast viability, with populations decreasing from ~7.0 to ~4.7 log CFU/mL within 5 min. PEF alone achieved this microbial inactivation with a low energy input of 25–100 kJ/kg. In contrast, US yielded the highest protein release (~5700 μg/mL after 20 min), although it required a substantial energy input (~19,800 kJ/kg). The combined PEF + US method provided comparable protein yields (~5400 μg/mL) while reducing energy consumption by more than 50%. These results demonstrate that PEF is the optimal method for low-energy microbial inactivation, whereas US and PEF + US are more effective for protein recovery. The synergy of the combined approach offers a balanced and scalable solution for sustainable bioprocessing, reinforcing the potential of hybrid technologies in the green extraction of wine industry by-products and their integration into circular bioeconomy strategies.</t>
  </si>
  <si>
    <t xml:space="preserve">This study concerns protein extraction from wine lees (yeast biomass by-product), which is a fermentation-derived single-cell protein source, making it relevant to biomass fermentation as an alternative protein feedstock.</t>
  </si>
  <si>
    <t xml:space="preserve">Borderline. It does mention protein / extracts as a food in the introduction of the paper.</t>
  </si>
  <si>
    <t xml:space="preserve">pub.1186732451</t>
  </si>
  <si>
    <t xml:space="preserve">Allergenicity of Alternative Proteins: Reduction Mechanisms and Processing Strategies</t>
  </si>
  <si>
    <t xml:space="preserve">The increasing popularity of alternative proteins has raised concerns about allergenic potential, especially for plant-, insect-, fungal-, and algae-based proteins. Allergies arise when the immune system misidentifies proteins as harmful, triggering IgE-mediated reactions that range from mild to severe. Main factors influencing allergenicity include protein structure, cross-reactivity, processing methods, and gut microbiota. Disruptions in gut health or microbiota balance heighten risks. Common allergens in legumes, cereals, nuts, oilseeds, single-cell proteins, and insect-based proteins are particularly challenging, as they often remain stable and resistant to heat and digestion despite various processing techniques. Processing methods, such as roasting, enzymatic hydrolysis, and fermentation, show promise in reducing allergenicity by altering protein structures and breaking down epitopes that trigger immune responses. Future research should focus on optimizing these methods to ensure that they effectively reduce allergenic risks while maintaining the nutritional quality and safety of alternative protein products.</t>
  </si>
  <si>
    <t xml:space="preserve">This review directly addresses allergenicity of alternative proteins (plant-based, fungal, algae, single-cell proteins) and processing strategies to reduce allergenic risks, which is clearly relevant to the development and safety of alternative protein products for human food.</t>
  </si>
  <si>
    <t xml:space="preserve">pub.1192700455</t>
  </si>
  <si>
    <t xml:space="preserve">P12-08 Oxidative and inflammatory pathways after T-2 toxin exposure in HepG2 cells</t>
  </si>
  <si>
    <t xml:space="preserve">Mycotoxins are secondary metabolites produced by filamentous fungi, that are often present in food. Fusarium species produce the T-2 toxin (T-2), which is mainly found in oats. This is the most toxic mycotoxin of the trichothecenes group. The main toxic effects of T-2 are hepatotoxicity, nephrotoxicity, neurotoxicity and gastrointestinal disorders. Although the maximum tolerable levels of T-2 in cereals have been established, they need to be re-evaluated because of their toxicity. Therefore, it is necessary to carry out toxicity studies to understand its mechanisms of toxicity completely. So, in this study, the metabolic pathway associated with inflammatory and oxidative processes was evaluated, as this area has been little studied. The hepatocarcinoma (HepG2) cells were exposed to 7.5, 15 and 30 nM T-2 for 24 h to quantify the gene expression of the interleukins TNF-α, IL-1β and IL-6 and the proteins Nrf2 and HO-1. This was carried out by qPCR and the results were confirmed by western blotting. The results demonstrated alterations in HepG2 cell morphology in a concentration-dependent manner by indirect immunofluorescence analysis. Respect to inflammatory and oxidative factors, we observed that, the IL-1β mRNA, IL-6 and TNF- α mRNA were up-regulated at the highest concentration tested compared to the control. And, the Nrf2 mRNA was down-regulated by T-2 at all concentrations tested. Western blot results showed the bands referred to IL-6, which intensity was increased up to 1.95 folds at 30 nM of T-2, compared to the negative control. Regarding the bands of oxidative proteins, Nrf2 were detected with a decrease at the highest concentration (0.67 folds compared to the control) and a decrease of 2.31 folds of HO-1 compared to the control was detected at the lowest concentration of T-2. In , the overexpression of inflammatory pathway genes and downregulation of genes related to oxidative processes suggest that T-2 exposure produces toxicity through activation of the inflammatory pathway, and inhibition of the Nrf2/HO-1 pathway in HepG2 cells. Acknowledgments: Spanish Ministry of Science and Innovation(PID2020-115871RB-I00) and the State of Investigation Agency MCIN/AEI/10.13039/501100011033. Mercedes Taroncher is grateful for the postdoctoral grant PRE2021-096941 provided by the Spanish Ministry of Science and Innovation project.</t>
  </si>
  <si>
    <t xml:space="preserve">This study investigates the toxicity mechanisms of T-2 mycotoxin in liver cells, with no relevance to alternative protein development or production.</t>
  </si>
  <si>
    <t xml:space="preserve">pub.1185628821</t>
  </si>
  <si>
    <t xml:space="preserve">Production of protein-rich fungal biomass from pistachio dehulling waste using edible Neurospora intermedia</t>
  </si>
  <si>
    <t xml:space="preserve">Pistachio dehulling waste, known as Pistachio byproduct mixture (PBM), is a valuable resource that is often overlooked. An effective sustainable approach involves utilizing this agricultural waste through a fermentation process using edible filamentous fungi, demonstrating potential applications in nutrition and animal feed. The focus of this study was on converting PBM extract obtained from a hot water extraction pre-treatment into a protein-rich fungal biomass of Neurospora intermedia. The optimal conditions for growth were achieved at 72 h, pH 5.5, and 30 °C which are achieved by one-factor-at-a-time approach (OFAT), resulting in 6.7 g/L of dried fungal biomass, with a protein content of 20.4%. The conversion efficiency, expressed as grams of fungal biomass per gram of initial Total COD, was 0.37 g/g, highlighting the significant potential of PBM extract with high COD levels and low sugar content for fermentation processes. Additionally, an investigation was carried out to assess the impact of inoculation method, culture adaptation, COD/N ratio, and pH control on fungal biomass growth during cultivation. The results of optimal conditions with response of fungal biomass growth showed production of 0.44, 0.45, and 0.49 g of fungal biomass per gram of initial total COD, with protein contents of 20.2%, 27.1%, and 18.6%, respectively, leading to improved fungal biomass yield. The resulting protein-rich fungal biomass with a focus on the biorefinery platform to complete the value-added cycle, holds promise for applications in various sectors including food, animal feed, biochemical, and biomaterial industries.</t>
  </si>
  <si>
    <t xml:space="preserve">This study produces protein-rich fungal biomass (Neurospora intermedia) via fermentation of agricultural waste, which qualifies as biomass fermentation for potential food applications, even though animal feed is also mentioned as an application.</t>
  </si>
  <si>
    <t xml:space="preserve">pub.1186677941</t>
  </si>
  <si>
    <t xml:space="preserve">Tailoring the physico-chemical properties and VOCs of pea-based fermented beverages through Lactobacillus delbrueckii subsp. bulgaricus and Streptococcus thermophilus fermentation</t>
  </si>
  <si>
    <t xml:space="preserve">This study aims at investigating the fermentative performances of Lactobacillus delbrueckii subsp. bulgaricus (Ldb), Streptococcus thermophilus (St) when used individually or in a blend on pea emulsion-based beverages. Microbial growth, physico-chemical properties (rheology, water molecular mobility, colour) and the volatile profile were investigated during or after fermentation guided by two selected strain (St 5149, Ldb 2214) and their blend. The results showed that strains St 5149 and the blend were able to grow in the pea protein emulsion beverage more quickly and with a shorter Lag phase (0.29-0.58 h) and to promote a faster gelation kinetic than Ldb 2214, as showed by impedometric and rheological analyses during fermentation. Water molecular mobility of the fermented systems measured by 1H NMR was also impacted by the different LAB strains, with a reduction in the amount of unbound water for sample fermented with St 5149. These differences, however, did not influence the colour parameters of the fermented beverage which had L* between 12.16 and 13.56, a* between 15.15 and 15.92, b* between 21.09 and 22.87. Notably, the aromatic profile of the fermented pea beverages suggested that selected LAB strains, particularly when used in a blend, effectively reduced the off-flavor notes associated with pea protein isolates. The results show that the selected LAB strains are able to positively impact the physico-chemical properties of pea fermented beverages and will pose the fundamental knowledge for the development of innovative, sustainable products alternative to both dairy and soy-based fermented products.</t>
  </si>
  <si>
    <t xml:space="preserve">This study investigates fermentation of pea protein emulsion beverages using LAB strains to develop dairy and soy-based fermented product alternatives, directly advancing plant-based alternative protein product development; traditional fermentation is used as a processing method to modify a plant protein, so it is classified as plant-based.</t>
  </si>
  <si>
    <t xml:space="preserve">pub.1187676298</t>
  </si>
  <si>
    <t xml:space="preserve">Dinitrogen fixation by open purple non-sulfur bacteria cultures for protein production: Diazotrophy boosts photoheterotrophic uptake rates</t>
  </si>
  <si>
    <t xml:space="preserve">Purple non-sulfur bacteria (PNSB) offer a sustainable alternative to current inefficient protein production systems thanks to their high yields. This study explored the potential of specialized diazotrophic PNSB open cultures for protein production, benchmarking their performance against ammonium-grown PNSB and other diazotrophs. While diazotrophic yields (0.85-0.93 gCODbiomass·gCODsubstrate-1; COD being chemical oxygen demand) were slightly lower than non-diazotrophic (∼1.0), they were over double those of heterotrophic-diazotrophic rhizobacteria, with full N recovery as biomass (∼1.0 gNbiomass·gNfixed-1). Photoheterotrophic-diazotrophic uptake rates were the fastest ever reported for PNSB and any other diazotroph (e.g., 5.20 ± 0.83 vs. 2.64 ± 0.34 gCODsubstrate·gCODbiomass-1·d-1 for PNSB on NH4+). Optimal rates required high light intensities, aligning with diazotrophic energy demands. Photoheterotrophic-diazotrophic conditions were highly selective, enriching a specialized Rhodopseudomonas palustris strain. Biomass protein contents and essential amino acid metrics confirmed nutritional suitability for humans. This work lays the background for exploiting PNSB's potential to address global protein demands through sustainable nitrogen fixation.</t>
  </si>
  <si>
    <t xml:space="preserve">This study investigates purple non-sulfur bacteria (PNSB) as a microbial biomass protein source for human nutrition, directly falling under biomass fermentation within the alternative proteins scope.</t>
  </si>
  <si>
    <t xml:space="preserve">pub.1185804121</t>
  </si>
  <si>
    <t xml:space="preserve">Signs of Change: Estimating the Impact of Animal Cruelty Billboards on Plant-Based and Dairy Milk Consumption in the UK</t>
  </si>
  <si>
    <t xml:space="preserve">We present a field experiment to evaluate a social marketing campaign encouraging people to try plant-based milk. We ran six anti-dairy billboards for one month in a city in the UK. The billboards featured a photo of a suffering dairy cow, a link to a website with information about dairy cow suffering, and an appeal to try plant-based milk. To estimate the impact of the billboards on plant-based and dairy milk consumption, we triangulated three novel data collection methods. First, we compared changes in regional vs. nationwide sales data from two plant-based milk companies. Second, we evaluated the proportion of dairy-free orders from six cafes in the city where we ran the billboards (‘Billboard City’) before, during, and after the campaign. Third, we compared changes in the proportion of household waste representing plant-based or dairy milk in the Billboard City vs. another UK city with no intervention (‘Control City’). Although descriptively, our results appear to be in line with some positive impact of the billboards, ultimately the study design and data were too limited to support a general claim about the impact of the billboard campaign. There were logistical challenges with each data source, as well as too many extraneous factors for the design to account for adequately. We discuss the challenges of field research, the strengths and weaknesses of each novel data collection method, and present considerations for future research.</t>
  </si>
  <si>
    <t xml:space="preserve">This field experiment evaluates a social marketing campaign aimed at shifting consumer behaviour toward plant-based milk consumption, directly studying consumer acceptance and demand for a plant-based alternative protein product.</t>
  </si>
  <si>
    <t xml:space="preserve">pub.1191474273</t>
  </si>
  <si>
    <t xml:space="preserve">Proteomics coupled machine learning—innovative approach in geographical origin authentication of green Coffea arabica</t>
  </si>
  <si>
    <t xml:space="preserve">The geographical authentication of green specialty coffee is an economically sensitive analytical task that is not yet fully resolved. We used an innovative combination of proteomic profiling with linear discriminant analysis for the authentication of the geographical origin of green specialty coffee beans from well-known harvesting regions in Central America, South America, Africa, and Asia. Out of 1596 identified proteins, we selected the top 30 target markers ranked by ANOVA. The model's prediction performance using leave-one-out cross-validation reached 85.3 %, with the lowest accuracy in the prediction rate for Asian samples. Besides, model performance and prediction sensitivity to random states were tested using 5-fold cross-validation. After 20 iterations, the model performance slightly decreased to 84.0 %. This research contributes to advancing traceability tools in the coffee industry, ensuring product authenticity, and promoting fair trade practices. Specificity and sensitivity confirmed that the model appears to be reliable at distinguishing Asian and African samples.</t>
  </si>
  <si>
    <t xml:space="preserve">This publication concerns geographical authentication of coffee beans using proteomics and machine learning, which is not related to alternative proteins or substitutes for animal-derived foods.</t>
  </si>
  <si>
    <t xml:space="preserve">pub.1190465743</t>
  </si>
  <si>
    <t xml:space="preserve">Application of protein modeling and molecular simulation techniques in the field of food microbial contamination: principles, research status and future prospects</t>
  </si>
  <si>
    <t xml:space="preserve">Food safety problems caused by microbial contamination (biotoxins, foodborne pathogens and spoilage bacteria, etc.) have always been a hot issue in food research, which seriously threatens people's health. In order to deeply analyze the principle of microbial contamination and ensure food safety from the root, the research on microbial biomolecular interactions with the help of molecular simulation technology has attracted wide attention. With the improvement of computer power, molecular simulation technology has become a hot spot in the research fields of microbial biotoxin mechanism and target finding, novel antimicrobial peptide design and bacteriostatic small-molecule drug design with the advantage of its high precision. In this paper, based on the current development of molecular simulation technology including protein molecular modeling, molecular docking and molecular dynamics, we systematically review the progress of the application of molecular simulation technology in the field of microbial contamination of food and discuss its future development prospects.</t>
  </si>
  <si>
    <t xml:space="preserve">This publication concerns food safety and microbial contamination (biotoxins, pathogens, spoilage bacteria) using molecular simulation techniques, with no relevance to alternative protein development or production.</t>
  </si>
  <si>
    <t xml:space="preserve">pub.1188024088</t>
  </si>
  <si>
    <t xml:space="preserve">Protective Effect of Lactic Acid Bacteria Isolated from Ripened Foods Against Listeria monocytogenes in Plant-Based Fermented Dry-Cured Sausages</t>
  </si>
  <si>
    <t xml:space="preserve">The aim of the study was to use a commonly employed technology in the meat industry, the inoculation of a biocontrol starter, in the processing of a plant-based fermented dry-cured sausage analog to improve its safety against possible Listeria monocytogenes contamination. Challenge tests were used to select suitable lactic acid bacteria (LAB) for the analog under industrial production conditions. First, 20 LAB strains were tested in vitro and five of them were further tested by stuffing the ingredients under industrial conditions. The L. monocytogenes counts highlighted Latilactobacillus sakei 205 as the most protective one, achieving a reduction of 2.6 log CFU/g. Further, a triangular test and Check-All-That-Apply test were performed to understand the organoleptic differences that could be expected in the final product. The batch inoculated with Llb. sakei 205 did not show any sensory differences from the commercial batch. Therefore, Llb. sakei 205 was identified as a potential protective starter due to the microbiological and sensory results. This pioneering study applied biocontrol starters to plant-based meat analogs, aligning with clean-label trends.</t>
  </si>
  <si>
    <t xml:space="preserve">This study concerns the safety and processing of a plant-based fermented dry-cured sausage analogue, which is an alternative protein product substituting conventional meat, making it in scope for plant-based alternative proteins.</t>
  </si>
  <si>
    <t xml:space="preserve">pub.1187988461</t>
  </si>
  <si>
    <t xml:space="preserve">Amylase trypsin inhibitors activation of toll-like receptor 4 revisited: The dominance of lipopolysaccharides contamination</t>
  </si>
  <si>
    <t xml:space="preserve">Amylase trypsin inhibitors (ATIs) potentially play a role in irritable bowel syndrome (IBS) and non-celiac wheat sensitivity (NCWS). These cereal-derived inhibitors are suspected to bind to the TLR4-MD2-CD14 complex and trigger intestinal pro-inflammatory responses, but confirmation through more extensive cell line studies is required. In this study, an amylase trypsin inhibitors enriched fraction (AEF) was prepared and characterized. Then, AEF binding potential to TLR4-MD2-CD14 was investigated using the human TLR4 reporter cell line HEK-BlueTM. The method took into account the presence of lipopolysaccharides (LPS) using Polymyxin B (PMB) to block LPS binding to TLR4. Proteinase K was also used to hydrolyze AEF proteins and eliminate their induced response. The cell line experiments showed that PMB treatment of AEF reduced the binding signal by 92 %. Complete hydrolysis of the protein by Proteinase K doubled the TLR4 activation signal and might indicate that protein-LPS complexation reduced LPS's ability to activate the TLR4-receptor. These finding underline the need for future work to consider the non-protein part in cell assays, especially the LPS bias. Altogether, these results indicated that LPS activates TLR4-MD2-CD14 and challenges ATIs' intestinal inflammation capacity contributing in irritable bowel syndrome and non-celiac wheat sensitivity.</t>
  </si>
  <si>
    <t xml:space="preserve">This study investigates the inflammatory mechanisms of amylase trypsin inhibitors (ATIs) from wheat in the context of IBS and non-celiac wheat sensitivity, which is a medical/health research topic rather than alternative protein development or substitution of animal-derived foods.</t>
  </si>
  <si>
    <t xml:space="preserve">pub.1195339085</t>
  </si>
  <si>
    <t xml:space="preserve">Bioactive peptides as functional food ingredients: Production, mechanisms of action, market trends, and future perspectives with emphasis on andean crops</t>
  </si>
  <si>
    <t xml:space="preserve">The development of bioactive peptides is of great interest in the food and pharmaceutical industries because of their positive impact on health. However, peptide's bioavailability depends on their stability along the gastrointestinal tract and their ability to be transported to targets located in peripheral organs, whose mechanisms are still poorly understood. However, several studies, mainly in vitro and in vivo, have shown antimicrobial, antitumoral, antihypertensive, anti-inflammatory, antidiabetic, and antioxidative effects. Indeed, some bioactive peptides are already on the global market. One of the current and future perspectives includes the development of novel bioactive peptides from food plant proteins. In this regard, some grains and seeds, such as quinoa, maize, cañihua and tarwi, which were domesticated in the Andes, are attracting global interest due to their high nutritional value and potential as a source of novel bioactive peptides. Tarwi stands out for its high protein content compared to other legumes.</t>
  </si>
  <si>
    <t xml:space="preserve">This publication focuses on bioactive peptides for pharmaceutical and health applications (antimicrobial, antitumoral, antihypertensive, etc.), which falls under medical nutrition/nutraceuticals rather than alternative protein development as substitutes for animal-derived foods.</t>
  </si>
  <si>
    <t xml:space="preserve">pub.1188868537</t>
  </si>
  <si>
    <t xml:space="preserve">From CO2 to proteins and oils: innovative approach for valorizing acetate-rich gas fermentation stream using microalgae through a two-step process</t>
  </si>
  <si>
    <t xml:space="preserve">Microalgae represent an innovative source of proteins and fatty acids for food and feed, and their production's economic and environmental sustainability can be improved using novel carbon sources. Acetate is a source of organic carbon that can be produced through innovative processes in a more sustainable way compared to sugars. Among the various biotechnological synthesis processes, gas fermentation enables the production of an acetate-rich stream, where biological contamination is easier to manage compared to other streams or wastewaters. This study presents an innovative two-step process valorizing acetate produced through Thermoanaerobacter kivui gas fermentation as carbon source for Chlorella sorokiniana heterotrophic cultivation. The real acetate-rich stream (13.3 g L−1) was tested at different dilutions, achieving biomass productivities up to 1.6 g L−1day−1. The biomass obtained was characterized for protein, lipid and carbohydrate content. The heterotrophic biomass was characterized by high protein content (39%) and balanced essential amino acid profile, with high nutritional value suitable for human and fish nutrition. The lipid profile also confirmed excellent nutritional characteristics, contained 16% of valuable omega-3 fatty acids and ω6:ω3 ≈ 1. Additionally, the nutritional potential of T. kivui biomass was also evaluated, elucidating its amino acids profile and highlighting a nitrogen to protein conversion factor of 2.65. This innovative process, combining gas fermentation with microalgae cultivation, offers a promising approach to enhancing proteins and lipid production for food and feed applications, compared to traditional photoautotrophic methods.</t>
  </si>
  <si>
    <t xml:space="preserve">The study uses microalgae (Chlorella sorokiniana) as a biomass fermentation source of proteins and lipids with stated food applications, qualifying as fermentation-derived alternative protein research, though the inclusion of fish feed applications slightly reduces confidence.</t>
  </si>
  <si>
    <t xml:space="preserve">pub.1187305326</t>
  </si>
  <si>
    <t xml:space="preserve">In-depth exploration of the structure of pea albumin, its fractions and their heating and foaming properties</t>
  </si>
  <si>
    <t xml:space="preserve">HYPOTHESIS: The structure and functionality of pea albumin can be described in detail as a combination of its main fractions, PA1 and PA2.
EXPERIMENTAL: PA1 and PA2 were purified from a Pea Albumin extract (PA) using size exclusion chromatography, and characterized by two-dimensional gel electrophoresis. Their secondary structure was analyzed using Fourier-Transform Infrared Spectroscopy (FTIR). The structures before and after heat treatment (90 °C, 1 &amp; 5 min) were investigated by Small-Angle X-ray Scattering (SAXS). SAXS intensities were evaluated using high-resolution models obtained as predictions from the AlphaFold Protein Structure Database. Interfacial and foaming properties were also evaluated.
FINDINGS: Both PA1 and PA2 contained various isoforms, and PA2 displayed a high β-sheet/α-helix ratio. In solution, SAXS intensities of PA1 could be predicted by its native structure, and after heating PA1 showed limited aggregation. PA2 could be presented as a dimer, which unfolded and formed large aggregates during heating. The high-resolution models could also explain well the SAXS signal of the unfractionated PA, combining PA1 and PA2. After heating, PA2 dominated the properties of the PA mixtures. PA2 predominantly contributed to the interfacial and foaming properties of PA, in spite of both PA1 and PA2 showing adsorption at the air/water interface. Indeed, PA1 in isolation could not form a stable foam.
PERSPECTIVE: SAXS data analyzed with high-resolution structure models allowed for an in depth understanding of the structural changes of PA1 and PA2, and provided a mechanistic understanding of the relationships between structure, composition, and technological functionality of the albumin fractions from pea.</t>
  </si>
  <si>
    <t xml:space="preserve">This study characterises the structure and functional properties (foaming, interfacial) of pea albumin fractions, directly relevant to plant-based protein ingredient development for food applications.</t>
  </si>
  <si>
    <t xml:space="preserve">pub.1190117241</t>
  </si>
  <si>
    <t xml:space="preserve">The impacts of a multispecies sward grazing system and stage of lactation on the processing-efficiency and compositional characteristics of milk and Cheddar cheese</t>
  </si>
  <si>
    <t xml:space="preserve">This study investigated Cheddar cheese manufacturing, using milks derived from biodiverse multispecies swards (MSS) or perennial ryegrass (PRG) monocultures, at mid- and late-lactation. The macro-composition and fatty-acid-profiles of milks were broadly equivalent, but MSS-derived milks had significantly higher protein and phosphorus contents, and significantly lower somatic cell counts, compared to PRG-derived milks. No significant differences in rennet coagulation properties were observed, and MSS-derived cheese had a typical macro-composition. Increased cheese yields resulted from MSS compared to PRG; actual yields of 11.13 % and 10.58 % respectively, and moisture-adjusted cheese yields adjusted for fat and protein of 18.78 % and 18.25 % respectively. As agri-food industries adapt to maximise efficiency and sustainability, investigations are required to pre-empt any possible negative consequence to milk or product quality. As such, within this study, MSS grazing did not appear to adversely impact the processing-efficiency of milk into Cheddar.</t>
  </si>
  <si>
    <t xml:space="preserve">This study concerns conventional dairy milk and Cheddar cheese production from different grazing systems, with no relevance to alternative proteins or plant-based, fermentation-derived, or cultivated alternatives.</t>
  </si>
  <si>
    <t xml:space="preserve">pub.1193910496</t>
  </si>
  <si>
    <t xml:space="preserve">Enabling protein-rich microalgae production from anaerobic digestate through direct aeration stripping for gaseous nitrogen and carbon supply</t>
  </si>
  <si>
    <t xml:space="preserve">Efficient removal and recovery of nitrogen (N) from N-rich waste streams are essential to mitigate their environmental impact and to enhance the sustainability and circularity of N-demanding processes, such as the production of protein-rich microalgal biomass. This study investigated the integration of a direct aeration stripping process, recovering gaseous ammonia and CO2 from anaerobic digestate, with the growth of a mixed microalgal culture in a photobioreactor, targeting the conversion of the recovered gases into protein-rich microalgae while preventing cross-contamination from the waste digestate matrix. Various air flow rates and system configurations were tested to optimise the stripping efficiency of ammonia nitrogen while simultaneously evaluating microalgal growth and protein accumulation. Results were compared to control conditions having nitrogen supplied either as mineral ammonium or as anaerobic digestate added directly in the growth medium. The highest microalgal biomass concentration (1239.6 ± 294.3 mg VSS/L) was achieved using a closed system with an aeration flow rate of 2 L/h. Under the same conditions, ammonia stripping efficiency reached 69.9 %, alongside with the highest assimilation of nitrogen in the form of protein (61.6 ± 2.6 %). The essential amino acid (EAA) profile of the microalgal biomass produced through direct aeration stripping aligned with literature values and WHO/FAO nutritional guidelines for adult requirements, with particularly high levels of histidine, leucine, and lysine (0.75, 3.14, and 2.85 g EAA/100 g biomass, respectively). These findings highlight the potential of direct aeration N-stripping as an effective strategy for nitrogen recovery from waste streams, enabling its upcycling into valuable microalgal biomass.</t>
  </si>
  <si>
    <t xml:space="preserve">The study focuses on producing protein-rich microalgal biomass with a nutritional amino acid profile meeting WHO/FAO guidelines for human consumption, which falls under biomass fermentation (microalgae as a protein source) for alternative proteins.</t>
  </si>
  <si>
    <t xml:space="preserve">pub.1190533978</t>
  </si>
  <si>
    <t xml:space="preserve">Evaluation of the genotoxic potential and minimisation of antinutrients in edible Xuta (Jatropha curcas L.) kernels</t>
  </si>
  <si>
    <t xml:space="preserve">Plant-based protein sources are increasingly considered as sustainable alternatives to animal-derived proteins. The edible Jatropha curcas L. (Xuta) is a new crop whose seed kernels are rich in high-quality proteins and fat; however, they contain antinutrients such as trypsin inhibitors, phytic acid and lectins. Hydrothermal treatment has been shown to significantly reduce these antinutritional factors, leading to the recent approval of Xuta kernels for human consumption by the European Food Safety Authority (EFSA). Despite this, current scientific information is limited, for example, data on the potential genotoxicity of Xuta kernels. In this study, aqueous extracts from three Xuta cultivars were assessed for mutagenicity using the bacterial reverse mutation assay and genotoxicity using the Comet assay with human hepatocellular carcinoma cells. Additionally, key antinutritional factors such as lectin activity, trypsin inhibitor activity, and phytic acid content were determined. Hydrothermal treatment significantly reduced antinutritional factors, with lectin activity being completely absent. The results show that the Xuta cultivars tested have no mutagenic or genotoxic potential and are suitable for human consumption after hydrothermal treatment. These findings support the introduction of Xuta kernels as an alternative protein source. Future research should focus on technofunctional properties and applications of Xuta proteins.</t>
  </si>
  <si>
    <t xml:space="preserve">The study directly evaluates Jatropha curcas (Xuta) kernels as a plant-based alternative protein source for human consumption, assessing safety and antinutrient reduction to support its use as an animal protein substitute.</t>
  </si>
  <si>
    <t xml:space="preserve">pub.1195827327</t>
  </si>
  <si>
    <t xml:space="preserve">Physicochemical Properties and Bioactive Compounds of Leaf Protein Concentrate from Green Pea and Triticale Mixture: A Comparative Study of Thermal and Non-thermal Processing Techniques</t>
  </si>
  <si>
    <t xml:space="preserve">The study explores the potential of using a mixture of green peas (Pisum sativum) and triticale (Triticosecale Wittmack) to produce high-quality leaf protein concentrate (LPC) and by-products for food and feed applications. The research evaluates the physicochemical profile and bioactive compounds of LPC and brown juice (BJ) derived from these crops, comparing protein extraction techniques, specifically microwave-assisted coagulation (MW) and lactic acid fermentation (LA). Results indicate that triticale LPC yields higher dry matter biomass (2.14–3.73%), while green peas LPC exhibits superior protein content (34.56–50.55%) and phytochemical diversity. The MW technique effectively retains protein and chlorophyll, whereas the LA technique enhances phytochemical bioavailability. Notably, LA-induced depolymerization of high molecular weight phenolic compounds in LPC significantly increases the aglycone concentration, such as quercetin (from 18.98 ± 0.6 µg/g to 351.64 ± 1.68 µg/g) of green pea leaves. The study underscores the synergistic advantages of intercropping, providing a sustainable protein source and supporting circular economy practices through by-product utilization.</t>
  </si>
  <si>
    <t xml:space="preserve">This study investigates leaf protein concentrate production from green pea and triticale, comparing extraction techniques including lactic acid fermentation as a processing method for plant-derived protein, which is relevant to alternative protein ingredient development for food applications.</t>
  </si>
  <si>
    <t xml:space="preserve">pub.1189269751</t>
  </si>
  <si>
    <t xml:space="preserve">The impact of climate claims on meat alternative adoption: The underlying mechanism of taste inferences and anticipated guilt</t>
  </si>
  <si>
    <t xml:space="preserve">The increasing adoption of meat alternatives can significantly contribute to animal welfare, human health, and environmental sustainability by reducing greenhouse-gas emissions from livestock production. While meat alternatives currently represent only a small fraction of the market compared to traditional meat, their growth is accelerating rapidly. Highlighting whether the product is environmentally friendly on packaging may serve as an effective strategy to accelerate its adoption. This research examines the impact of climate claims as a key influence, exploring how they shape taste inferences and anticipated guilt, ultimately driving consumers' willingness to adopt meat alternatives. An experiment employing a one-factor between-subjects design tests the theoretical model with a representative sample of Austrian consumers. Data from this sample (N = 427) were analyzed with MANCOVA and mediation analysis. The data confirm the theoretical reasoning that climate claims stimulate taste inferences and, at the same time, reduce feelings of anticipated guilt. Both variables impact the adoption of meat-alternative products. However, the indirect effect of taste inferences was more substantial than the indirect effect of anticipated guilt. This study is the first to show that taste inferences and anticipated guilt are underlying processes that explain how climate claims for meat alternatives impact their adoption by consumers. The findings contribute to the ongoing debate on the effectiveness of claims and provide theoretically derived explanations of why a climate claim impacts consumer responses positively in the context of a plant-based diet.</t>
  </si>
  <si>
    <t xml:space="preserve">This study examines consumer adoption of meat alternatives through the lens of climate claims, taste inferences, and anticipated guilt, which is cross-cutting consumer acceptance and societal research on alternative proteins broadly.</t>
  </si>
  <si>
    <t xml:space="preserve">pub.1192392184</t>
  </si>
  <si>
    <t xml:space="preserve">Dispersion behaviour of insoluble particles with different surface properties in non-aqueous media – biopolymer based oleogels</t>
  </si>
  <si>
    <t xml:space="preserve">Particles with some degree of hydrophilicity are known to aggregate when directly dispersed in non-aqueous media. Proteins are generally insoluble in oil and have complex surface properties, but they may form networks in oil like more simple colloidal particles, depending on particle size and surface hydrophilicity. Here, the particle size of pea protein isolate (PPI) particles in oil was reduced to submicron sizes by stirred media milling. The rheology of milled PPI oil suspensions was compared to dispersions prepared with two types of colloidal silica particles - hydrophobic and hydrophilic. PPI particles form structured aggregates in oil which break down under shear that, similarly to silica, can form an elastic network like an oleogel system. As PPI size decreased, aggregation increased, shown by higher apparent viscosities and gel strength. PPI particles with an average size of 1 μm exhibited elastic behaviour (G' &gt; G'') at 11.2 wt%. Rheological scaling models obtained two fractal dimensions: a higher intra-floc dimension and a lower network backbone dimension, suggesting that colloidal PPI and silica particles have an inhomogeneous microstructure with denser particle flocs compared to a relatively sparse backbone. For smaller PPI particles the inter- and intra-floc fractal dimensions become like that of hydrophobic silica, suggesting that the average 'surface' character of the PPI may be close to that of the silica. Therefore despite the complexity of the protein surface, parallels can be drawn with simpler colloidal systems. Pre-wetting the particles with ethanol tuned this behaviour, highlighting the role of surface chemistry in gel formation.</t>
  </si>
  <si>
    <t xml:space="preserve">This study investigates the rheological and dispersion behaviour of pea protein isolate (PPI) particles in oil to form oleogel systems, which is relevant to plant-based alternative protein ingredient development and functionality.</t>
  </si>
  <si>
    <t xml:space="preserve">Borderline. Oleogels are used as an alternative to saturated fats, plus it uses pea protein isolate specifically.</t>
  </si>
  <si>
    <t xml:space="preserve">pub.1191786314</t>
  </si>
  <si>
    <t xml:space="preserve">Analyses of phenotypic and genomic based genetic diversity highlight useful trait variation for the improvement of grain and protein yield of pea (Pisum sativum L.) grown in Norway</t>
  </si>
  <si>
    <t xml:space="preserve">Pea (Pisum sativum L.) plays a central role for achieving the goal of increased self-sufficiency of plant-based protein for food and feed in Norway. This study characterized 36 pea genotypes of mainly Nordic and eastern European origin grown in a multi-environment field trial in Norway for various agronomic traits including grain and protein yield. The same accessions were also genotyped with a single nucleotide polymorphism (SNP) chip array to investigate the genetic diversity both at the phenotypic and genomic levels. Variance component (VC) analyses found that genotype (G) and genotype by year by location (G × Y × L) interaction VC were the main sources of variation for all the considered traits, with G × Y × L being strongly affected by the different climatic conditions which characterized the two test years. A further dissection of the genotype by environment interactions (GEI) through Additive Main effects and Multiplicative Interaction (AMMI), highlighted pea cultivars which outperformed the reference Norwegian variety Ingrid both in term of yield, protein content and protein yield. Measurements of genetic distance based on phenotypic and genomic data were significantly correlated and distinguished the material in three main clusters which were partially associated with their geographic origin. Overall, this work identified pea genotypes which can be successfully grown in Norway and used as source of genetic diversity for future breeding efforts targeting the Norwegian environment.</t>
  </si>
  <si>
    <t xml:space="preserve">This study focuses on agronomic improvement of pea (Pisum sativum L.) specifically for grain and protein yield as a plant-based protein source for food, making it in scope as agronomic research on a high-protein crop used as an alternative protein feedstock.</t>
  </si>
  <si>
    <t xml:space="preserve">pub.1185641129</t>
  </si>
  <si>
    <t xml:space="preserve">The Impact of Trust on Chinese Consumers’ Acceptance of Meat Substitutes: The Mediating Role of Perceived Benefits and Perceived Risks, and the Moderating Role of Consumer Knowledge</t>
  </si>
  <si>
    <t xml:space="preserve">In recent years, meat substitutes have become a prominent global topic in academic research. As one of the world's most populous countries, China may increasingly consider meat substitutes as a new dietary option to meet the growing consumer demand. The potential acceptance of meat substitutes by consumers is a critical foundation for the industry's development, as it directly influences it's success. Moreover, consumer trust in meat substitutes plays a pivotal role in shaping this potential acceptance. Consequently, this study aims to analyze the impact of consumer trust on potential acceptance. Additionally, it incorporates the mediating roles of perceived benefits and perceived risks, as well as the moderating effect of consumer knowledge. A questionnaire survey was administered to 2647 Chinese consumers and a moderated dual-mediation model, based on the Bootstrap method, was employed to investigate the effects of consumer trust on the potential acceptance of meat substitutes. The study subsequently validated the mediating roles of perceived benefits and perceived risks, along with the moderating role of consumer knowledge. The findings indicate that consumer trust positively influences the potential acceptance of meat substitutes. Furthermore, consumer trust enhances perceived benefits while simultaneously reducing perceived risks. It affects consumer acceptance both directly and indirectly, through the mediating variables of perceived benefits and perceived risks. Consumer knowledge moderates the relationships between consumer trust, perceived benefits, and perceived risks, but does not significantly moderate the relationship between consumer trust and consumer acceptance.</t>
  </si>
  <si>
    <t xml:space="preserve">This study explicitly examines consumer acceptance of meat substitutes (alternative proteins) among Chinese consumers, covering consumer behaviour, trust, perceived benefits/risks, and knowledge — classic cross-cutting societal/consumer research on alternative proteins.</t>
  </si>
  <si>
    <t xml:space="preserve">pub.1194587671</t>
  </si>
  <si>
    <t xml:space="preserve">Alive and dead earthworms capture carbon during mineral weathering through different pathways</t>
  </si>
  <si>
    <t xml:space="preserve">Enhanced rock weathering aims at capturing atmospheric carbon dioxide as inorganic carbon, while potentially stabilizing soil organic carbon. However, the role of soil biota in this process remains underexplored. Earthworms, being key soil engineers, may impact carbon dynamics both when alive, through mineral ingestion and casting activities, and when dead, through microbial processes. Using stable isotope tracing, we investigate how live and dead earthworms affect carbon dynamics during rock weathering. We demonstrate that both living and dead earthworms contributed to carbon capture, albeit through distinct pathways. Live earthworms enhanced the formation of organo-mineral associations via their dejections over time, promoting organic carbon persistence. Dead earthworms boosted microbial abundance and activity, enhancing organo-mineral associations and atmospheric-derived inorganic carbon capture between 60 and 120 days. We show that earthworms influence carbon cycling beyond their lifespan, with contrasting physico-chemical and biological pathways driving carbon capture through rock weathering throughout their life cycle.</t>
  </si>
  <si>
    <t xml:space="preserve">This publication concerns soil science and carbon cycling via earthworms and rock weathering, with no relevance to alternative proteins or food systems.</t>
  </si>
  <si>
    <t xml:space="preserve">pub.1192698106</t>
  </si>
  <si>
    <t xml:space="preserve">P04-11 Metabolic alterations in human post-mortem frontal cortex and cerebrospinal fluid associated with high levels of nicotine metabolite cotinine</t>
  </si>
  <si>
    <t xml:space="preserve">Cigarette smoking is the single most significant cause of preventable death in the world. Tobacco smoking causes exposure to thousands of chemicals and disrupts biological pathways. It impacts several organs, including the brain, where its effects are mediated by nicotinic acetylcholine receptors. Women seem to be more susceptible to the negative health effects of smoking. In this study we focused on the changes in the metabolic profile of human postmortem frontal cortex and cerebrospinal fluid samples associated with high levels of the nicotine metabolite cotinine. We used non-targeted metabolomics to analyze post-mortem frontal cortex and cerebrospinal fluid (CSF) samples from the Tampere Sudden Death Study cohort. We identified 137 cases (24 females) with high cotinine levels, indicating nicotine exposure. For controls, we identified 82 subjects (20 females) with no cotinine in the frontal cortex or CSF samples and no known history of smoking based on medical records and autopsy reports. Cases had significantly higher levels of 1-methylhistamine (Cohen's d=0.66, p&lt;0.0001) and N-acetylputrescine (d=0.84, p&lt;0.0001), and lower levels of aspartic acid (d=-0.53, p&lt;0.001), 3-methylhistidine (d=-0.58, p=0.0004), and taurine (d=-0.47, p=0.0002) in the frontal cortex compared to controls. Compared to the frontal cortex, differences between cases and controls were smaller in the CSF samples. Most of the observed differences were similar in both sexes, with a few exceptions like low ergothioneine levels, observed especially in female cases. In conclusion, smoking or nicotine exposure is associated with alterations in metabolites linked to increased oxidative stress and neuroinflammation, as well as reduced neurotransmitter levels in the frontal cortex.</t>
  </si>
  <si>
    <t xml:space="preserve">This publication concerns the metabolic effects of nicotine/smoking on the human brain and has no relevance to alternative proteins or food systems.</t>
  </si>
  <si>
    <t xml:space="preserve">pub.1195262622</t>
  </si>
  <si>
    <t xml:space="preserve">Starch‐Based Scaffolds for Cultivated Meat Production: Challenges and Perspectives</t>
  </si>
  <si>
    <t xml:space="preserve">The advancement of cultured meat depends on the development of structures that combine biological compatibility, edibility, sensory acceptance, and large-scale feasibility. In this context, starch emerges as an abundant, low-cost, and food-grade biopolymer, uniquely positioned for applications in food systems. Although widely studied in biomedical contexts, its specific role in cultured meat remains underexplored, despite advantages such as regulatory acceptance, consumer familiarity, and global availability. Unlike reviews focused on biomaterials for medical applications, this work centers on starch-based structures applied to food biofabrication, considering not only the physicochemical, rheological, and structural aspects of native and modified forms, but also their performance in relation to requirements specific to the food industry. The main commercial starch sources, corn, cassava, potato, wheat, and rice, are discussed according to their relevance in global production and the availability of experimental data. The review further emphasizes processing routes such as extrusion, freeze-drying, and 3D bioprinting, highlighting how these methods define the architecture, mechanical properties, and biofunctionality of starch matrices. The analysis balances benefits, including cost-effectiveness, safety, and edibility, with limitations, particularly the low capacity of starch alone to promote cell adhesion. Moreover, it distinguishes results obtained from strictly biomedical studies from those that effectively contribute to food-grade applications. Finally, industrial perspectives are discussed, including scalability, bioreactor integration, and technoeconomic aspects, positioning starch not merely as an alternative but as a strategic foundation for the design of edible scaffolds in the emerging field of food biofabrication.</t>
  </si>
  <si>
    <t xml:space="preserve">This review explicitly focuses on starch-based scaffolds for cultivated meat production, covering edible scaffold design, bioprocessing, and technoeconomic aspects directly relevant to cultivated meat development.</t>
  </si>
  <si>
    <t xml:space="preserve">pub.1186769868</t>
  </si>
  <si>
    <t xml:space="preserve">Insight into the chemical and nutritional fat profile of Tenebrio molitor larvae reared on different Agri-food by-products</t>
  </si>
  <si>
    <t xml:space="preserve">Insects are capable of feeding with a variety of substrates, being possible obtaining products rich in protein using by-products from agri-food industry. Hence, the aim of this work was evaluating the effect of different diets based on three agri-food industry by-products of Tenebrio molitor larvae's total fat contents and fatty acid profiles. Stabilized Alperujo (ALP), Pleorotus ostreatus spent substrate (POS) and olive leaf flour (OLF) were used mixed with wheat bran, control diet, at different percentages (20-100 %). All substrates studied modified the parameter analysed respect to the control diet. OLF subtract led to the greatest effects on the total fat content at percentage higher than 40 %. Respect to fatty acid profile, the most relevant changes were the increases of total MUFA content in samples from all T. molitor larvae fed with ALP and in most of those fed with POS, due to the specific increases of oleic acid content. On the contrary, total PUFA content decreased in most cases except for OLF substrate when the addition percentages were lower than 100 %. Moreover, OLF substrate enhanced the presence of ω-3. Finally, according to European regulations on nutritional claims, this fat fraction could be labelled as "source of ω-3", "high in monounsaturated fat" and "high in unsaturated fats". We can therefore conclude that feeding T. molitor with these agri-food by-products, especially from olive oil industry, enhanced the fatty acids profile of their fat fraction.</t>
  </si>
  <si>
    <t xml:space="preserve">This publication concerns insect-based protein (Tenebrio molitor larvae), which is explicitly listed as a topic that does not count as alternative proteins.</t>
  </si>
  <si>
    <t xml:space="preserve">pub.1185128981</t>
  </si>
  <si>
    <t xml:space="preserve">“Planting” meat substitutes in the meat shelf: An online and two supermarket field experiments to explore the effect of placing meat substitutes next to meat</t>
  </si>
  <si>
    <t xml:space="preserve">Positioning of retail assortments is a powerful way to create a choice architecture that facilitates consumers’ sustainable product choices, for example the shift from animal-derived to plant-based proteins which benefits both planetary and public health. From the perspective of categorisation theory, we investigate whether changing choice architecture, specifically positioning meat substitutes in the meat shelf, increases purchases of meat substitutes and decreases meat sales, in two field experiments in two large supermarket chains in The Netherlands and a lab experiment. In field Study 1a, we positioned all meat substitutes in the meat shelf, which backfired and led to a decrease in meat substitute sales. In lab Study 1b, we explored the effect of merging meat substitutes into the meat shelf which shifted meat substitutes towards the meat category in the mind of consumers. In field Study 2, we placed a selection of meat substitutes in the meat shelf, while maintaining a separate vegetarian shelf. Positioning a selection of meat substitutes in the meat shelf led to an increase in meat substitute sales over the long term, especially amongst meat-eaters and flexitarians. However, meat sales did not decrease in both field studies. Maintaining a separate vegetarian shelf is important to keep serving meat reducers (i.e., vegans, vegetarians, and flexitarians). Altering choice architecture in the supermarket is an effective tool in enhancing sales of meat substitutes and sustainable alternatives in general.</t>
  </si>
  <si>
    <t xml:space="preserve">This study directly investigates consumer purchasing behaviour of plant-based meat substitutes through retail placement experiments, which is clearly in scope as consumer acceptance and market research on alternative proteins.</t>
  </si>
  <si>
    <t xml:space="preserve">pub.1186340458</t>
  </si>
  <si>
    <t xml:space="preserve">A general viscosity model for high moisture extrudates of pea protein isolates/gluten blend</t>
  </si>
  <si>
    <t xml:space="preserve">A capillary pre-shearing rheometer, Rheoplast®, allowing for simulation of an extrusion process, was used to determine the viscosity of 60/40 pea protein isolate/gluten blends previously extruded at different temperatures (130 °C, 140 °C, 150 °C) and moisture contents (50%, 55%, 60% w/w). Electronic microscopy and mechanical testing showed that the materials displayed distinct anisotropic and fibrous structures. Pressure profiles were determined over an apparent shear rate range of 10–104 s−1, using capillary dies with length/diameter (L/D) ratios 8, 16, and 32 (D = 1 mm). For all materials, the pressure profiles are regular, suggesting the absence of wall slip. All flow curves could be fitted with the Ostwald–de Waele model. The values of consistency index (K), ranging from 480 to 5000 Pa.sn, and those of the flow index (n), from 0.25 to 0.7, were inversely correlated, reflecting the effect of material structuring. Furthermore, the time-temperature superposition principle was extended to account for the influence of water content by introducing the glass transition temperature (Tg) of the protein mixture with curve shift factors depending linearly on Tg/T. All results can then be fitted using a Carreau model, describing the viscous behavior within the range [1, 105 s−1] with plateau viscosity (η0) values varying between 240 and 1050 Pa.s. Finally, by extrapolating Bagley plots to L/D = 0, entry pressure was derived, and, consequently, apparent elongational viscosity was determined, leading to Trouton number values around 100. Results are interpreted by structural differences and the viscosity model can be used for computer simulation of flow in the die.</t>
  </si>
  <si>
    <t xml:space="preserve">This study directly investigates the rheological properties of pea protein isolate/gluten blends during high moisture extrusion, a key processing method for plant-based meat analogues.</t>
  </si>
  <si>
    <t xml:space="preserve">pub.1192751374</t>
  </si>
  <si>
    <t xml:space="preserve">Processing a maize germ side stream: de-oiling as key to dry fractionation and foam stability</t>
  </si>
  <si>
    <t xml:space="preserve">Maize grain processing usually starts with degerming to lower its oil content. The created maize germ-enriched fraction (MGF) represents up to 15 % of the kernel mass. Oil recovered from the MGF is valuable, but the non-oil fraction is underutilized. We separated MGF (14 % protein, 40 % starch, 18 % oil; db) into enriched fractions via dry processing, and reflect on the energy efficiency in combination with additional aqueous extraction. Dry fractionation requires mechanical pressing and oil extraction with hexane or food-safe 2-methyltetrahydrofuran, which yields cakes having residual oil contents of 0.4 w/dw% or 3.1 w/dw%, respectively. Both cakes could be milled, and air classification enriched protein in the fine fraction from 19 % to 27 % by deflecting larger starch granules. The protein yield relative to MGF was 15 %, mainly due to milling losses. CLSM revealed the protein to be in a fibrous matrix, hence it was not enriched further by electrostatic separation. Due to the moderate protein contents and yields, aqueous protein extraction was more energy efficient from de-oiled flour than from fine fractions. Extracts from hexane-processed fractions foamed better than whey protein at 0.5 mg protein/mL. Processing with 2-methyltetrahydrofuran did not enable stable foaming, which requires optimization towards lower residual oil contents.</t>
  </si>
  <si>
    <t xml:space="preserve">This publication concerns the extraction and fractionation of maize germ protein for use as a functional food ingredient, including comparison with whey protein for foam stability, which is relevant to plant-based protein ingredient development as an alternative to animal-derived proteins.</t>
  </si>
  <si>
    <t xml:space="preserve">pub.1194329838</t>
  </si>
  <si>
    <t xml:space="preserve">Carbohydrate usage and protein density in meat products and meat analogues: A survey of the Belgian market</t>
  </si>
  <si>
    <t xml:space="preserve">Meat products are valued for their high-quality protein content, yet their carbohydrate composition is often overlooked compared to fat and salt. This study, using online product information, revealed that carbohydrate ingredients were present in 87 % of meat products and 93 % of meat analogues on the Belgian market, with substantial variation in the usage across product categories. Meat products were categorized following adapted FAO guidelines. Cured-raw products exhibited the lowest carbohydrate content and diversity, the highest protein content (99 % qualifying as “High protein” under EU regulation), but also the highest salt content and price. In contrast, only 53 % of coated-preheated and 45 % of precooked-cooked meat products qualified as “High protein”, with carbohydrate content reaching up to 39 %. Although meat products are generally considered low in sugars, 6–8 % of specific categories exceeded the threshold for a “low sugar” claim, in some cases reaching 18 g sugar/100 g product. Compared to meat products, meat analogues were higher in carbohydrates, lower in protein with less products qualifying as “High protein”, and more expensive. Carbohydrate and protein levels were negatively correlated across meat products and analogues, indicating protein dilution with carbohydrate usage. Added carbohydrates may also affect protein quality through Maillard reaction and oxidation.</t>
  </si>
  <si>
    <t xml:space="preserve">The study explicitly surveys meat analogues on the Belgian market, comparing their carbohydrate and protein composition to conventional meat products, which is directly relevant to plant-based alternative protein development and characterisation.</t>
  </si>
  <si>
    <t xml:space="preserve">Wrong label. Edit cross-cutting definition to include general meat analogues.</t>
  </si>
  <si>
    <t xml:space="preserve">pub.1195057190</t>
  </si>
  <si>
    <t xml:space="preserve">Nudging Healthier and More Sustainable Eating Habits in University Cafeterias: The FOOD-HACK Project</t>
  </si>
  <si>
    <t xml:space="preserve">Background/Objectives: The global syndemic of obesity, undernutrition, and climate change highlight the complex health and environmental challenges faced by young adults. These challenges may intensify during the transition to university. As a matter of fact, limited budgets, time constraints, and insufficient culinary skills often lead to unbalanced diets and increased risk of obesity. University cafeterias, serving large numbers of students, represent an ideal setting to promote healthier and more sustainable eating behaviors. The FOOD-HACK Project aimed to design and implement a cafeteria-based intervention using nudging strategies to promote healthier and more sustainable lunch choices among university students. Methods: This pilot study employed a pre-post design with two independent phases in the Polo Cravino cafeteria at the University of Pavia. Food consumption was assessed over 12 non-consecutive days across four weeks. During the intervention, three nudging strategies were implemented: (1) choice architecture, (2) salient labeling, highlighting healthy and sustainable options, and (3) educational prompts. Results: Across both phases, 2400 tray photographs were collected. Post-intervention, the proportion of trays aligned with the Harvard Healthy Eating Plate and EAT-Lancet Planetary Diet models increased, reflecting higher consumption of vegetables and fruit. Legume-based first courses increased; however, legumes did not substantially replace animal proteins as the main protein source, and meat remained predominant in second courses. Reductions in trays containing multiple carbohydrate sources were also observed. Conclusions: The nudging intervention improved overall meal quality, demonstrating that subtle environmental modifications can guide students toward healthier dietary choices, particularly by increasing fruit and vegetable intake. However, the persistent preference for animal proteins highlights the challenge of shifting protein consumption toward more sustainable sources. These findings suggest that nudging can be an effective tool to promote healthier and more balanced eating behaviors in university settings, though complementary strategies may be needed to foster substantial changes in protein choices.</t>
  </si>
  <si>
    <t xml:space="preserve">This study focuses on nudging interventions to promote healthier eating in university cafeterias and does not specifically research alternative proteins — while it mentions legumes and sustainable protein sources, it does not study alternative protein ingredients, products, or production methods, and alternative proteins are not meaningfully discussed as a named focus.</t>
  </si>
  <si>
    <t xml:space="preserve">pub.1195227492</t>
  </si>
  <si>
    <t xml:space="preserve">Germination time shapes digestibility, functionality, and structure of lupin–corn extrudates</t>
  </si>
  <si>
    <t xml:space="preserve">This study evaluated the impact of germination (3, 5, and 7 days) of lupin (Lupinus angustifolius L.) flour on the nutritional quality and antidiabetic potential of corn starch-based extruded formulations. Germination enhanced protein content (15.23 % in 7-day germinated flour vs. 13.64 % in control) and maintained essential amino acid adequacy. Microscopy revealed structural changes related to improved digestibility and bioactivity. Germinated samples, particularly GLE5 and GLE7, promoted the release of peptides &lt;10 kDa and increased bioaccessibility of peptides &lt;0.2 kDa after simulated intestinal digestion. GLE5 exhibited the lowest starch hydrolysis (12.66) and glycaemic indices (46.66), classifying it as a medium-glycaemic food. Although α-amylase inhibition was comparable among samples (IC50: 26.54-29.96 mg/mL), DPP-IV inhibitory activity improved with germinated flour (IC50: 8.35-8.51 mg/mL). Seven digestion-resistant peptides showed high predicted DPP-IV inhibition. These findings support the use of germinated lupin flour in the formulation of functional extruded foods with enhanced nutritional and antidiabetic properties.</t>
  </si>
  <si>
    <t xml:space="preserve">While lupin is a high-protein crop used in alternative protein research, this study focuses on antidiabetic bioactive peptides and glycaemic index of extruded corn-lupin snacks, which is a medical nutrition/nutraceutical application rather than substitution of animal-derived foods.</t>
  </si>
  <si>
    <t xml:space="preserve">pub.1185997380</t>
  </si>
  <si>
    <t xml:space="preserve">Does label information reflect product properties? A Swiss case study of plant-based milk alternatives</t>
  </si>
  <si>
    <t xml:space="preserve">Front-of-pack labels are recognised as an important tool in guiding consumers towards healthier product choices. However, an overwhelming variety of labels can also lead to misleading label information. This is particularly the case for newer product categories, such as plant-based milk alternatives, where strict marketing regulations are lacking. To improve the consumer friendliness of front-of-pack labels, more in-depth label information is needed. The first aim of this study was therefore to investigate the number and types of front-of-pack labels for plant-based milk alternatives in the Swiss market. Second, we aimed to better understand whether label information reflects product properties. Therefore, we investigated the congruence between the label information of a product and its nutritional, compositional, and price properties. To this end, we conducted a comprehensive online market inventory to collect information from product packaging. For all products, the Nutri-Score for plant-based milk alternatives was calculated using the Rayner-Score method. Principal component analysis was used to analyse correlations between label information and product properties (i.e. nutrition, composition, price). A total of 327 labels were identified among the 66 plant-based milk alternatives, reflecting a high degree of heterogeneity. Nutrition labels (34 %) (i.e. ’kcal per 100 ml’, ‘no added sugar’, or ‘Nutri-Score’) and diet labels (29 %) (i.e. ‘vegan’ or ‘plant-based’) were used more often than sustainability labels (11 %) (i.e. ‘organic’, ‘climate footprint’, or ‘fairtrade’). Moreover, we found that products with ‘Nutri-Score’ or ‘climate footprint’ labels were more expensive. We conclude that ‘high protein’, ‘low fat’, and ‘low price’ labels reflect the nutritional value or price of the product. However, the ‘no added sugar’ label could potentially mislead consumers, as products with this label had a similar sugar content to products without this label. We also found that the lower the nutritional quality of a product, the less often the Nutri-Score was illustrated on the products. This study identified strategies that could improve the consumer friendliness of labels for plant-based milk alternatives. This might contribute to stricter labelling policies and more effective labelling in the future.</t>
  </si>
  <si>
    <t xml:space="preserve">This study directly investigates plant-based milk alternatives in the Swiss market, examining label information, nutritional properties, and consumer guidance, which is clearly in scope as research on consumer acceptance and characterisation of plant-based dairy alternatives.</t>
  </si>
  <si>
    <t xml:space="preserve">pub.1190905692</t>
  </si>
  <si>
    <t xml:space="preserve">A global comprehensive review on cultured seafood</t>
  </si>
  <si>
    <t xml:space="preserve">A comprehensive review of the current state of research on cultured seafood, which identified 40 articles, focuses on six aspects: technology, public health, consumer acceptance, economic viability, environmental impact, and legislation. Findings suggest that this industry is less mature than the cultured meat counterpart, although there is growing interest by private and public stakeholders. More research is needed to explore the complex interplay of these six domains.</t>
  </si>
  <si>
    <t xml:space="preserve">This review explicitly covers cultivated seafood across technology, consumer acceptance, environmental impact, and other dimensions, which is directly in scope for cultivated meat/seafood research.</t>
  </si>
  <si>
    <t xml:space="preserve">pub.1190175304</t>
  </si>
  <si>
    <t xml:space="preserve">A Comprehensive Study on Osmotic Dehydration and Edible Coatings with Bioactive Compounds for Improving the Storage Stability of Fresh Berries</t>
  </si>
  <si>
    <t xml:space="preserve">Berries are highly perishable due to their high water content, making them prone to rapid deterioration and spoilage. This study investigates the effects of osmotic dehydration and edible coatings, with and without bioactive compounds, on various quality attributes of blueberries, raspberries, and strawberries during storage. The berries were pretreated using osmotic dehydration with apple juice, followed by the application of edible coatings from Chlorella vulgaris protein, with or without the addition of aqueous rosemary extract as a source of bioactive compounds. The results indicated that the combination of the two methods significantly reduced weight loss in all berry types, with the incorporation of bioactive compounds further enhancing moisture retention up to approximately 3% for blueberries and raspberries and 5% for strawberries. Total phenolic content and antioxidant activity exhibited significantly increased stability in coated samples, with bioactive coatings contributing to improved antioxidant properties. The HPLC analysis proved that the bioactive profile was preserved after the treatments. Microbial analysis demonstrated that edible coatings, particularly those enriched with bioactive compounds, effectively inhibited microbial growth (TC approximately 4.5 log(CFU/g) with limit = 5 log(CFU/g) and YM approximately 3.5 log(CFU/g) with limit 4 log(CFU/g)), thereby extending the shelf life of the berries. These findings suggest that the synergistic application of osmotic dehydration and edible coatings, especially those containing bioactive compounds, significantly enhances the quality, shelf life, and potential health benefits of fresh berries during storage.</t>
  </si>
  <si>
    <t xml:space="preserve">While Chlorella vulgaris protein is used as an edible coating ingredient, the research focus is on berry preservation and shelf-life extension rather than on alternative protein development or substitution of animal-derived products.</t>
  </si>
  <si>
    <t xml:space="preserve">pub.1190672497</t>
  </si>
  <si>
    <t xml:space="preserve">Consumer Insights Tracker End of Year Report (Insights From April 2024 to March 2025)</t>
  </si>
  <si>
    <t xml:space="preserve">This report presents the findings from the Consumer Insights Tracker which is an online monthly tracking survey commissioned by the Food Standards Agency (FSA). The survey monitors the behaviour and attitudes of consumers aged 16+ in England, Wales and Northern Ireland in relation to food. This report presents an overview of key findings from April 2024 to March 2025. Where appropriate, longer-term trends over the full tracking period (from July 2023) are presented. Food prices remained the top prompted concern for respondents throughout the year, ranging from 86% - 88% reporting concern each month. Although worries about household food affordability declined slightly, one in five (21%) respondents reported worry about this in March 2025. The proportion reporting certain money-saving shopping behaviours such as choosing cheaper brands and buying discounted items also declined over the year. The proportion saying they had engaged in potentially risky food safety behaviours to reduce energy costs varied slightly (21% - 28%), with a peak in December 2024 (28%). Worries about food availability remained relatively stable (19% - 24%), as did overall confidence in the food supply chain (58% - 63%). Among those with some knowledge of the FSA and what it does, trust in the FSA fluctuated (56% - 65%), peaking at 65% in July 2024. Awareness of novel foods and food production techniques varied, with around seven in ten saying they had heard of lab-grown meat (72%), but only around half saying they had heard of cell-cultivated products and cell-cultivated meat (both 52%).</t>
  </si>
  <si>
    <t xml:space="preserve">The report includes consumer awareness and attitudes toward lab-grown/cell-cultivated meat as part of a broader food consumer tracking survey, making it in scope for cultivated meat and cross-cutting alternative protein consumer acceptance research.</t>
  </si>
  <si>
    <t xml:space="preserve">Borderline label. I think either is fine.</t>
  </si>
  <si>
    <t xml:space="preserve">pub.1190127308</t>
  </si>
  <si>
    <t xml:space="preserve">Digestion, Metabolism, and Health Effects of Plant Proteins and Their Food Formulations: A Systematic Scoping Review of Clinical Postprandial Studies and in vitro Methods</t>
  </si>
  <si>
    <t xml:space="preserve">Plant proteins are gaining attention as sustainable alternatives to animal proteins, but their bioaccessibility, bioavailability, and health effects remain underexplored. This review summarizes current knowledge on the digestion, metabolism, and health impacts of plant proteins, emphasizing clinical postprandial studies and in vitro methods. A systematic scoping review was conducted following PRISMA-ScR guidelines, identifying 98 relevant articles published between 2000 and 2023. Clinical studies showed that amino acid absorption and the increase in blood amino acid concentrations were slower after plant protein-based meals compared with animal-based meals. Plant proteins also tended to reduce glucose responses, especially when combined with fiber, and elicited varied gastrointestinal hormone responses. In vitro studies highlighted that protein digestibility is significantly influenced by the food matrix and processing methods. Both clinical and in vitro approaches offer complementary insights into plant protein metabolism. Strategies such as fermentation and heat treatment can enhance digestibility, supporting their role as viable, sustainable protein sources for adults. However, the role of gut microbiota in digestion and health outcomes remains largely overlooked. Additionally, more research is needed to understand the digestion of plant proteins in vulnerable populations, such as older adults.</t>
  </si>
  <si>
    <t xml:space="preserve">This systematic review explicitly focuses on plant proteins as sustainable alternatives to animal proteins, covering their digestion, metabolism, bioavailability, and health effects in clinical and in vitro studies, which directly advances understanding of plant-based alternative protein ingredients.</t>
  </si>
  <si>
    <t xml:space="preserve">pub.1195929610</t>
  </si>
  <si>
    <t xml:space="preserve">Animal‐Based Brands Taking the Plant‐Based Opportunity: A Tasting Experiment Exploring Consumer Acceptance of Plant‐Based Brand Extensions</t>
  </si>
  <si>
    <t xml:space="preserve">ABSTRACT This study investigates how consumer taste and brand equity perceptions shape the acceptance of plant‐based milk products. Using a blind/informed tasting experiment, we evaluated consumers' willingness to buy (WTB) and taste perception of a plant‐based milk alternative produced by a traditional dairy brand, compared with competing plant‐based brands. Specifically, we examined (i) the effect of taste and brand equity on WTB and (ii) whether taste mediates the effect of brand equity on WTB. The results show that the dairy brand was positively related to WTB both directly and indirectly, by enhancing taste perception, particularly for sensory attributes such as a milky, and creamy and sweet profile. In contrast, plant‐based brands were less effective in evoking similar dairy‐like sensory associations. These findings highlight the potential advantage for dairy brands of replicating the sensory experience of their conventional products in plant‐based alternatives.</t>
  </si>
  <si>
    <t xml:space="preserve">This study directly investigates consumer acceptance and willingness to buy plant-based milk alternatives, examining brand equity and taste perception, which falls squarely within consumer acceptance research for plant-based alternative proteins.</t>
  </si>
  <si>
    <t xml:space="preserve">pub.1185531721</t>
  </si>
  <si>
    <t xml:space="preserve">Influence of different processing techniques on microalgal protein extraction</t>
  </si>
  <si>
    <t xml:space="preserve">The nutrient-rich composition of microalgae biomass positions it as a highly promising natural food ingredient. This holds the potential to not only enhance the nutritional value of various food products but also simultaneously alter their structural attributes. This work investigated the effect of five protein extraction techniques such as freeze-thawing, enzymatic-assisted extraction, high-pressure homogenization, ultrasounds-assisted extraction, and pH adjustment (pH 7, pH 10, and pH 13) in protein yield, and subsequente cell and protein structure of three microalgal suspensions, namely, Chlorella vulgaris, Nannochloropsis oceanica, and Tetraselmis chui. In Chlorella vulgaris, freeze- thawing and high-pressure homogenization exhibited a higher effect in terms of protein yield (~26.60 g protein /100 g protein microalgae). The same occurred for Nannochloropsis oceanica with also ultrasounds-assisted extractions and pH 7 and 10 having a protein yield above 30 %. Tetraselmis chui was similar to Chlorella vulgaris (&gt;20.00 g protein /100 g protein microalgae) for freeze-thawing, high-pressure homogenization and ultrasound-assisted extraction. Enzymatic-assisted had a the lower protein yield for all the three microalgae (&lt;10.00 g protein /100 g protein microalgae). The majority of proteins extracted from Chlorella vulgaris samples had molecular weights exceeding 337 kDa, whereas proteins extracted from Nannochloropsis and Tetraselmis had molecular weights ranging from 5 to 50 kDa. α-helices occurred in proteins extracted from Chlorella vulgaris through freeze-thawing and enzymatic-assisted extraction, while Nannochloropsis and Tetraselmis only had β-sheet. In conclusion, for optimal protein yield recovery, methodologies such as freeze-thawing and high-pressure homogenization are the most efficient across all studied microalgae. The method selected for extraction had a greater impact on both the protein yield and structure for spray-dried cells.</t>
  </si>
  <si>
    <t xml:space="preserve">This study investigates protein extraction techniques from microalgae biomass (Chlorella vulgaris, Nannochloropsis oceanica, Tetraselmis chui) as food ingredients, which falls under fermentation/biomass fermentation category for alternative proteins.</t>
  </si>
  <si>
    <t xml:space="preserve">pub.1188885304</t>
  </si>
  <si>
    <t xml:space="preserve">Stronger together: harnessing natural algal communities as potential probiotics for inhibition of aquaculture pathogens</t>
  </si>
  <si>
    <t xml:space="preserve">Intensive fish rearing in aquaculture is challenged by infectious diseases, and although vaccines have been successfully developed for mature fish, alternative disease control measures are needed for fish larvae and juveniles. Probiotics offer a promising alternative to antibiotics, with the potential to reduce the risk of antibiotic resistance. Probiotics are typically isolated and used as pure cultures; however, in natural environments, it is the concerted effort of the complex microbiome that keeps pathogens at bay. Here, we developed an in vitro assay to evaluate the anti-pathogen efficacy of mixed algal microbiomes from the live feed microalgae Tetraselmis suecica and Isochrysis galbana. The inhibition of a green fluorescent protein (GFP)-tagged Vibrio anguillarum, a key fish pathogen, by microbial communities was measured and quantified as reduction in fluorescence. The Isochrysis galbana microbiome was more inhibitory to V. anguillarum than the Tetraselmis suecica microbiome. During co-culture with the pathogen, the bacterial density of the Isochrysis microbiomes increased, while the diversity was reduced as determined by metataxonomic analyses. Bacteria isolated from the fully inhibitory microbiomes were members of Alteromonadaceae, Halomonadaceae, Rhodobacteraceae, Vibrionaceae, Flavobacteriaceae, and Erythrobacteraceae. Although some strains individually inhibited the pathogen, these were not the key members of the microbiome, and enhanced inhibition was observed when Sulfitobacter pontiacus D3 and Vreelandella alkaliphila D2 were co-cultured, even though neither was inhibitory as monocultures. Thus, this study demonstrates that microbial communities derived from natural algal microbiomes can have anti-pathogen effects, and that bacterial co-cultures may offer synergistic advantages over monocultures as probiotics, highlighting their promise for aquaculture health strategies.IMPORTANCEAquaculture is the fastest-growing food protein-producing sector, and sustainable disease control measures are required. Probiotics have gained interest as a promising solution for combating fish pathogens, and using mixtures of microorganisms rather than pure cultures may represent a more stable pathogen control. We developed an assay using green fluorescent protein (GFP) tagging of a fish pathogen, enabling the quantitative assessment of the anti-pathogen effects of complex microbiomes. We show that the efficiency of pathogen suppression can be increased with co-cultures compared to monocultures, thus emphasizing the potential in using mixtures of bacteria as probiotics.</t>
  </si>
  <si>
    <t xml:space="preserve">This study concerns probiotics for aquaculture disease control in fish larvae and juveniles, which is an aquafeed/animal health application, not an alternative protein for human food.</t>
  </si>
  <si>
    <t xml:space="preserve">pub.1192380853</t>
  </si>
  <si>
    <t xml:space="preserve">Low–intensity pulsed electromagnetic field stimulation enhances fusion in bovine myoblasts and improves tensile properties of engineered skeletal muscle tissue</t>
  </si>
  <si>
    <t xml:space="preserve">Pulsed electromagnetic field (PEMF) stimulation has been widely investigated in musculoskeletal applications. This study investigates its application to promote bovine myoblast differentiation and maturation for cultured meat production, aiming to generate muscle constructs that better resemble conventional meat. PEMF stimulation duration and the effect of intermittent recovery were evaluated in terms of metabolic activity, differentiation markers, and structural characteristics in both 2D myoblast cultures and 3D bio-artificial muscle constructs. The best results were obtained with daily intermittent PEMF stimulation consisting of 90s stimulations separated by 30s breaks for 2h per day. This intermittent protocol increased the metabolic activity of myotubes, particularly those derived from low-fusion donors. Additionally, an increase in myoblast fusion capacity was observed under this condition. When applied to bio-artificial muscle constructs, both intermittent and 2h continuous PEMF stimulation enhanced metabolic activity, multinucleation, and striation, while maintaining similar fusion capacities to non-stimulated muscle constructs. Furthermore, PEMF-stimulated constructs exhibited significant enhancements in mechanical properties, with stiffness increasing ∼2-fold and ultimate tensile strength rising by ∼1.7-fold, approaching values observed in native adult muscle tissue. Concurrently, continuous stimulation led to an increase in myotube diameter. These findings suggest that low-intensity PEMF stimulation is a promising tool for muscle tissue engineering. For cultured meat applications, PEMF stimulation could improve the texture and structure of muscle constructs, thereby enhancing consumer acceptance of structured meat products.</t>
  </si>
  <si>
    <t xml:space="preserve">This study explicitly investigates PEMF stimulation for bovine myoblast differentiation and maturation in the context of cultured meat production, directly advancing bioprocessing methods for cultivated meat.</t>
  </si>
  <si>
    <t xml:space="preserve">pub.1190543844</t>
  </si>
  <si>
    <t xml:space="preserve">Disruptive technologies and intra-value conflicts: The case of naturalness and sustainability in cellular agriculture</t>
  </si>
  <si>
    <t xml:space="preserve">Synthetic biology is a highly disruptive technology that particularly affects the agriculture and food production domains. Rather than using farmed animals or crops, synthetic biology allows for ‘cellular agriculture’—the production of agricultural commodities using cell cultures and host micro-organisms. In light of the possibility that cellular agriculture can enable sustainable food production, and considering that most people strongly prefer food that they perceive as natural, this paper is guided by the following research question: how are the values of sustainability and naturalness affected by the disruption of cellular agriculture? We analyze how different stakeholders discuss these values. After demonstrating that the intra-value conflicts evident in sustainability and naturalness are based on different interpretations of these values, we create conceptual clarity in these different interpretations and show how these intra-value conflicts relate to the ongoing divide between ecomodernism and ecology with respect to the future of agriculture and food.</t>
  </si>
  <si>
    <t xml:space="preserve">This paper directly addresses cellular agriculture (cultivated meat and precision fermentation) from a societal and values perspective, examining sustainability and naturalness as they relate to alternative protein production methods.</t>
  </si>
  <si>
    <t xml:space="preserve">pub.1188369681</t>
  </si>
  <si>
    <t xml:space="preserve">Advances in protein extraction methods from faba bean: a comprehensive review</t>
  </si>
  <si>
    <t xml:space="preserve">The extraction of proteins from faba beans is a key process in the food industry, driven by their high protein content and potential as a sustainable alternative to conventional sources. However, this process faces challenges, including the presence of anti-nutritional factors and the need to enhance protein recovery, purity, and quality. This review evaluates dry, wet, and hybrid extraction methods alongside pretreatment strategies, emphasizing their advantages, limitations, and industrial applications. Pretreatments, such as dehulling, soaking, and germination, are discussed for their ability to improve protein yield and reduce anti-nutritional factors. Dry extraction methods prioritize protein integrity, cost-efficiency, and sustainability, whereas wet methods excel in achieving high protein purity but are resource-intensive. Hybrid techniques, combining the strengths of dry and wet methods, are emerging as promising solutions to address existing limitations. This review also explores recent innovations in protein fractionation and processing technologies, with a focus on their potential impact on the food industry. Improving the sustainability and efficiency of protein extraction methods is vital to advancing their industrial adoption. By synthesizing current advancements, identifying research gaps, and proposing actionable insights, this work provides a roadmap for future studies and applications of faba bean protein extraction, contributing to sustainable food production.</t>
  </si>
  <si>
    <t xml:space="preserve">This review directly concerns protein extraction methods from faba bean, a high-protein crop used as an alternative protein feedstock, with explicit focus on food industry applications and sustainable protein production.</t>
  </si>
  <si>
    <t xml:space="preserve">pub.1183660277</t>
  </si>
  <si>
    <t xml:space="preserve">Use of a coaxial nozzle-assisted 3D printing and ionic crosslinking to control the texture of a mycoprotein-based food product</t>
  </si>
  <si>
    <t xml:space="preserve">This work innovatively merges engineered food structures with additive manufacturing technology to tailor food for different dysphagia levels using filamentous Fungus Aspergillus oryzae biomass through a co-axial 3D food printing process. In order to 3D print samples with different textures, calcium chloride (CaCl2) and calcium gluconolactate (Gluco) were tested at different concentrations alongside three alginate concentrations. The structural and morphological analysis of the printed samples was conducted before cooking, followed by texture analysis and the measurement of cutting strength on cooked samples. Dysphagia food level classification was measured following the International Dysphagia Diet Standardisation Initiative (IDDSI) guidelines. Results revealed that Gluco minimally altered texture but affected appearance, resulting in soft samples (hardness ≈ 1.3 N) with fibrous structures, while CaCl2 increased hardness (from ≈ 1 N to 4.68 N) through alginate-ion Ca2+ interaction. All samples passed the IDDSI test, confirming suitability for dysphagic individuals. This successfully engineered personalised food with tailored texture meeting nutritional requirements.</t>
  </si>
  <si>
    <t xml:space="preserve">The study uses filamentous fungus (Aspergillus oryzae) biomass as a mycoprotein source — a biomass fermentation-derived alternative protein — to develop a structured food product, placing it clearly in scope under the fermentation category.</t>
  </si>
  <si>
    <t xml:space="preserve">pub.1190861681</t>
  </si>
  <si>
    <t xml:space="preserve">Protective Effect of Tomato By-Product in Refined Sunflower Oil with Different Lipid Profiles</t>
  </si>
  <si>
    <t xml:space="preserve">The recovery of carotenoids, particularly lycopene, from industrial tomato by-products is contingent upon the composition of the raw material, the harvesting season, and the specifics of the extraction process. Industrial tomato by-product from three harvest seasons (S1, S2, and S3) was revalorized and used as a lycopene natural source. Pressurization-assisted extraction of lycopene was carried out using two types of refined sunflower oil (high oleic, HO, and low oleic, LO). The carotenoid and tocopherol content, as well as the fatty acid profile, were analyzed in the resulting HO and LO oil samples, and thermooxidation stability was evaluated. Lycopene recovery was found to be higher in the LO oil than in the HO oil using the by-product from the S3 harvest. Conversely, the tocopherol content declined in both oil types following the incorporation of the S3 by-products. The addition of by-products did not affect the thermooxidation stability of the HO oil. Conversely, the thermooxidation stability of the LO oil increased by about 3.2 ± 0.6 h, irrespective of the season. The findings of this study demonstrate that the addition of tomato by-product, regardless of its lycopene content, provides a protective effect against the thermooxidation of conventional sunflower oil.</t>
  </si>
  <si>
    <t xml:space="preserve">This study concerns lycopene extraction from tomato by-products and its antioxidant effect on sunflower oil, with no connection to alternative protein development or animal product substitution.</t>
  </si>
  <si>
    <t xml:space="preserve">pub.1194507959</t>
  </si>
  <si>
    <t xml:space="preserve">Sports nutrition decoded: mechanistic perspectives on dietary components and athletic performance</t>
  </si>
  <si>
    <t xml:space="preserve">Abstract Sportsman nutrition is the scientific field which deals with the indispensable component which help in maintaining the active lifestyle and reduce the numerous numbers of life-threatening diseases. The sufficient intake of meal which provide the recommended nutritional component such as protein, vitamin, fat, carbohydrate, which directly enhance the athletic performance during training and competition. Sportsman nutrition and sustainability help to create the healthier planet for the present and future generation through targeting the diet which show the low environment impact and enhance the food and national security. In this review, we focused on the different nutritional components such as macronutrients and micronutrients and their specific mechanism which directly magnify the health and performance of athletes. Also, the misconceptions regarding the nutritional recommendations and their impact on human body were discussed. The present review will be beneficial for the personnel in the field of sportsman nutrition, dietitian, food engineering, and related domains.</t>
  </si>
  <si>
    <t xml:space="preserve">This review covers general sports nutrition and dietary components for athletic performance without naming or studying any specific alternative protein ingredients or products.</t>
  </si>
  <si>
    <t xml:space="preserve">pub.1190503848</t>
  </si>
  <si>
    <t xml:space="preserve">Co‐Cultivation With New Glucose‐Sparing Chlorella Algae Boosts Tissue Culture Efficiency by Reducing Cell Waste</t>
  </si>
  <si>
    <t xml:space="preserve">Mammalian cell culture technologies are crucial for recombinant protein production, organoid generation, medical applications, and the generation of in vitro cultivated meat. However, they are limited by high costs, lack of vascular O2-provision, and the resultant inhibition of 3D tissue formation. Effective media and nutrient usage, oxygenation, and waste management are key to improvement. Microalgae utilize organic or inorganic CO2 to produce O2 from light, which complements O2-consuming and CO2-respiring mammalian cells in culture. However, common microalgal cultivation conditions differ in temperature and salinity from mammalian cell cultivation environments, making co-cultivation short-lived and challenging. We screened several different microalgae species to identify Chlorella sp. BDH-1 (BDH-1), which has high growth rates in mammalian culture conditions, but unlike other Chlorella species, does not compete for glucose as an energy source. In co-culture, BDH-1 reduces cellular waste production by maintaining mammalian cells in oxidative phosphorylation, which stabilizes pH, tripling culture longevity, and optimizes nutrient usage, which increases growth performance up to 80%. It further allows the reduction of expensive and ethically challenging fetal bovine serum requirements. Collectively, mammalian cell/BDH-1 co-cultivation improves tissue culture health and reduces costs, paving the path for applications in the biotechnology and medical sectors.</t>
  </si>
  <si>
    <t xml:space="preserve">The paper explicitly identifies cultivated meat as one of the intended applications of the mammalian cell/microalgae co-cultivation system, and the technology addresses key challenges (oxygenation, cost, 3D tissue formation) relevant to cultivated meat bioprocessing.</t>
  </si>
  <si>
    <t xml:space="preserve">pub.1187316803</t>
  </si>
  <si>
    <t xml:space="preserve">Polyphenols as enhancers of emulsifying and antioxidant properties of egg and yeast protein emulsions: Understanding the molecular interactions behind their technological and functional potential</t>
  </si>
  <si>
    <t xml:space="preserve">The rising interest in alternative protein sources, such as yeast protein extracts (YPEs), has recently brought attention to their interactions with polyphenols, which can enhance their structural and technological properties while providing health-beneficial properties, such as antioxidant activity. In this study, a multi-technique approach was employed to investigate the effects of a green tea extract (GTE), rich in flavanols, and a blueberry extract (BE), rich in anthocyanins, on the conformational and functional properties of enolase (ENO), the most abundant protein in YPE, and ovalbumin (OVA), representing chicken egg proteins. Overall, results highlighted the formation of non-covalent complexes with higher affinity under acidic conditions (pH 3.5). UV–vis and fluorescence quenching analyses revealed that ENO formed stronger molecular interactions with the extracts than OVA. FTIR spectroscopy showed a decrease in α-helices and a concurrent increase in random coil structures of ENO, with BE inducing greater protein unfolding and structural disorganization than GTE. In addition, 3D fluorescence spectra also highlighted conformational changes in BE structure upon binding with ENO. Electrochemical analysis proved that both GTE and BE antioxidant moieties were partially embedded within the protein structure, preserving their antioxidant capacity. The ENO emulsification activity index remained consistent after the addition of polyphenols, while its emulsion stability improved in the presence of BE (+48 %). The findings in this study suggest that ENO-polyphenol complexes have the potential to be applied as novel functional food ingredients.</t>
  </si>
  <si>
    <t xml:space="preserve">The study investigates yeast protein extracts (a biomass fermentation-derived protein source) and their interactions with polyphenols for use as novel functional food ingredients, directly advancing alternative protein development.</t>
  </si>
  <si>
    <t xml:space="preserve">pub.1191555186</t>
  </si>
  <si>
    <t xml:space="preserve">Comparative life cycle assessment of industrial and artisanal spirulina production systems</t>
  </si>
  <si>
    <t xml:space="preserve">Conventional food production, particularly animal protein, exerts considerable pressure on the environment. As part of the protein transition and global efforts towards sustainable agricultural practices, it is relevant to study low-impact protein alternatives and compare their environmental profiles with those of conventional animal sources. This study examined spirulina, a protein-rich edible cyanobacterium. It compared the environmental impacts of four spirulina production systems (industrial, geothermal, artisanal and permacultural), with those of beef, poultry and eggs. The assessment used Life Cycle Assessment methodology, with a cradle-to-consumer scope and a functional unit of 1 kg of protein content. The results showed that spirulina production, whatever the production system, has significantly lower environmental impacts than beef production, with up to 98 % lower greenhouse gas emissions (4.56 vs. 187.17 kg CO₂-eq) and over 99 % lower land use (0.25 vs. 116.95 m2a crop eq). These benefits were less marked in comparison with poultry and eggs. Of the spirulina systems studied, the permacultural system performed best on five out of eight environmental indicators - including global warming, land use, and human toxicity - followed by the artisanal system, the geothermal system and, finally, the industrial system. Compared to the industrial system baseline, global warming impacts were reduced by 56-82 %, land use by 26-73 %, and human toxicity by up to 77 %, depending on the spirulina system. These results highlight the potential of spirulina as a promising alternative for the protein transition and the promotion of sustainable agricultural practices, particularly if produced in a permacultural way.</t>
  </si>
  <si>
    <t xml:space="preserve">This study conducts a life cycle assessment of spirulina (a microalgae/cyanobacterium) production systems as a protein alternative to animal products, which falls under fermentation/biomass fermentation category for alternative proteins.</t>
  </si>
  <si>
    <t xml:space="preserve">pub.1187813025</t>
  </si>
  <si>
    <t xml:space="preserve">A unique spontaneously immortalised cell line from pig with enhanced adipogenic capacity</t>
  </si>
  <si>
    <t xml:space="preserve">Cultivated meat promises to address some of the pressing challenges associated with large-scale production of animals for food. An important limitation to realising such promise is the lack of readily available cell lines that can be expanded robustly for scale-up culture while maintaining the capacity to differentiate into tissues of interest, namely fat and muscle. Here, we report a porcine mesenchymal stem cell line (FaTTy) which, uniquely, upon spontaneously immortalisation acquired enhanced adipogenic efficiency, close to 100%, that has now been maintained for over 200 population doublings. FaTTy is able to differentiate with high efficiency in both 2D and 3D contexts and produces mature adipocytes upon prolonged differentiation. Moreover, FaTTy adipocytes display fatty acid profiles largely similar to native pig fat but with higher monounsaturated-to-saturated ratios. FaTTy displays minor aneuploidy, characterised by lack of Y chromosome, and lacks typical genetic or functional properties of tumorigenic cells. These highly distinctive characteristics, together with its non-genetically modified nature, make FaTTy a very attractive, potentially game-changing resource for food manufacturing, and particularly cultivated meat.</t>
  </si>
  <si>
    <t xml:space="preserve">This publication directly concerns the development of a porcine cell line with enhanced adipogenic capacity for cultivated meat production, including characterisation of its differentiation, fatty acid profile, and suitability for scale-up culture.</t>
  </si>
  <si>
    <t xml:space="preserve">pub.1184072190</t>
  </si>
  <si>
    <t xml:space="preserve">Design and assessment of protein-fortified recipes for community-dwelling older adults to prevent the onset of undernutrition</t>
  </si>
  <si>
    <t xml:space="preserve">INTRODUCTION: Public health guidelines recommend food fortification (adding ingredients of nutritional importance into commonly consumed foods) to help older adults achieve sufficient protein intake. Despite the nutritional benefits of food fortification, there is a significant gap between nutritional research and sensory acceptance, which can limit older adults' compliance to fortified foods. The present study aimed at developing and testing the feasibility and liking of using "Do it yourself" protein-fortified recipes that could be easily prepared at home in France, Norway and the UK.
MATERIALS AND METHODS: A market review was conducted to identify available high-protein ingredients (n = 140). After screening for sensory, nutritional, food technology, and regulatory characteristics, two high-protein ingredients were selected: milk protein powder (isolate) and organic soya mince (extruded). In parallel, common food matrices that could serve as relevant candidates for fortification were identified through 4-day food diaries collected with 65 respondents in France, Norway, and the UK. Eight dishes were selected for recipe fortification and paired with high-protein ingredients (+ 6 to 11 g of protein per portion, mean = 8.1, SD = 2.3). Then, these fortified recipes were assessed for ease-of-use and acceptability in a home-use trial with healthy older adults in the three countries (&gt; 70 years; n = 158). Participants made the recipes themselves at home using their own cooking equipment.
RESULTS: Feedback from participants indicated that they found the recipes easy to follow and to prepare themselves. The fortified recipes were liked (mean liking from 5.3 to 5.9 on a 7-point scale) and perceived as being easy to chew, moisten (humidify in mouth) and swallow. More than 50% of the participants were willing to make the recipes again in the future and liked the fortified version equally or more to their usual recipes.
DISCUSSION: Making the recipes by themselves at home removed participants' barriers to using high-protein ingredients. Furthermore, participants modified dishes to their liking by adjusting seasoning and texture to their preference underling the flexibility of the fortification strategy.</t>
  </si>
  <si>
    <t xml:space="preserve">While soya mince is mentioned as one of two protein ingredients tested, the study's primary focus is on protein fortification strategies for older adults' undernutrition prevention using both animal-derived (milk protein isolate) and plant-based ingredients, without being meaningfully focused on alternative protein development or substitution of animal products.</t>
  </si>
  <si>
    <t xml:space="preserve">pub.1189404105</t>
  </si>
  <si>
    <t xml:space="preserve">Multi-Reflectance-Spectroscopy, Part II: Optical Sensor for In-Line Monitoring of Fat and Protein in Milk-Based Products</t>
  </si>
  <si>
    <t xml:space="preserve">This study presents an optical sensor system utilizing multi-reflectance spectroscopy (MRS), specifically designed for in-line applications to enable the real-time determination of fat and protein content in milk products, simultaneously. This method employs multiple light wavelengths and various illumination-detection geometries. A field study was conducted in a milk mixing plant, where measurements were obtained from milk products with varying fat and protein concentrations, with a particular focus on recombined milk samples and a brief comparison to conventional milk products. In a first step the experimental data are compared with simulation data obtained from an analytical MRS formula. The fundamental spectroscopic characteristics, particularly the dependence of reflectance values on fat concentrations, as well as the relationship between wavelength and reflectance, remained consistent. However, some experimental bias was observed in the absolute values when comparing the analytical and experimental results. Secondly, to get reflectance models multi-linear regressions (MLR) were carried out based on the experimental and analytical data as well fat and protein content obtained from traditional wet chemical methods. To estimate the model accuracy the root mean square error (RMSE) has been used yielding around 0.1 wt% for fat and protein. A validation procedure using recombined milk results in approximately 0.1 wt% for fat and around 0.2 wt% for protein. Finally, it is shown that the process sample temperature has only a small influence on the reflectance. In contrast the homogenization pressure significantly influences the reflectance and should be considered to ensure accurate monitoring.</t>
  </si>
  <si>
    <t xml:space="preserve">This study focuses on an optical sensor system for monitoring fat and protein content in conventional milk products, with no connection to alternative protein development or substitution of animal-derived foods.</t>
  </si>
  <si>
    <t xml:space="preserve">pub.1183973926</t>
  </si>
  <si>
    <t xml:space="preserve">The heterogeneity of consumer preference for blockchain-based food traceability: The role of governmental trust and information-seeking behaviour</t>
  </si>
  <si>
    <t xml:space="preserve">Recent incidents of food fraud and growing concerns about sustainability in food production have led to increased consumer preference for food traceability. Governments, responsible for enforcing food traceability regulations and overseeing food systems, play a crucial role in this context. Consequently, trust in government could significantly influence consumer behaviour and their valuation of food traceability systems. Blockchain (BC) technology, recently implemented in food traceability, has gained popularity due to its potential to create a “trustless” trust environment. This study aims to understand how consumers with varying levels of trust in the government value BC-based traceability systems. An online choice experiment (n = 707) focused on Greek feta cheese was conducted to explore this relationship. Four consumer segments were identified, profiled, and labelled as Engaged, Sceptic, Vigilant, and Reliant. The findings reveal that consumers with low trust in government and a high tendency to seek product information place a high value on BC-based food traceability compared to other labelling schemes. Conversely, consumers who trust the government and do not actively seek product information show a preference for the well-known PDO certification over food traceability labels. These results highlight the potential for promoting BC-based traceability among consumers, as a sizeable segment demonstrates interest in such traceable products.</t>
  </si>
  <si>
    <t xml:space="preserve">This study focuses on consumer preferences for blockchain-based food traceability using Greek feta cheese as a case study, with no connection to alternative proteins or their development, production, or acceptance.</t>
  </si>
  <si>
    <t xml:space="preserve">pub.1182440563</t>
  </si>
  <si>
    <t xml:space="preserve">Localized enzymolysis and dual-frequency ultrasound modification of underutilized fava bean protein: Techno-functional, structural, in vitro digestibility, molecular docking, and interrelationship characteristics</t>
  </si>
  <si>
    <t xml:space="preserve">This study examined the effect of using dual-frequency ultrasonic treatment (DFUT) and targeted enzymolysis on the physiochemical, structural, and techno-functional properties of the underutilized fava bean protein (FBP) and its hydrolysate (FBPH). FBP was enzymatically hydrolyzed (5–15% DH) to produce FBPH, employing alcalase as the catalyst. The enzymolysis process declined the color brightness, turbidity, and particle size for both non-sonicated and DFUT-treated FBP. Additionally, the enzymatic treatment resulted in an increase (P &lt; 0.05) in the absolute values of zeta potential. Further, DFUT decreased water holding capacity for both FBP and FBPH compared to the untreated ones. DFUT, on the other hand, increased oil absorption capacity compared to non-sonicated ones. Additionally, XRD, FTIR, and intrinsic fluorescence spectral analyses demonstrated that FBPH exhibited a greater degree of flexibility and mobility in its secondary structures compared to FBP. Moreover, SEM and CLSM investigations provide convincing evidence that DFUT improves and speeds up the breakdown of proteins' structures, especially at higher DH. The molecular weight of DFUT-treated FBP showed a notable decrease in the SDS-PAGE profile, but there were no discernible differences between DFUT-treated and non-sonicated FBPH. The DFUT-treated FBP-10DH had significantly better in vitro digestibility (85.70%) compared to the non-sonicated FBP-15 (76.63%) and control FBP-0DH (68.57%). This indicates that the DFUT modification effectively improved the digestibility of the hydrolysate. Correlation and molecular docking research suggest that DFUT has different impacts on specific FBP and its FBPH characteristics. Taken together, localized enzymolysis and DFUT can alter the conformation of proteins and their intermolecular interactions with FBP and FBPH, potentially enhancing their functionality and expanding their utilization in the food industry.</t>
  </si>
  <si>
    <t xml:space="preserve">This study investigates the modification of fava bean protein (a high-protein crop used as an alternative protein feedstock) through enzymatic hydrolysis and ultrasound treatment to improve its techno-functional properties and digestibility for food industry applications, clearly placing it in scope as plant-based alternative protein research.</t>
  </si>
  <si>
    <t xml:space="preserve">pub.1188720931</t>
  </si>
  <si>
    <t xml:space="preserve">Generation of bovine iPSCs from fetal fibroblasts for in vitro myogenesis and cultured meat</t>
  </si>
  <si>
    <t xml:space="preserve">Introduction: Emerging biotechnologies are increasingly being explored for food production, including the development of cell-cultivated meat. Conventional approaches typically rely on satellite cell (SC) biopsies, which present challenges in scalability. Bovine induced pluripotent stem cells (biPSCs) represent a promising alternative due to their capacity for self-renewal and developmental plasticity.
Methods: This study utilized both lentiviral (integrating) and episomal (non-integrating) reprogramming strategies to generate biPSCs suitable for myogenic differentiation. Bovine fetal fibroblasts (bFFs) were reprogrammed using episomal vectors pMaster K and pCXB-EBNA1, leading to the emergence of putative iPSC colonies 13 days post-nucleofection. A clonal line, bFF-iPSCs pMK, was selected for further analysis.
Results: The bFF-iPSCs pMK line expressed key pluripotency markers including alkaline phosphatase (AP), OCT4, SOX2, and NANOG, and was stably maintained for over 33 passages, although episomal plasmids remained detectable. in vitro myogenic differentiation was assessed by comparing this line to a previously established lentiviral reprogrammed line (bFF-iPSCs mOSKM). Both lines exhibited downregulation of pluripotency markers and upregulation of the early myogenic marker PAX3. By day 30, the bFF-iPSCs pMK line formed elongated, multinucleated cells characteristic of myotubes and displayed a corresponding gene expression profile.
Discussion: These results provide new insights into bovine in vitro myogenesis and its application in cultured meat production. While promising, the study also highlights the difficulty in achieving complete myogenic differentiation, indicating a need for further optimization of differentiation protocols.</t>
  </si>
  <si>
    <t xml:space="preserve">This study directly concerns the generation of bovine iPSCs and their myogenic differentiation for cultivated meat production, which is core cultivated meat research.</t>
  </si>
  <si>
    <t xml:space="preserve">pub.1189767817</t>
  </si>
  <si>
    <t xml:space="preserve">Transforming Phaeodactylum tricornutum by-product biomass: from industrial residue to high-value protein extracts</t>
  </si>
  <si>
    <t xml:space="preserve">Due to their rapid growth rate and high-value metabolites, microalgae are a good source for extracting products of biological interest, such as polyunsaturated fatty acids, pigments, polysaccharides or proteins. Industrially, the microalgae Phaeodactylum tricornutum is often produced to extract dietary essential omega-3 fatty acids, such as eicosapentanoic acid (EPA) or docosahexenoic acid (DHA) by using supercritical CO2 as extraction solvent. This extraction produces a spent biomass by-product which can constitute more than 90 % of the initial algae biomass and contains many other interesting compounds that can be extracted. The by-product residual biomass of P. tricornutum was evaluated for its potential as a protein source. Initial compositional analysis revealed a high protein content. Protein-rich concentrates were extracted via a pH-shift method coupled with ultrasound treatment. The process involved alkaline solubilisation, ultrasonic disruption, and acid precipitation to isolate proteins, which were then purified via dialysis, achieving an extraction yield and protein content up to 26 % and 65.9 % respectively. Functional assessment revealed excellent foaming, emulsifying, and water and oil retention properties. This work underscores the potential of marine biomass residues as sustainable sources of high-quality proteins for food, feed, and cosmetic applications, advancing the circular bioeconomy.</t>
  </si>
  <si>
    <t xml:space="preserve">This publication concerns protein extraction from Phaeodactylum tricornutum microalgae biomass, a microalgal single-cell protein source relevant to fermentation/biomass fermentation category, with stated food applications including functional properties assessment for use as a protein ingredient.</t>
  </si>
  <si>
    <t xml:space="preserve">pub.1188501579</t>
  </si>
  <si>
    <t xml:space="preserve">Intention to adopt meat alternatives: Why gender-trait self-concept matters</t>
  </si>
  <si>
    <t xml:space="preserve">Understanding consumer attitudes towards meat alternatives is vital for reducing meat consumption and its negative environmental impacts. Drawing on social identity theory and recent research showing a link between dietary choices and gender norms, this study examines the relationship between gender-traits self-concept—self-perceived feminine and masculine traits—and consumer’s intention to adopt plant-based meat alternatives, moving beyond traditional analyses of gender influences. Our survey data collected 2023 from a representative U.S. sample (18+, N=800) showed that binary gender did not relate significantly to the intentions to buy meat plant-based meat alternatives. Instead, a more feminine gender-trait self-concept was positively associated with meat-alternative adoption intention. However, a more detailed analysis showed that this association was only significant for men, whereas, among women, self-perceived masculinity increased the intention to adopt meat alternatives. These findings suggest that individuals who adopt traits less commonly associated with their gender may be more open to dietary shifts, challenging assumptions that women are more inclined toward meat alternatives. By highlighting the interplay between gender-trait self-concept and the intention to adopt meat alternatives, this research contributes to a more nuanced understanding of dietary behavior. The findings imply that marketing strategies and public health campaigns should address a broader spectrum of gender traits to effectively promote sustainable dietary choices.</t>
  </si>
  <si>
    <t xml:space="preserve">This study examines consumer intention to adopt plant-based meat alternatives in relation to gender-trait self-concept, which is clearly in-scope consumer acceptance research on alternative proteins.</t>
  </si>
  <si>
    <t xml:space="preserve">Wrong label. I wonder if the general CC definition is superseding, but it also didn’t even label PB alone as TRUE.</t>
  </si>
  <si>
    <t xml:space="preserve">pub.1190615542</t>
  </si>
  <si>
    <t xml:space="preserve">Towards a cultivated ribeye</t>
  </si>
  <si>
    <t xml:space="preserve">To engineer full-thickness cultivated meat, a perfusable scaffold is required with a high density of capillaries that allow diffusion of oxygen, nutrients, and waste. Nie et al., established a remarkable feat of tissue engineering that provides important direction towards full-thickness cultivated meat.</t>
  </si>
  <si>
    <t xml:space="preserve">The publication directly concerns cultivated meat tissue engineering, specifically scaffolding and perfusion systems for producing full-thickness cultivated ribeye.</t>
  </si>
  <si>
    <t xml:space="preserve">pub.1194276634</t>
  </si>
  <si>
    <t xml:space="preserve">Valorization of whole herring (Clupea harengus) through trimming, mincing and antioxidant washing: Enhancing stability and color for food use</t>
  </si>
  <si>
    <t xml:space="preserve">Turning the valorizing of small herring (Clupea harengus) from primarily being a feed resource into being a valuable food ingredient requires strategies to overcome rapid lipid oxidation, dark color and processing losses. This study investigated trimming (deheading plus partial gutting or, deheading plus full gutting) and washing of mechanically separated meat (MSM) to improve oxidative stability and appearance of whole herring while maintaining maximum processing yields. Trimming reduced hemoglobin content and lipoxygenase activity gradually by up to 73% and 75% (dw), respectively, yet lipid oxidation was initiated within 1 day on ice for all samples. Washing MSM once or twice (1:3 ratio) further decreased these pro-oxidative factors but had limited effect on oxidation onset. Incorporating a rosemary-based antioxidant blend (0.5%) into the wash water delayed the start of oxidation to more than 11 days. Sufficient oxidative stability was achieved with a single antioxidant-assisted wash, which also minimized water use and processing losses of proteins and lipids. In terms of color, trimming and consecutive washes progressively increased lightness, while antioxidant-assisted washes also helped maintaining redness during storage. Correlation analysis revealed that lipid oxidation was more strongly associated with hemoglobin, lipoxygenase, and pre-formed hydroperoxides than total lipid content, highlighting these factors as important mitigation targets for the food industry. By combining targeted trimming with antioxidant-assisted washing, the oxidative stability, color, and processing efficiency of herring MSM can be improved, supporting a sustainable upcycling of small pelagic fish into nutritious food and thereby steering away from their current main use in feed production.</t>
  </si>
  <si>
    <t xml:space="preserve">This study concerns processing of herring (fish) as a food ingredient, which is an animal-derived protein source and not an alternative protein — it does not substitute animal products but rather optimises a conventional animal-derived seafood ingredient, and there is no cultivated meat, plant-based, or fermentation angle.</t>
  </si>
  <si>
    <t xml:space="preserve">pub.1184191011</t>
  </si>
  <si>
    <t xml:space="preserve">Preliminary Data of the Nutritive, Antioxidative, and Functional Properties of Watermelon (Citrullus lanatus L.) Flour and Seed Protein Concentrate</t>
  </si>
  <si>
    <t xml:space="preserve">The growing interest in a plant-based diet leads to the search for new sources of protein in the human diet as an alternative to animal proteins. Plant materials that can supplement protein as additives in food products are being studied. Watermelon seeds (Citrillus lanatus L.) are rich in proteins and waste from the food industry; however, their extraction is not completely cost-free, and the flour production process may involve additional costs related to their extraction and processing. The studies showed that watermelon seed protein concentrate, obtained using the alkaline extraction method, contained 82.52 g/100 g of protein and 1.51 g/100 g of fat. The polyphenol content in the protein preparation from defatted watermelon seeds was 1.9 mg gallic acid/g, and the antioxidant activity of the concentrate was 29.26 µmol Trolox/g (by the ABTS+). The obtained watermelon seed protein concentrate was characterised by solubility of more than 80% (at pH = 10), water absorption at the level of 2.46 (g water/g) and oil absorption equal to 2.1 (ml oil/g), showed poor foaming properties (1.51%), and was characterised by low emulsification.</t>
  </si>
  <si>
    <t xml:space="preserve">This study characterises the nutritive and functional properties of watermelon seed protein concentrate as a plant-based protein source intended as an alternative to animal proteins in human food products.</t>
  </si>
  <si>
    <t xml:space="preserve">pub.1187845839</t>
  </si>
  <si>
    <t xml:space="preserve">Metabolomic profiling of a cholesterol lowering plant-based diet from two randomized controlled feeding trials</t>
  </si>
  <si>
    <t xml:space="preserve">BackgroundObjective biomarkers of diet, such as metabolomics, may improve dietary assessment and provide additional insight into how diet influences disease risk. The portfolio diet, a cholesterol-lowering plant-based diet, is recommended for lowering low-density lipoprotein cholesterol (LDL-C). This diet is low in saturated fat and includes nuts, plant protein (legumes), viscous fiber, and phytosterols.ObjectiveWe examined metabolomic profiles in response to the portfolio diet in two randomized controlled trials (RCTs), where all foods were provided to the participants, compared to a control vegetarian diet and the same control diet with a statin.MethodsThe first RCT included 34 adults (age 58.4 ± 8.6 y) and the second RCT included 25 adults (age 61.0 ± 9.6 y), all with high LDL-C (&gt;4.1 mmol/L). Plasma samples were obtained at baseline, week 2, and week 4 in both RCTs for metabolomics analysis using liquid chromatography–tandem mass spectrometry. Linear mixed models were used to examine effects of the interventions on the metabolites in each RCT, applying a Bonferroni correction.ResultsOf 496 known metabolites, 145 and 63 metabolites significantly changed within the portfolio diet interventions in the first and second RCT, respectively. The majority were glycerophosphocholines (32%), triacylglycerols (20%), glycerophosphoethanolamines (14%), sphingomyelins (8%), and amino acids and peptides (8%) in the first RCT, and glycerophosphocholines (48%), glycerophosphoethanolamines (17%), and amino acids and peptides (8%) in the second RCT. Fifty-two metabolites were consistently changed in the same direction with the portfolio diet intervention across both RCTs, after Bonferroni correction.ConclusionsMany of these metabolites likely reflect the plant-based nature, low saturated fat content, and cholesterol-lowering effects of the diet, such as increased N2-acetylornithine, L-pipecolic acid, lenticin, and decreased C18:0 lipids and cholesteryl esters. Further research is needed to validate these metabolites as biomarkers of a plant-based dietary pattern.</t>
  </si>
  <si>
    <t xml:space="preserve">This study examines metabolomic responses to a cholesterol-lowering plant-based diet as a health intervention, but does not study alternative protein ingredients or products as substitutes for animal-derived foods; it is a dietary/health study focused on general plant-based dietary patterns and LDL-C reduction, which falls outside the alternative proteins scope.</t>
  </si>
  <si>
    <t xml:space="preserve">pub.1196064670</t>
  </si>
  <si>
    <t xml:space="preserve">CIPROMED: building resilient and circular protein systems for the Mediterranean</t>
  </si>
  <si>
    <t xml:space="preserve">CIPROMED: building resilient and circular protein systems for the Mediterranean CIPROMED strengthens Mediterranean agri-food resilience by valorising local crops, agri-industrial residues and alternative proteins from insects, legumes, microalgae and fermentation. Using circular, sustainable processes, it transforms side-streams into high-value food and feed ingredients, enriches soils with insect frass, and applies microbial fermentation to enhance protein quality, supporting a resource-efficient, climate-smart agri-food system.</t>
  </si>
  <si>
    <t xml:space="preserve">The project explicitly covers alternative proteins from legumes, microalgae, and fermentation for food applications, which are in scope, even though insect proteins (out of scope) are also included.</t>
  </si>
  <si>
    <t xml:space="preserve">pub.1185995938</t>
  </si>
  <si>
    <t xml:space="preserve">Power-to-Protein: Electro-cultivation of microbial proteins from recycled nitrogen and carbon dioxide</t>
  </si>
  <si>
    <t xml:space="preserve">This review explores microbial proteins (MP) as a sustainable alternative to traditional protein sources, emphasizing the innovative approach of electro-cultivation, which integrates biological and electrochemical systems. MP production offers substantial environmental advantages, including efficient carbon dioxide fixation, nitrogen recycling, and production resilience to climate variability, achieving protein contents of over 80 %. The review examines key metabolic pathways for MP synthesis, with a particular focus on the potential of hydrogen-oxidizing bacteria for converting renewable energy and waste substrates like carbon dioxide and ammonium into high-value protein. Inputs such as renewable electricity, nutrient sources, and bio-waste utilization are analyzed alongside the challenges of scaling water splitting technologies to support microbial growth. Furthermore, the paper reviews downstream processing techniques for producing high-quality MP, evaluates the economic feasibility of MP production (costing approximately 1€ per kg of dry weight), and highlights its significant environmental advantages over conventional agriculture. Regulatory aspects are discussed in the context of evolving frameworks to support the commercialization of MP. In conclusion, this review identifies critical research gaps, including strategies to improve microbiome stability, efficient gas utilization, product acceptance, and shelf-life studies, offering a roadmap for advancing MP electro-cultivation into a scalable and globally relevant solution for sustainable food systems.</t>
  </si>
  <si>
    <t xml:space="preserve">The review focuses on microbial protein production via electro-cultivation using hydrogen-oxidizing bacteria and other microorganisms as protein sources, which falls squarely within biomass fermentation for alternative proteins intended for human food.</t>
  </si>
  <si>
    <t xml:space="preserve">pub.1185663045</t>
  </si>
  <si>
    <t xml:space="preserve">Development of a biomarker panel for cell characterization intended for cultivated meat</t>
  </si>
  <si>
    <t xml:space="preserve">Cultivated meat has in recent years been suggested as a sustainable alternative to produce meat at large-scale. Several aspects of cultivated meat production have demonstrated significant progress. However, there are still many questions regarding the cell culture, media composition, and the production itself to be answered and optimized. Finding good starter cell populations is a challenge to address and requires robust tools to characterize the cell populations. Detailed analysis is required to identify each type of cell within the skeletal muscle niche leads to optimized cultivated meat production at large-scale. In this study, we developed a set of biomarkers, using digital droplet PCR (ddPCR) and Immunofluorescence (IF) staining, to identify specific cell types within a heterogeneous cell population isolated from skeletal muscle tissue. We showed that combining Neural Cell Adhesion Molecule (NCAM), Calponin 1 (CNN1), and Fibronectin (FN), can be a powerful approach to predict the growth of skeletal myotubes, smooth muscle mesenchymal cells (SMMCs), and myofibroblasts, respectively. Moreover, early cell-cell interactions of fibroblastic cells were observed to be triggered through thin actin filaments containing CNN1 protein, to form, subsequently, myofibroblast networks. Besides, Myogenic Differentiation 1 (MyoD) is the key marker to detect skeletal muscle growth, whereas Myogenic Factor 5 (MyF5) can be expressed in myogenic and non-myogenic cells. MyF5 was detected at differentiation stages within the myotube nuclei, suggesting an unknown role during myotube formation.</t>
  </si>
  <si>
    <t xml:space="preserve">This study develops biomarker panels for characterizing skeletal muscle cell populations specifically intended for cultivated meat production, directly advancing cell culture methods for cultivated meat.</t>
  </si>
  <si>
    <t xml:space="preserve">pub.1184663118</t>
  </si>
  <si>
    <t xml:space="preserve">Development of Lentil Flour-Enriched Chocolate Matrices for 3D Printing: Impact on Bioactivity, Rheology, and Texture</t>
  </si>
  <si>
    <t xml:space="preserve">The aim of the research was to evaluate the effects of incorporating lentil flour (0.5, 1.0, 2.0, and 3.0%) into a chocolate matrix for 3D printing, focusing on its antioxidant, rheological, and textural properties. Lentil flour, a rich source of polyphenols, vitamins, and flavonoids, was integrated to enhance the nutritional profile of the chocolate. Although the addition of lentil flour did not significantly (p &lt; 0.05) increase total polyphenol (TPC) or flavonoid content (TFC), some samples showed improvements in antioxidant capacity (DPPH, ABTS, FRAP, CUPRAC). After in vitro digestion, most samples exhibited higher TPC values and antioxidant capacities, though TFC levels decreased. Printed objects with lentil flour displayed greater height and area, with all matrices showing viscous and pseudoplastic behavior. The 2% lentil flour sample exhibited the highest shear viscosity, Tanδ values, and hardness, indicating optimal structural and textural qualities for 3D printing.</t>
  </si>
  <si>
    <t xml:space="preserve">This study investigates lentil flour (a high-protein legume crop) as a functional ingredient incorporated into a food product, with lentil serving as an alternative protein/nutritional source, making it in scope for plant-based alternative proteins.</t>
  </si>
  <si>
    <t xml:space="preserve">Borderline. I’m not actually sure if chocolate counts as snack or dairy in this case. Our criteria are a little fuzzy… But I should find a bread or pasta example and see how the prompt works.</t>
  </si>
  <si>
    <t xml:space="preserve">pub.1176261063</t>
  </si>
  <si>
    <t xml:space="preserve">Protein extraction from the industrial solid residue of brown seaweed after alginate extraction</t>
  </si>
  <si>
    <t xml:space="preserve">The growing interest in the “blue-bioeconomy” and the valorization of macroalgae has driven research and industrial efforts to develop valorization strategies for the by-products generated during alginate extraction. Sequential extraction methods, such as acid/alkali treatment, enzymatic, ultrasound, and pH-shift process, were investigated and compared in order to obtain protein extracts from the solid residues after alginate extraction from two brown seaweed species (Ascophyllum nodosum and Saccharina latissima). Applying a sequential extraction, combining several methods, allowed the recovery of more than 29.5 % of the total protein from the residues. The resulting extracts exhibited optimal functional properties in terms of oil and water retention and outstanding emulsifying and foaming capacity. In addition, the protein extracts showed considerable polyphenol content, remarkable antioxidant activity, and an enhanced ability to inhibit angiotensin-converting enzyme (ACE). This study demonstrated that the residues after alginate extraction are a sustainable and promising source of protein with potential applications in the food industry.</t>
  </si>
  <si>
    <t xml:space="preserve">This study investigates protein extraction from brown seaweed (macroalgae) for food industry applications, including functional properties relevant to alternative protein ingredient development, which falls within the plant-based alternative protein category.</t>
  </si>
  <si>
    <t xml:space="preserve">pub.1188351931</t>
  </si>
  <si>
    <t xml:space="preserve">Legume Proteins in Food Products: Extraction Techniques, Functional Properties, and Current Challenges</t>
  </si>
  <si>
    <t xml:space="preserve">The aim of this review is to provide a comprehensive overview of protein extraction from legume sources, with a focus on both conventional and emerging techniques. Particular attention is given to the impact of innovative methods on protein functionality, a key factor for food applications. Due to their nutritional profile and techno-functional properties, legumes are increasingly regarded as promising alternatives to animal-based protein sources in the food industry. Traditional extraction methods, such as alkaline and acidic extraction, are discussed and compared with novel approaches including enzymatic extraction, ultrasound-assisted extraction (UAE), microwave-assisted extraction (MAE), ohmic heating (OH), subcritical water extraction (SWE), deep eutectic solvents (DES), and dry fractionation. The potential of these emerging technologies to improve protein yield and functionality is critically assessed, alongside key challenges such as scalability, cost-effectiveness, and potential allergenicity. This review also identifies current research gaps and highlights opportunities for innovation in sustainable protein extraction. Therefore, this review contributes to the development of more efficient, functional, and sustainable protein ingredients production, highlighting the role of innovative extraction technologies in shaping the future of plant-based foods.</t>
  </si>
  <si>
    <t xml:space="preserve">This review directly addresses protein extraction from legumes as alternatives to animal-based proteins for food applications, covering extraction techniques and functional properties relevant to plant-based food development.</t>
  </si>
  <si>
    <t xml:space="preserve">pub.1184119508</t>
  </si>
  <si>
    <t xml:space="preserve">Comprehensive quantitative profiling of vegetable oil oxidation products by NMR-based oxylipidomics</t>
  </si>
  <si>
    <t xml:space="preserve">Lipid oxidation is one the major causes of food deterioration. Current advancement in mechanistic understanding is limited by the lack of high-throughput methods that can simultaneously quantify a wide range of oxidation product classes, such as lipid hydroperoxides, epoxides, ketones, hydroxides, and aldehydes. Here, we introduce an NMR-based 'oxylipidomics' platform by providing the annotation of 42 substructures formed during lipid oxidation in vegetable oils. The annotated substructures accounted for respectively 93, 90 and 70% of the oxidation products of triolein, trilinolein, and trilinolenin. The spectral assignments allowed for quantification of lipid oxidation products in vegetable oil at class (e.g., epoxides) and substructure level (e.g., trans-epoxides) at the commonly available field strength of 14.1 T (600 MHz). We anticipate that our workflow will enable rapid assessment of health risks, unravelling of precursor-sensory relationships, rational design of antioxidant strategies, and in-depth mechanistic studies into food lipid oxidation.</t>
  </si>
  <si>
    <t xml:space="preserve">This study develops an NMR-based oxylipidomics platform for profiling lipid oxidation products in vegetable oils, which is a general food chemistry/analytical method not specifically directed at alternative protein development or animal product substitution.</t>
  </si>
  <si>
    <t xml:space="preserve">pub.1184520909</t>
  </si>
  <si>
    <t xml:space="preserve">Data recording and use of data tools for pig health management: perspectives of stakeholders in pig farming</t>
  </si>
  <si>
    <t xml:space="preserve">Introduction: Data-driven strategies might combat the spreading of infectious pig disease and improve the early detection of potential pig health problems. The current study aimed to explore individual views on data recording and use of data tools for pig health management by recruiting stakeholders (N = 202) in Spain, Ireland, and the Netherlands.
Methods: Questionnaire focused on current on-farm challenges, current status of data recording on farms, and evaluation of the two mock data tools. Particularly, "benchmarking tool" was designed to visualize individual farm's pig mortality, targeting the management of infectious respiratory and gastrointestinal diseases; and "early-warning tool" was designed to generate an alarm through monitoring coughs in pigs, targeting the management of infectious respiratory diseases.
Results: Results showed that respiratory and gastrointestinal diseases and aggressive behaviors were the most frequently mentioned health challenge and welfare challenge, respectively. Most of the data was more frequently recorded electronically than on paper. In general, the "benchmarking tool" was perceived as useful for the management of infectious respiratory and gastrointestinal diseases, and the "early-warning tool" was evaluated as useful for the management of infectious respiratory diseases. Several barriers to the perceived usefulness of these two tools were identified, such as the lack of contextual information, inconvenience of data input, limited internet access, reliance on one's own experience and observation, technical hurdles, and mistrust of information output. The perceived usefulness of both tools was higher among highly educated participants, and those who reported being integrators and positive toward technology for disease control. Female participants and those who came from integrated farms evaluated the "early-warning tool" as more useful compared to their counterparts. The perceived usefulness of the "early-warning tool" was negatively affected by age and work experience, but positively affected by extensiveness of data recording, positive attitude toward technology, and the current use of technology.
Discussion: In summary, participants showed optimistic views on the use of data tools to support their decision-making and management of infectious pig respiratory and gastrointestinal diseases. It is noteworthy that data tools should not only convey the value of data for informed decision-making but also consider stakeholders' preconditions and needs for data tools.</t>
  </si>
  <si>
    <t xml:space="preserve">This publication concerns pig health management and disease monitoring tools in conventional pig farming, with no relevance to alternative proteins or plant-based, fermentation-derived, or cultivated food products.</t>
  </si>
  <si>
    <t xml:space="preserve">Action: find bread / pasta / snack examples to feed to LLM and see if they include them or not. </t>
  </si>
  <si>
    <t xml:space="preserve">Summary</t>
  </si>
  <si>
    <t xml:space="preserve">Of 110, 4 did not match scope</t>
  </si>
  <si>
    <t xml:space="preserve">However, 1 was correctly labelled by the LLM and 3 were borderline.</t>
  </si>
  <si>
    <t xml:space="preserve">I would argue for completely acceptable accuracy here.</t>
  </si>
  <si>
    <t xml:space="preserve">Of the original 70 in scope, only 4 AP pillar labels did not match.</t>
  </si>
  <si>
    <t xml:space="preserve">Of these, 1 was borderline and we could accept the LLM label, and 3 were incorrect.</t>
  </si>
  <si>
    <t xml:space="preserve">The incorrect labels were 2 issues around cross-cutting, and 1 issue where mushrooms were considered fermentation biomass (fungal)</t>
  </si>
  <si>
    <t xml:space="preserve">Minor edits to the prompt have been made.</t>
  </si>
  <si>
    <t xml:space="preserve">metric</t>
  </si>
  <si>
    <t xml:space="preserve">value</t>
  </si>
  <si>
    <t xml:space="preserve">n</t>
  </si>
  <si>
    <t xml:space="preserve">scope_accuracy</t>
  </si>
  <si>
    <t xml:space="preserve">96%</t>
  </si>
  <si>
    <t xml:space="preserve">pillar_accuracy</t>
  </si>
  <si>
    <t xml:space="preserve">93%</t>
  </si>
  <si>
    <t xml:space="preserve">pillar_accuracy_both_in_scope</t>
  </si>
  <si>
    <t xml:space="preserve">94%</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</si>
</sst>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b val="true"/>
      <u val="single"/>
      <sz val="11"/>
      <color theme="1"/>
      <name val="Calibri"/>
      <family val="2"/>
      <charset val="1"/>
    </font>
  </fonts>
  <fills count="5">
    <fill>
      <patternFill patternType="none"/>
    </fill>
    <fill>
      <patternFill patternType="gray125"/>
    </fill>
    <fill>
      <patternFill patternType="solid">
        <fgColor rgb="FF81D41A"/>
        <bgColor rgb="FFD4EA6B"/>
      </patternFill>
    </fill>
    <fill>
      <patternFill patternType="solid">
        <fgColor rgb="FFFFFF00"/>
        <bgColor rgb="FFFFFF00"/>
      </patternFill>
    </fill>
    <fill>
      <patternFill patternType="solid">
        <fgColor rgb="FFD4EA6B"/>
        <bgColor rgb="FFCC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D4EA6B"/>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26"/>
  <sheetViews>
    <sheetView showFormulas="false" showGridLines="true" showRowColHeaders="true" showZeros="true" rightToLeft="false" tabSelected="true" showOutlineSymbols="true" defaultGridColor="true" view="normal" topLeftCell="C88" colorId="64" zoomScale="100" zoomScaleNormal="100" zoomScalePageLayoutView="100" workbookViewId="0">
      <selection pane="topLeft" activeCell="Q93" activeCellId="0" sqref="Q93"/>
    </sheetView>
  </sheetViews>
  <sheetFormatPr defaultColWidth="8.34375" defaultRowHeight="15" customHeight="false" zeroHeight="false" outlineLevelRow="0" outlineLevelCol="0"/>
  <cols>
    <col collapsed="false" customWidth="false" hidden="false" outlineLevel="0" max="15" min="1" style="1" width="8.34"/>
    <col collapsed="false" customWidth="true" hidden="false" outlineLevel="0" max="18" min="17" style="2" width="18.5"/>
  </cols>
  <sheetData>
    <row r="1" customFormat="false" ht="15" hidden="false" customHeight="false" outlineLevel="0" collapsed="false">
      <c r="A1" s="3" t="s">
        <v>0</v>
      </c>
      <c r="B1" s="3" t="s">
        <v>1</v>
      </c>
      <c r="C1" s="3" t="s">
        <v>2</v>
      </c>
      <c r="D1" s="3" t="s">
        <v>3</v>
      </c>
      <c r="E1" s="3" t="s">
        <v>4</v>
      </c>
      <c r="F1" s="3" t="s">
        <v>5</v>
      </c>
      <c r="G1" s="3" t="s">
        <v>6</v>
      </c>
      <c r="H1" s="3" t="s">
        <v>7</v>
      </c>
      <c r="I1" s="3" t="s">
        <v>8</v>
      </c>
      <c r="J1" s="3" t="s">
        <v>9</v>
      </c>
      <c r="K1" s="3" t="s">
        <v>10</v>
      </c>
      <c r="L1" s="3" t="s">
        <v>11</v>
      </c>
      <c r="M1" s="3" t="s">
        <v>12</v>
      </c>
      <c r="N1" s="3" t="s">
        <v>13</v>
      </c>
      <c r="O1" s="3" t="s">
        <v>14</v>
      </c>
      <c r="Q1" s="2" t="s">
        <v>15</v>
      </c>
      <c r="R1" s="2" t="s">
        <v>16</v>
      </c>
    </row>
    <row r="2" customFormat="false" ht="15" hidden="false" customHeight="false" outlineLevel="0" collapsed="false">
      <c r="A2" s="3" t="s">
        <v>17</v>
      </c>
      <c r="B2" s="3" t="s">
        <v>18</v>
      </c>
      <c r="C2" s="3" t="s">
        <v>19</v>
      </c>
      <c r="D2" s="3" t="s">
        <v>20</v>
      </c>
      <c r="E2" s="3" t="s">
        <v>20</v>
      </c>
      <c r="F2" s="3" t="n">
        <v>1</v>
      </c>
      <c r="G2" s="3" t="s">
        <v>21</v>
      </c>
      <c r="H2" s="1" t="b">
        <f aca="false">TRUE()</f>
        <v>1</v>
      </c>
      <c r="I2" s="3" t="s">
        <v>22</v>
      </c>
      <c r="J2" s="3" t="s">
        <v>22</v>
      </c>
      <c r="K2" s="1" t="b">
        <f aca="false">TRUE()</f>
        <v>1</v>
      </c>
      <c r="L2" s="1" t="b">
        <f aca="false">FALSE()</f>
        <v>0</v>
      </c>
      <c r="M2" s="1" t="b">
        <f aca="false">FALSE()</f>
        <v>0</v>
      </c>
      <c r="N2" s="1" t="b">
        <f aca="false">FALSE()</f>
        <v>0</v>
      </c>
      <c r="O2" s="1" t="b">
        <f aca="false">FALSE()</f>
        <v>0</v>
      </c>
    </row>
    <row r="3" customFormat="false" ht="34.2" hidden="false" customHeight="false" outlineLevel="0" collapsed="false">
      <c r="A3" s="3" t="s">
        <v>23</v>
      </c>
      <c r="B3" s="3" t="s">
        <v>24</v>
      </c>
      <c r="C3" s="4" t="s">
        <v>25</v>
      </c>
      <c r="D3" s="3" t="s">
        <v>20</v>
      </c>
      <c r="E3" s="3" t="s">
        <v>20</v>
      </c>
      <c r="F3" s="3" t="n">
        <v>2</v>
      </c>
      <c r="G3" s="3" t="s">
        <v>26</v>
      </c>
      <c r="H3" s="1" t="b">
        <f aca="false">TRUE()</f>
        <v>1</v>
      </c>
      <c r="I3" s="3" t="s">
        <v>22</v>
      </c>
      <c r="J3" s="3" t="s">
        <v>22</v>
      </c>
      <c r="K3" s="1" t="b">
        <f aca="false">TRUE()</f>
        <v>1</v>
      </c>
      <c r="L3" s="1" t="b">
        <f aca="false">FALSE()</f>
        <v>0</v>
      </c>
      <c r="M3" s="1" t="b">
        <f aca="false">FALSE()</f>
        <v>0</v>
      </c>
      <c r="N3" s="1" t="b">
        <f aca="false">FALSE()</f>
        <v>0</v>
      </c>
      <c r="O3" s="1" t="b">
        <f aca="false">FALSE()</f>
        <v>0</v>
      </c>
    </row>
    <row r="4" customFormat="false" ht="15" hidden="false" customHeight="false" outlineLevel="0" collapsed="false">
      <c r="A4" s="3" t="s">
        <v>27</v>
      </c>
      <c r="B4" s="3" t="s">
        <v>28</v>
      </c>
      <c r="C4" s="3" t="s">
        <v>29</v>
      </c>
      <c r="D4" s="3" t="s">
        <v>20</v>
      </c>
      <c r="E4" s="3" t="s">
        <v>20</v>
      </c>
      <c r="F4" s="3" t="n">
        <v>1</v>
      </c>
      <c r="G4" s="3" t="s">
        <v>30</v>
      </c>
      <c r="H4" s="1" t="b">
        <f aca="false">TRUE()</f>
        <v>1</v>
      </c>
      <c r="I4" s="3" t="s">
        <v>22</v>
      </c>
      <c r="J4" s="3" t="s">
        <v>22</v>
      </c>
      <c r="K4" s="1" t="b">
        <f aca="false">TRUE()</f>
        <v>1</v>
      </c>
      <c r="L4" s="1" t="b">
        <f aca="false">FALSE()</f>
        <v>0</v>
      </c>
      <c r="M4" s="1" t="b">
        <f aca="false">FALSE()</f>
        <v>0</v>
      </c>
      <c r="N4" s="1" t="b">
        <f aca="false">FALSE()</f>
        <v>0</v>
      </c>
      <c r="O4" s="1" t="b">
        <f aca="false">FALSE()</f>
        <v>0</v>
      </c>
    </row>
    <row r="5" customFormat="false" ht="15" hidden="false" customHeight="false" outlineLevel="0" collapsed="false">
      <c r="A5" s="3" t="s">
        <v>31</v>
      </c>
      <c r="B5" s="3" t="s">
        <v>32</v>
      </c>
      <c r="C5" s="3" t="s">
        <v>33</v>
      </c>
      <c r="D5" s="3" t="s">
        <v>34</v>
      </c>
      <c r="E5" s="3" t="s">
        <v>34</v>
      </c>
      <c r="F5" s="3" t="n">
        <v>4</v>
      </c>
      <c r="G5" s="3" t="s">
        <v>35</v>
      </c>
      <c r="H5" s="1" t="b">
        <f aca="false">TRUE()</f>
        <v>1</v>
      </c>
      <c r="I5" s="3" t="s">
        <v>36</v>
      </c>
      <c r="J5" s="3" t="s">
        <v>36</v>
      </c>
      <c r="K5" s="1" t="b">
        <f aca="false">TRUE()</f>
        <v>1</v>
      </c>
      <c r="L5" s="1" t="b">
        <f aca="false">TRUE()</f>
        <v>1</v>
      </c>
      <c r="M5" s="1" t="b">
        <f aca="false">FALSE()</f>
        <v>0</v>
      </c>
      <c r="N5" s="1" t="b">
        <f aca="false">FALSE()</f>
        <v>0</v>
      </c>
      <c r="O5" s="1" t="b">
        <f aca="false">FALSE()</f>
        <v>0</v>
      </c>
    </row>
    <row r="6" customFormat="false" ht="15" hidden="false" customHeight="false" outlineLevel="0" collapsed="false">
      <c r="A6" s="3" t="s">
        <v>37</v>
      </c>
      <c r="B6" s="3" t="s">
        <v>38</v>
      </c>
      <c r="C6" s="3" t="s">
        <v>39</v>
      </c>
      <c r="D6" s="3" t="s">
        <v>34</v>
      </c>
      <c r="E6" s="3" t="s">
        <v>34</v>
      </c>
      <c r="F6" s="3" t="n">
        <v>5</v>
      </c>
      <c r="G6" s="3" t="s">
        <v>40</v>
      </c>
      <c r="H6" s="1" t="b">
        <f aca="false">TRUE()</f>
        <v>1</v>
      </c>
      <c r="I6" s="3" t="s">
        <v>36</v>
      </c>
      <c r="J6" s="3" t="s">
        <v>36</v>
      </c>
      <c r="K6" s="1" t="b">
        <f aca="false">TRUE()</f>
        <v>1</v>
      </c>
      <c r="L6" s="1" t="b">
        <f aca="false">TRUE()</f>
        <v>1</v>
      </c>
      <c r="M6" s="1" t="b">
        <f aca="false">FALSE()</f>
        <v>0</v>
      </c>
      <c r="N6" s="1" t="b">
        <f aca="false">FALSE()</f>
        <v>0</v>
      </c>
      <c r="O6" s="1" t="b">
        <f aca="false">FALSE()</f>
        <v>0</v>
      </c>
    </row>
    <row r="7" customFormat="false" ht="15" hidden="false" customHeight="false" outlineLevel="0" collapsed="false">
      <c r="A7" s="3" t="s">
        <v>41</v>
      </c>
      <c r="B7" s="3" t="s">
        <v>42</v>
      </c>
      <c r="C7" s="3" t="s">
        <v>43</v>
      </c>
      <c r="D7" s="3" t="s">
        <v>34</v>
      </c>
      <c r="E7" s="3" t="s">
        <v>34</v>
      </c>
      <c r="F7" s="3" t="n">
        <v>5</v>
      </c>
      <c r="G7" s="3" t="s">
        <v>44</v>
      </c>
      <c r="H7" s="1" t="b">
        <f aca="false">TRUE()</f>
        <v>1</v>
      </c>
      <c r="I7" s="3" t="s">
        <v>36</v>
      </c>
      <c r="J7" s="3" t="s">
        <v>36</v>
      </c>
      <c r="K7" s="1" t="b">
        <f aca="false">TRUE()</f>
        <v>1</v>
      </c>
      <c r="L7" s="1" t="b">
        <f aca="false">TRUE()</f>
        <v>1</v>
      </c>
      <c r="M7" s="1" t="b">
        <f aca="false">FALSE()</f>
        <v>0</v>
      </c>
      <c r="N7" s="1" t="b">
        <f aca="false">FALSE()</f>
        <v>0</v>
      </c>
      <c r="O7" s="1" t="b">
        <f aca="false">FALSE()</f>
        <v>0</v>
      </c>
    </row>
    <row r="8" customFormat="false" ht="15" hidden="false" customHeight="false" outlineLevel="0" collapsed="false">
      <c r="A8" s="3" t="s">
        <v>45</v>
      </c>
      <c r="B8" s="3" t="s">
        <v>46</v>
      </c>
      <c r="C8" s="3" t="s">
        <v>47</v>
      </c>
      <c r="D8" s="3" t="s">
        <v>20</v>
      </c>
      <c r="E8" s="3" t="s">
        <v>20</v>
      </c>
      <c r="F8" s="3" t="n">
        <v>1</v>
      </c>
      <c r="G8" s="3" t="s">
        <v>48</v>
      </c>
      <c r="H8" s="1" t="b">
        <f aca="false">TRUE()</f>
        <v>1</v>
      </c>
      <c r="I8" s="3" t="s">
        <v>22</v>
      </c>
      <c r="J8" s="3" t="s">
        <v>22</v>
      </c>
      <c r="K8" s="1" t="b">
        <f aca="false">TRUE()</f>
        <v>1</v>
      </c>
      <c r="L8" s="1" t="b">
        <f aca="false">FALSE()</f>
        <v>0</v>
      </c>
      <c r="M8" s="1" t="b">
        <f aca="false">FALSE()</f>
        <v>0</v>
      </c>
      <c r="N8" s="1" t="b">
        <f aca="false">FALSE()</f>
        <v>0</v>
      </c>
      <c r="O8" s="1" t="b">
        <f aca="false">FALSE()</f>
        <v>0</v>
      </c>
    </row>
    <row r="9" customFormat="false" ht="15" hidden="false" customHeight="false" outlineLevel="0" collapsed="false">
      <c r="A9" s="3" t="s">
        <v>49</v>
      </c>
      <c r="B9" s="3" t="s">
        <v>50</v>
      </c>
      <c r="C9" s="3" t="s">
        <v>51</v>
      </c>
      <c r="D9" s="3" t="s">
        <v>34</v>
      </c>
      <c r="E9" s="3" t="s">
        <v>34</v>
      </c>
      <c r="F9" s="3" t="n">
        <v>5</v>
      </c>
      <c r="G9" s="3" t="s">
        <v>52</v>
      </c>
      <c r="H9" s="1" t="b">
        <f aca="false">TRUE()</f>
        <v>1</v>
      </c>
      <c r="I9" s="3" t="s">
        <v>36</v>
      </c>
      <c r="J9" s="3" t="s">
        <v>36</v>
      </c>
      <c r="K9" s="1" t="b">
        <f aca="false">TRUE()</f>
        <v>1</v>
      </c>
      <c r="L9" s="1" t="b">
        <f aca="false">TRUE()</f>
        <v>1</v>
      </c>
      <c r="M9" s="1" t="b">
        <f aca="false">FALSE()</f>
        <v>0</v>
      </c>
      <c r="N9" s="1" t="b">
        <f aca="false">FALSE()</f>
        <v>0</v>
      </c>
      <c r="O9" s="1" t="b">
        <f aca="false">FALSE()</f>
        <v>0</v>
      </c>
    </row>
    <row r="10" customFormat="false" ht="15" hidden="false" customHeight="false" outlineLevel="0" collapsed="false">
      <c r="A10" s="3" t="s">
        <v>53</v>
      </c>
      <c r="B10" s="3" t="s">
        <v>54</v>
      </c>
      <c r="C10" s="3" t="s">
        <v>55</v>
      </c>
      <c r="D10" s="3" t="s">
        <v>34</v>
      </c>
      <c r="E10" s="3" t="s">
        <v>34</v>
      </c>
      <c r="F10" s="3" t="n">
        <v>5</v>
      </c>
      <c r="G10" s="3" t="s">
        <v>56</v>
      </c>
      <c r="H10" s="1" t="b">
        <f aca="false">TRUE()</f>
        <v>1</v>
      </c>
      <c r="I10" s="3" t="s">
        <v>57</v>
      </c>
      <c r="J10" s="3" t="s">
        <v>57</v>
      </c>
      <c r="K10" s="1" t="b">
        <f aca="false">TRUE()</f>
        <v>1</v>
      </c>
      <c r="L10" s="1" t="b">
        <f aca="false">TRUE()</f>
        <v>1</v>
      </c>
      <c r="M10" s="1" t="b">
        <f aca="false">TRUE()</f>
        <v>1</v>
      </c>
      <c r="N10" s="1" t="b">
        <f aca="false">FALSE()</f>
        <v>0</v>
      </c>
      <c r="O10" s="1" t="b">
        <f aca="false">FALSE()</f>
        <v>0</v>
      </c>
    </row>
    <row r="11" customFormat="false" ht="15" hidden="false" customHeight="false" outlineLevel="0" collapsed="false">
      <c r="A11" s="3" t="s">
        <v>58</v>
      </c>
      <c r="B11" s="3" t="s">
        <v>59</v>
      </c>
      <c r="C11" s="3" t="s">
        <v>60</v>
      </c>
      <c r="D11" s="3" t="s">
        <v>34</v>
      </c>
      <c r="E11" s="3" t="s">
        <v>34</v>
      </c>
      <c r="F11" s="3" t="n">
        <v>5</v>
      </c>
      <c r="G11" s="3" t="s">
        <v>61</v>
      </c>
      <c r="H11" s="1" t="b">
        <f aca="false">TRUE()</f>
        <v>1</v>
      </c>
      <c r="I11" s="3" t="s">
        <v>62</v>
      </c>
      <c r="J11" s="3" t="s">
        <v>62</v>
      </c>
      <c r="K11" s="1" t="b">
        <f aca="false">TRUE()</f>
        <v>1</v>
      </c>
      <c r="L11" s="1" t="b">
        <f aca="false">FALSE()</f>
        <v>0</v>
      </c>
      <c r="M11" s="1" t="b">
        <f aca="false">FALSE()</f>
        <v>0</v>
      </c>
      <c r="N11" s="1" t="b">
        <f aca="false">TRUE()</f>
        <v>1</v>
      </c>
      <c r="O11" s="1" t="b">
        <f aca="false">FALSE()</f>
        <v>0</v>
      </c>
    </row>
    <row r="12" customFormat="false" ht="15" hidden="false" customHeight="false" outlineLevel="0" collapsed="false">
      <c r="A12" s="3" t="s">
        <v>63</v>
      </c>
      <c r="B12" s="3" t="s">
        <v>64</v>
      </c>
      <c r="C12" s="3" t="s">
        <v>65</v>
      </c>
      <c r="D12" s="3" t="s">
        <v>34</v>
      </c>
      <c r="E12" s="3" t="s">
        <v>34</v>
      </c>
      <c r="F12" s="3" t="n">
        <v>5</v>
      </c>
      <c r="G12" s="3" t="s">
        <v>66</v>
      </c>
      <c r="H12" s="1" t="b">
        <f aca="false">TRUE()</f>
        <v>1</v>
      </c>
      <c r="I12" s="3" t="s">
        <v>57</v>
      </c>
      <c r="J12" s="3" t="s">
        <v>57</v>
      </c>
      <c r="K12" s="1" t="b">
        <f aca="false">TRUE()</f>
        <v>1</v>
      </c>
      <c r="L12" s="1" t="b">
        <f aca="false">FALSE()</f>
        <v>0</v>
      </c>
      <c r="M12" s="1" t="b">
        <f aca="false">FALSE()</f>
        <v>0</v>
      </c>
      <c r="N12" s="1" t="b">
        <f aca="false">FALSE()</f>
        <v>0</v>
      </c>
      <c r="O12" s="1" t="b">
        <f aca="false">TRUE()</f>
        <v>1</v>
      </c>
    </row>
    <row r="13" customFormat="false" ht="15" hidden="false" customHeight="false" outlineLevel="0" collapsed="false">
      <c r="A13" s="3" t="s">
        <v>67</v>
      </c>
      <c r="B13" s="3" t="s">
        <v>68</v>
      </c>
      <c r="C13" s="3" t="s">
        <v>69</v>
      </c>
      <c r="D13" s="3" t="s">
        <v>20</v>
      </c>
      <c r="E13" s="3" t="s">
        <v>20</v>
      </c>
      <c r="F13" s="3" t="n">
        <v>1</v>
      </c>
      <c r="G13" s="3" t="s">
        <v>70</v>
      </c>
      <c r="H13" s="1" t="b">
        <f aca="false">TRUE()</f>
        <v>1</v>
      </c>
      <c r="I13" s="3" t="s">
        <v>22</v>
      </c>
      <c r="J13" s="3" t="s">
        <v>22</v>
      </c>
      <c r="K13" s="1" t="b">
        <f aca="false">TRUE()</f>
        <v>1</v>
      </c>
      <c r="L13" s="1" t="b">
        <f aca="false">FALSE()</f>
        <v>0</v>
      </c>
      <c r="M13" s="1" t="b">
        <f aca="false">FALSE()</f>
        <v>0</v>
      </c>
      <c r="N13" s="1" t="b">
        <f aca="false">FALSE()</f>
        <v>0</v>
      </c>
      <c r="O13" s="1" t="b">
        <f aca="false">FALSE()</f>
        <v>0</v>
      </c>
    </row>
    <row r="14" customFormat="false" ht="15" hidden="false" customHeight="false" outlineLevel="0" collapsed="false">
      <c r="A14" s="3" t="s">
        <v>71</v>
      </c>
      <c r="B14" s="3" t="s">
        <v>72</v>
      </c>
      <c r="C14" s="3" t="s">
        <v>73</v>
      </c>
      <c r="D14" s="3" t="s">
        <v>34</v>
      </c>
      <c r="E14" s="3" t="s">
        <v>34</v>
      </c>
      <c r="F14" s="3" t="n">
        <v>4</v>
      </c>
      <c r="G14" s="3" t="s">
        <v>74</v>
      </c>
      <c r="H14" s="1" t="b">
        <f aca="false">TRUE()</f>
        <v>1</v>
      </c>
      <c r="I14" s="3" t="s">
        <v>75</v>
      </c>
      <c r="J14" s="3" t="s">
        <v>75</v>
      </c>
      <c r="K14" s="1" t="b">
        <f aca="false">TRUE()</f>
        <v>1</v>
      </c>
      <c r="L14" s="1" t="b">
        <f aca="false">FALSE()</f>
        <v>0</v>
      </c>
      <c r="M14" s="1" t="b">
        <f aca="false">TRUE()</f>
        <v>1</v>
      </c>
      <c r="N14" s="1" t="b">
        <f aca="false">FALSE()</f>
        <v>0</v>
      </c>
      <c r="O14" s="1" t="b">
        <f aca="false">FALSE()</f>
        <v>0</v>
      </c>
    </row>
    <row r="15" customFormat="false" ht="15" hidden="false" customHeight="false" outlineLevel="0" collapsed="false">
      <c r="A15" s="3" t="s">
        <v>76</v>
      </c>
      <c r="B15" s="3" t="s">
        <v>77</v>
      </c>
      <c r="C15" s="3" t="s">
        <v>78</v>
      </c>
      <c r="D15" s="3" t="s">
        <v>34</v>
      </c>
      <c r="E15" s="3" t="s">
        <v>34</v>
      </c>
      <c r="F15" s="3" t="n">
        <v>5</v>
      </c>
      <c r="G15" s="3" t="s">
        <v>79</v>
      </c>
      <c r="H15" s="1" t="b">
        <f aca="false">TRUE()</f>
        <v>1</v>
      </c>
      <c r="I15" s="3" t="s">
        <v>36</v>
      </c>
      <c r="J15" s="3" t="s">
        <v>36</v>
      </c>
      <c r="K15" s="1" t="b">
        <f aca="false">TRUE()</f>
        <v>1</v>
      </c>
      <c r="L15" s="1" t="b">
        <f aca="false">TRUE()</f>
        <v>1</v>
      </c>
      <c r="M15" s="1" t="b">
        <f aca="false">FALSE()</f>
        <v>0</v>
      </c>
      <c r="N15" s="1" t="b">
        <f aca="false">FALSE()</f>
        <v>0</v>
      </c>
      <c r="O15" s="1" t="b">
        <f aca="false">FALSE()</f>
        <v>0</v>
      </c>
    </row>
    <row r="16" customFormat="false" ht="15" hidden="false" customHeight="false" outlineLevel="0" collapsed="false">
      <c r="A16" s="3" t="s">
        <v>80</v>
      </c>
      <c r="B16" s="3" t="s">
        <v>81</v>
      </c>
      <c r="C16" s="3" t="s">
        <v>82</v>
      </c>
      <c r="D16" s="3" t="s">
        <v>20</v>
      </c>
      <c r="E16" s="3" t="s">
        <v>20</v>
      </c>
      <c r="F16" s="3" t="n">
        <v>1</v>
      </c>
      <c r="G16" s="3" t="s">
        <v>83</v>
      </c>
      <c r="H16" s="1" t="b">
        <f aca="false">TRUE()</f>
        <v>1</v>
      </c>
      <c r="I16" s="3" t="s">
        <v>22</v>
      </c>
      <c r="J16" s="3" t="s">
        <v>22</v>
      </c>
      <c r="K16" s="1" t="b">
        <f aca="false">TRUE()</f>
        <v>1</v>
      </c>
      <c r="L16" s="1" t="b">
        <f aca="false">FALSE()</f>
        <v>0</v>
      </c>
      <c r="M16" s="1" t="b">
        <f aca="false">FALSE()</f>
        <v>0</v>
      </c>
      <c r="N16" s="1" t="b">
        <f aca="false">FALSE()</f>
        <v>0</v>
      </c>
      <c r="O16" s="1" t="b">
        <f aca="false">FALSE()</f>
        <v>0</v>
      </c>
    </row>
    <row r="17" customFormat="false" ht="15" hidden="false" customHeight="false" outlineLevel="0" collapsed="false">
      <c r="A17" s="3" t="s">
        <v>84</v>
      </c>
      <c r="B17" s="3" t="s">
        <v>85</v>
      </c>
      <c r="C17" s="3" t="s">
        <v>86</v>
      </c>
      <c r="D17" s="3" t="s">
        <v>20</v>
      </c>
      <c r="E17" s="3" t="s">
        <v>20</v>
      </c>
      <c r="F17" s="3" t="n">
        <v>2</v>
      </c>
      <c r="G17" s="3" t="s">
        <v>87</v>
      </c>
      <c r="H17" s="1" t="b">
        <f aca="false">TRUE()</f>
        <v>1</v>
      </c>
      <c r="I17" s="3" t="s">
        <v>22</v>
      </c>
      <c r="J17" s="3" t="s">
        <v>22</v>
      </c>
      <c r="K17" s="1" t="b">
        <f aca="false">TRUE()</f>
        <v>1</v>
      </c>
      <c r="L17" s="1" t="b">
        <f aca="false">FALSE()</f>
        <v>0</v>
      </c>
      <c r="M17" s="1" t="b">
        <f aca="false">FALSE()</f>
        <v>0</v>
      </c>
      <c r="N17" s="1" t="b">
        <f aca="false">FALSE()</f>
        <v>0</v>
      </c>
      <c r="O17" s="1" t="b">
        <f aca="false">FALSE()</f>
        <v>0</v>
      </c>
    </row>
    <row r="18" customFormat="false" ht="15" hidden="false" customHeight="false" outlineLevel="0" collapsed="false">
      <c r="A18" s="3" t="s">
        <v>88</v>
      </c>
      <c r="B18" s="3" t="s">
        <v>89</v>
      </c>
      <c r="C18" s="3" t="s">
        <v>90</v>
      </c>
      <c r="D18" s="3" t="s">
        <v>34</v>
      </c>
      <c r="E18" s="3" t="s">
        <v>34</v>
      </c>
      <c r="F18" s="3" t="n">
        <v>5</v>
      </c>
      <c r="G18" s="3" t="s">
        <v>91</v>
      </c>
      <c r="H18" s="1" t="b">
        <f aca="false">TRUE()</f>
        <v>1</v>
      </c>
      <c r="I18" s="3" t="s">
        <v>62</v>
      </c>
      <c r="J18" s="3" t="s">
        <v>62</v>
      </c>
      <c r="K18" s="1" t="b">
        <f aca="false">TRUE()</f>
        <v>1</v>
      </c>
      <c r="L18" s="1" t="b">
        <f aca="false">FALSE()</f>
        <v>0</v>
      </c>
      <c r="M18" s="1" t="b">
        <f aca="false">FALSE()</f>
        <v>0</v>
      </c>
      <c r="N18" s="1" t="b">
        <f aca="false">TRUE()</f>
        <v>1</v>
      </c>
      <c r="O18" s="1" t="b">
        <f aca="false">FALSE()</f>
        <v>0</v>
      </c>
    </row>
    <row r="19" customFormat="false" ht="15" hidden="false" customHeight="false" outlineLevel="0" collapsed="false">
      <c r="A19" s="3" t="s">
        <v>92</v>
      </c>
      <c r="B19" s="3" t="s">
        <v>93</v>
      </c>
      <c r="C19" s="3" t="s">
        <v>94</v>
      </c>
      <c r="D19" s="3" t="s">
        <v>34</v>
      </c>
      <c r="E19" s="3" t="s">
        <v>34</v>
      </c>
      <c r="F19" s="3" t="n">
        <v>5</v>
      </c>
      <c r="G19" s="3" t="s">
        <v>95</v>
      </c>
      <c r="H19" s="1" t="b">
        <f aca="false">TRUE()</f>
        <v>1</v>
      </c>
      <c r="I19" s="3" t="s">
        <v>75</v>
      </c>
      <c r="J19" s="3" t="s">
        <v>75</v>
      </c>
      <c r="K19" s="1" t="b">
        <f aca="false">TRUE()</f>
        <v>1</v>
      </c>
      <c r="L19" s="1" t="b">
        <f aca="false">FALSE()</f>
        <v>0</v>
      </c>
      <c r="M19" s="1" t="b">
        <f aca="false">TRUE()</f>
        <v>1</v>
      </c>
      <c r="N19" s="1" t="b">
        <f aca="false">FALSE()</f>
        <v>0</v>
      </c>
      <c r="O19" s="1" t="b">
        <f aca="false">FALSE()</f>
        <v>0</v>
      </c>
    </row>
    <row r="20" customFormat="false" ht="15" hidden="false" customHeight="false" outlineLevel="0" collapsed="false">
      <c r="A20" s="3" t="s">
        <v>96</v>
      </c>
      <c r="B20" s="3" t="s">
        <v>97</v>
      </c>
      <c r="C20" s="3" t="s">
        <v>98</v>
      </c>
      <c r="D20" s="3" t="s">
        <v>34</v>
      </c>
      <c r="E20" s="3" t="s">
        <v>34</v>
      </c>
      <c r="F20" s="3" t="n">
        <v>4</v>
      </c>
      <c r="G20" s="3" t="s">
        <v>99</v>
      </c>
      <c r="H20" s="1" t="b">
        <f aca="false">TRUE()</f>
        <v>1</v>
      </c>
      <c r="I20" s="3" t="s">
        <v>75</v>
      </c>
      <c r="J20" s="3" t="s">
        <v>75</v>
      </c>
      <c r="K20" s="1" t="b">
        <f aca="false">TRUE()</f>
        <v>1</v>
      </c>
      <c r="L20" s="1" t="b">
        <f aca="false">FALSE()</f>
        <v>0</v>
      </c>
      <c r="M20" s="1" t="b">
        <f aca="false">TRUE()</f>
        <v>1</v>
      </c>
      <c r="N20" s="1" t="b">
        <f aca="false">FALSE()</f>
        <v>0</v>
      </c>
      <c r="O20" s="1" t="b">
        <f aca="false">FALSE()</f>
        <v>0</v>
      </c>
    </row>
    <row r="21" customFormat="false" ht="45.1" hidden="false" customHeight="false" outlineLevel="0" collapsed="false">
      <c r="A21" s="3" t="s">
        <v>100</v>
      </c>
      <c r="B21" s="3" t="s">
        <v>101</v>
      </c>
      <c r="C21" s="4" t="s">
        <v>102</v>
      </c>
      <c r="D21" s="3" t="s">
        <v>20</v>
      </c>
      <c r="E21" s="3" t="s">
        <v>20</v>
      </c>
      <c r="F21" s="3" t="n">
        <v>1</v>
      </c>
      <c r="G21" s="3" t="s">
        <v>103</v>
      </c>
      <c r="H21" s="1" t="b">
        <f aca="false">TRUE()</f>
        <v>1</v>
      </c>
      <c r="I21" s="3" t="s">
        <v>22</v>
      </c>
      <c r="J21" s="3" t="s">
        <v>22</v>
      </c>
      <c r="K21" s="1" t="b">
        <f aca="false">TRUE()</f>
        <v>1</v>
      </c>
      <c r="L21" s="1" t="b">
        <f aca="false">FALSE()</f>
        <v>0</v>
      </c>
      <c r="M21" s="1" t="b">
        <f aca="false">FALSE()</f>
        <v>0</v>
      </c>
      <c r="N21" s="1" t="b">
        <f aca="false">FALSE()</f>
        <v>0</v>
      </c>
      <c r="O21" s="1" t="b">
        <f aca="false">FALSE()</f>
        <v>0</v>
      </c>
    </row>
    <row r="22" customFormat="false" ht="34.2" hidden="false" customHeight="false" outlineLevel="0" collapsed="false">
      <c r="A22" s="3" t="s">
        <v>104</v>
      </c>
      <c r="B22" s="3" t="s">
        <v>105</v>
      </c>
      <c r="C22" s="4" t="s">
        <v>106</v>
      </c>
      <c r="D22" s="3" t="s">
        <v>34</v>
      </c>
      <c r="E22" s="3" t="s">
        <v>34</v>
      </c>
      <c r="F22" s="3" t="n">
        <v>5</v>
      </c>
      <c r="G22" s="3" t="s">
        <v>107</v>
      </c>
      <c r="H22" s="1" t="b">
        <f aca="false">TRUE()</f>
        <v>1</v>
      </c>
      <c r="I22" s="3" t="s">
        <v>36</v>
      </c>
      <c r="J22" s="3" t="s">
        <v>36</v>
      </c>
      <c r="K22" s="1" t="b">
        <f aca="false">TRUE()</f>
        <v>1</v>
      </c>
      <c r="L22" s="1" t="b">
        <f aca="false">TRUE()</f>
        <v>1</v>
      </c>
      <c r="M22" s="1" t="b">
        <f aca="false">FALSE()</f>
        <v>0</v>
      </c>
      <c r="N22" s="1" t="b">
        <f aca="false">FALSE()</f>
        <v>0</v>
      </c>
      <c r="O22" s="1" t="b">
        <f aca="false">FALSE()</f>
        <v>0</v>
      </c>
    </row>
    <row r="23" customFormat="false" ht="15" hidden="false" customHeight="false" outlineLevel="0" collapsed="false">
      <c r="A23" s="3" t="s">
        <v>108</v>
      </c>
      <c r="B23" s="3" t="s">
        <v>109</v>
      </c>
      <c r="C23" s="3" t="s">
        <v>110</v>
      </c>
      <c r="D23" s="3" t="s">
        <v>20</v>
      </c>
      <c r="E23" s="3" t="s">
        <v>20</v>
      </c>
      <c r="F23" s="3" t="n">
        <v>1</v>
      </c>
      <c r="G23" s="3" t="s">
        <v>111</v>
      </c>
      <c r="H23" s="1" t="b">
        <f aca="false">TRUE()</f>
        <v>1</v>
      </c>
      <c r="I23" s="3" t="s">
        <v>22</v>
      </c>
      <c r="J23" s="3" t="s">
        <v>22</v>
      </c>
      <c r="K23" s="1" t="b">
        <f aca="false">TRUE()</f>
        <v>1</v>
      </c>
      <c r="L23" s="1" t="b">
        <f aca="false">FALSE()</f>
        <v>0</v>
      </c>
      <c r="M23" s="1" t="b">
        <f aca="false">FALSE()</f>
        <v>0</v>
      </c>
      <c r="N23" s="1" t="b">
        <f aca="false">FALSE()</f>
        <v>0</v>
      </c>
      <c r="O23" s="1" t="b">
        <f aca="false">FALSE()</f>
        <v>0</v>
      </c>
    </row>
    <row r="24" customFormat="false" ht="15" hidden="false" customHeight="false" outlineLevel="0" collapsed="false">
      <c r="A24" s="3" t="s">
        <v>112</v>
      </c>
      <c r="B24" s="3" t="s">
        <v>113</v>
      </c>
      <c r="C24" s="3" t="s">
        <v>114</v>
      </c>
      <c r="D24" s="3" t="s">
        <v>34</v>
      </c>
      <c r="E24" s="3" t="s">
        <v>34</v>
      </c>
      <c r="F24" s="3" t="n">
        <v>5</v>
      </c>
      <c r="G24" s="3" t="s">
        <v>115</v>
      </c>
      <c r="H24" s="1" t="b">
        <f aca="false">TRUE()</f>
        <v>1</v>
      </c>
      <c r="I24" s="3" t="s">
        <v>57</v>
      </c>
      <c r="J24" s="3" t="s">
        <v>57</v>
      </c>
      <c r="K24" s="1" t="b">
        <f aca="false">TRUE()</f>
        <v>1</v>
      </c>
      <c r="L24" s="1" t="b">
        <f aca="false">FALSE()</f>
        <v>0</v>
      </c>
      <c r="M24" s="1" t="b">
        <f aca="false">FALSE()</f>
        <v>0</v>
      </c>
      <c r="N24" s="1" t="b">
        <f aca="false">FALSE()</f>
        <v>0</v>
      </c>
      <c r="O24" s="1" t="b">
        <f aca="false">TRUE()</f>
        <v>1</v>
      </c>
    </row>
    <row r="25" customFormat="false" ht="15" hidden="false" customHeight="false" outlineLevel="0" collapsed="false">
      <c r="A25" s="3" t="s">
        <v>116</v>
      </c>
      <c r="B25" s="3" t="s">
        <v>117</v>
      </c>
      <c r="C25" s="3" t="s">
        <v>118</v>
      </c>
      <c r="D25" s="3" t="s">
        <v>34</v>
      </c>
      <c r="E25" s="3" t="s">
        <v>34</v>
      </c>
      <c r="F25" s="3" t="n">
        <v>5</v>
      </c>
      <c r="G25" s="3" t="s">
        <v>119</v>
      </c>
      <c r="H25" s="1" t="b">
        <f aca="false">TRUE()</f>
        <v>1</v>
      </c>
      <c r="I25" s="3" t="s">
        <v>36</v>
      </c>
      <c r="J25" s="3" t="s">
        <v>36</v>
      </c>
      <c r="K25" s="1" t="b">
        <f aca="false">TRUE()</f>
        <v>1</v>
      </c>
      <c r="L25" s="1" t="b">
        <f aca="false">TRUE()</f>
        <v>1</v>
      </c>
      <c r="M25" s="1" t="b">
        <f aca="false">FALSE()</f>
        <v>0</v>
      </c>
      <c r="N25" s="1" t="b">
        <f aca="false">FALSE()</f>
        <v>0</v>
      </c>
      <c r="O25" s="1" t="b">
        <f aca="false">FALSE()</f>
        <v>0</v>
      </c>
    </row>
    <row r="26" customFormat="false" ht="23.3" hidden="false" customHeight="false" outlineLevel="0" collapsed="false">
      <c r="A26" s="3" t="s">
        <v>120</v>
      </c>
      <c r="B26" s="3" t="s">
        <v>121</v>
      </c>
      <c r="C26" s="4" t="s">
        <v>122</v>
      </c>
      <c r="D26" s="3" t="s">
        <v>20</v>
      </c>
      <c r="E26" s="3" t="s">
        <v>20</v>
      </c>
      <c r="F26" s="3" t="n">
        <v>2</v>
      </c>
      <c r="G26" s="3" t="s">
        <v>123</v>
      </c>
      <c r="H26" s="1" t="b">
        <f aca="false">TRUE()</f>
        <v>1</v>
      </c>
      <c r="I26" s="3" t="s">
        <v>22</v>
      </c>
      <c r="J26" s="3" t="s">
        <v>22</v>
      </c>
      <c r="K26" s="1" t="b">
        <f aca="false">TRUE()</f>
        <v>1</v>
      </c>
      <c r="L26" s="1" t="b">
        <f aca="false">FALSE()</f>
        <v>0</v>
      </c>
      <c r="M26" s="1" t="b">
        <f aca="false">FALSE()</f>
        <v>0</v>
      </c>
      <c r="N26" s="1" t="b">
        <f aca="false">FALSE()</f>
        <v>0</v>
      </c>
      <c r="O26" s="1" t="b">
        <f aca="false">FALSE()</f>
        <v>0</v>
      </c>
    </row>
    <row r="27" customFormat="false" ht="15" hidden="false" customHeight="false" outlineLevel="0" collapsed="false">
      <c r="A27" s="3" t="s">
        <v>124</v>
      </c>
      <c r="B27" s="3" t="s">
        <v>125</v>
      </c>
      <c r="C27" s="3" t="s">
        <v>126</v>
      </c>
      <c r="D27" s="3" t="s">
        <v>34</v>
      </c>
      <c r="E27" s="3" t="s">
        <v>34</v>
      </c>
      <c r="F27" s="3" t="n">
        <v>4</v>
      </c>
      <c r="G27" s="3" t="s">
        <v>127</v>
      </c>
      <c r="H27" s="1" t="b">
        <f aca="false">TRUE()</f>
        <v>1</v>
      </c>
      <c r="I27" s="3" t="s">
        <v>57</v>
      </c>
      <c r="J27" s="3" t="s">
        <v>57</v>
      </c>
      <c r="K27" s="1" t="b">
        <f aca="false">TRUE()</f>
        <v>1</v>
      </c>
      <c r="L27" s="1" t="b">
        <f aca="false">TRUE()</f>
        <v>1</v>
      </c>
      <c r="M27" s="1" t="b">
        <f aca="false">FALSE()</f>
        <v>0</v>
      </c>
      <c r="N27" s="1" t="b">
        <f aca="false">TRUE()</f>
        <v>1</v>
      </c>
      <c r="O27" s="1" t="b">
        <f aca="false">FALSE()</f>
        <v>0</v>
      </c>
    </row>
    <row r="28" customFormat="false" ht="15" hidden="false" customHeight="false" outlineLevel="0" collapsed="false">
      <c r="A28" s="3" t="s">
        <v>128</v>
      </c>
      <c r="B28" s="3" t="s">
        <v>129</v>
      </c>
      <c r="C28" s="3" t="s">
        <v>130</v>
      </c>
      <c r="D28" s="3" t="s">
        <v>34</v>
      </c>
      <c r="E28" s="3" t="s">
        <v>34</v>
      </c>
      <c r="F28" s="3" t="n">
        <v>3</v>
      </c>
      <c r="G28" s="3" t="s">
        <v>131</v>
      </c>
      <c r="H28" s="1" t="b">
        <f aca="false">TRUE()</f>
        <v>1</v>
      </c>
      <c r="I28" s="3" t="s">
        <v>36</v>
      </c>
      <c r="J28" s="3" t="s">
        <v>36</v>
      </c>
      <c r="K28" s="1" t="b">
        <f aca="false">TRUE()</f>
        <v>1</v>
      </c>
      <c r="L28" s="1" t="b">
        <f aca="false">TRUE()</f>
        <v>1</v>
      </c>
      <c r="M28" s="1" t="b">
        <f aca="false">FALSE()</f>
        <v>0</v>
      </c>
      <c r="N28" s="1" t="b">
        <f aca="false">FALSE()</f>
        <v>0</v>
      </c>
      <c r="O28" s="1" t="b">
        <f aca="false">FALSE()</f>
        <v>0</v>
      </c>
    </row>
    <row r="29" customFormat="false" ht="15" hidden="false" customHeight="false" outlineLevel="0" collapsed="false">
      <c r="A29" s="3" t="s">
        <v>132</v>
      </c>
      <c r="B29" s="3" t="s">
        <v>133</v>
      </c>
      <c r="C29" s="3" t="s">
        <v>134</v>
      </c>
      <c r="D29" s="3" t="s">
        <v>34</v>
      </c>
      <c r="E29" s="3" t="s">
        <v>34</v>
      </c>
      <c r="F29" s="3" t="n">
        <v>4</v>
      </c>
      <c r="G29" s="3" t="s">
        <v>135</v>
      </c>
      <c r="H29" s="1" t="b">
        <f aca="false">TRUE()</f>
        <v>1</v>
      </c>
      <c r="I29" s="3" t="s">
        <v>36</v>
      </c>
      <c r="J29" s="3" t="s">
        <v>36</v>
      </c>
      <c r="K29" s="1" t="b">
        <f aca="false">TRUE()</f>
        <v>1</v>
      </c>
      <c r="L29" s="1" t="b">
        <f aca="false">TRUE()</f>
        <v>1</v>
      </c>
      <c r="M29" s="1" t="b">
        <f aca="false">FALSE()</f>
        <v>0</v>
      </c>
      <c r="N29" s="1" t="b">
        <f aca="false">FALSE()</f>
        <v>0</v>
      </c>
      <c r="O29" s="1" t="b">
        <f aca="false">FALSE()</f>
        <v>0</v>
      </c>
    </row>
    <row r="30" customFormat="false" ht="15" hidden="false" customHeight="false" outlineLevel="0" collapsed="false">
      <c r="A30" s="3" t="s">
        <v>136</v>
      </c>
      <c r="B30" s="3" t="s">
        <v>137</v>
      </c>
      <c r="C30" s="3" t="s">
        <v>138</v>
      </c>
      <c r="D30" s="3" t="s">
        <v>20</v>
      </c>
      <c r="E30" s="3" t="s">
        <v>20</v>
      </c>
      <c r="F30" s="3" t="n">
        <v>2</v>
      </c>
      <c r="G30" s="3" t="s">
        <v>139</v>
      </c>
      <c r="H30" s="1" t="b">
        <f aca="false">TRUE()</f>
        <v>1</v>
      </c>
      <c r="I30" s="3" t="s">
        <v>22</v>
      </c>
      <c r="J30" s="3" t="s">
        <v>22</v>
      </c>
      <c r="K30" s="1" t="b">
        <f aca="false">TRUE()</f>
        <v>1</v>
      </c>
      <c r="L30" s="1" t="b">
        <f aca="false">FALSE()</f>
        <v>0</v>
      </c>
      <c r="M30" s="1" t="b">
        <f aca="false">FALSE()</f>
        <v>0</v>
      </c>
      <c r="N30" s="1" t="b">
        <f aca="false">FALSE()</f>
        <v>0</v>
      </c>
      <c r="O30" s="1" t="b">
        <f aca="false">FALSE()</f>
        <v>0</v>
      </c>
    </row>
    <row r="31" customFormat="false" ht="15" hidden="false" customHeight="false" outlineLevel="0" collapsed="false">
      <c r="A31" s="3" t="s">
        <v>140</v>
      </c>
      <c r="B31" s="3" t="s">
        <v>141</v>
      </c>
      <c r="C31" s="3" t="s">
        <v>142</v>
      </c>
      <c r="D31" s="3" t="s">
        <v>34</v>
      </c>
      <c r="E31" s="3" t="s">
        <v>34</v>
      </c>
      <c r="F31" s="3" t="n">
        <v>5</v>
      </c>
      <c r="G31" s="3" t="s">
        <v>143</v>
      </c>
      <c r="H31" s="1" t="b">
        <f aca="false">TRUE()</f>
        <v>1</v>
      </c>
      <c r="I31" s="3" t="s">
        <v>75</v>
      </c>
      <c r="J31" s="3" t="s">
        <v>75</v>
      </c>
      <c r="K31" s="1" t="b">
        <f aca="false">TRUE()</f>
        <v>1</v>
      </c>
      <c r="L31" s="1" t="b">
        <f aca="false">FALSE()</f>
        <v>0</v>
      </c>
      <c r="M31" s="1" t="b">
        <f aca="false">TRUE()</f>
        <v>1</v>
      </c>
      <c r="N31" s="1" t="b">
        <f aca="false">FALSE()</f>
        <v>0</v>
      </c>
      <c r="O31" s="1" t="b">
        <f aca="false">FALSE()</f>
        <v>0</v>
      </c>
    </row>
    <row r="32" customFormat="false" ht="15" hidden="false" customHeight="false" outlineLevel="0" collapsed="false">
      <c r="A32" s="3" t="s">
        <v>144</v>
      </c>
      <c r="B32" s="3" t="s">
        <v>145</v>
      </c>
      <c r="C32" s="3" t="s">
        <v>146</v>
      </c>
      <c r="D32" s="3" t="s">
        <v>20</v>
      </c>
      <c r="E32" s="3" t="s">
        <v>20</v>
      </c>
      <c r="F32" s="3" t="n">
        <v>1</v>
      </c>
      <c r="G32" s="3" t="s">
        <v>147</v>
      </c>
      <c r="H32" s="1" t="b">
        <f aca="false">TRUE()</f>
        <v>1</v>
      </c>
      <c r="I32" s="3" t="s">
        <v>22</v>
      </c>
      <c r="J32" s="3" t="s">
        <v>22</v>
      </c>
      <c r="K32" s="1" t="b">
        <f aca="false">TRUE()</f>
        <v>1</v>
      </c>
      <c r="L32" s="1" t="b">
        <f aca="false">FALSE()</f>
        <v>0</v>
      </c>
      <c r="M32" s="1" t="b">
        <f aca="false">FALSE()</f>
        <v>0</v>
      </c>
      <c r="N32" s="1" t="b">
        <f aca="false">FALSE()</f>
        <v>0</v>
      </c>
      <c r="O32" s="1" t="b">
        <f aca="false">FALSE()</f>
        <v>0</v>
      </c>
    </row>
    <row r="33" customFormat="false" ht="15" hidden="false" customHeight="false" outlineLevel="0" collapsed="false">
      <c r="A33" s="3" t="s">
        <v>148</v>
      </c>
      <c r="B33" s="3" t="s">
        <v>149</v>
      </c>
      <c r="C33" s="3" t="s">
        <v>150</v>
      </c>
      <c r="D33" s="3" t="s">
        <v>34</v>
      </c>
      <c r="E33" s="3" t="s">
        <v>34</v>
      </c>
      <c r="F33" s="3" t="n">
        <v>5</v>
      </c>
      <c r="G33" s="3" t="s">
        <v>151</v>
      </c>
      <c r="H33" s="1" t="b">
        <f aca="false">TRUE()</f>
        <v>1</v>
      </c>
      <c r="I33" s="3" t="s">
        <v>62</v>
      </c>
      <c r="J33" s="3" t="s">
        <v>62</v>
      </c>
      <c r="K33" s="1" t="b">
        <f aca="false">TRUE()</f>
        <v>1</v>
      </c>
      <c r="L33" s="1" t="b">
        <f aca="false">FALSE()</f>
        <v>0</v>
      </c>
      <c r="M33" s="1" t="b">
        <f aca="false">FALSE()</f>
        <v>0</v>
      </c>
      <c r="N33" s="1" t="b">
        <f aca="false">TRUE()</f>
        <v>1</v>
      </c>
      <c r="O33" s="1" t="b">
        <f aca="false">FALSE()</f>
        <v>0</v>
      </c>
    </row>
    <row r="34" customFormat="false" ht="15" hidden="false" customHeight="false" outlineLevel="0" collapsed="false">
      <c r="A34" s="3" t="s">
        <v>152</v>
      </c>
      <c r="B34" s="3" t="s">
        <v>153</v>
      </c>
      <c r="C34" s="3" t="s">
        <v>154</v>
      </c>
      <c r="D34" s="3" t="s">
        <v>34</v>
      </c>
      <c r="E34" s="3" t="s">
        <v>34</v>
      </c>
      <c r="F34" s="3" t="n">
        <v>5</v>
      </c>
      <c r="G34" s="3" t="s">
        <v>155</v>
      </c>
      <c r="H34" s="1" t="b">
        <f aca="false">TRUE()</f>
        <v>1</v>
      </c>
      <c r="I34" s="3" t="s">
        <v>62</v>
      </c>
      <c r="J34" s="3" t="s">
        <v>62</v>
      </c>
      <c r="K34" s="1" t="b">
        <f aca="false">TRUE()</f>
        <v>1</v>
      </c>
      <c r="L34" s="1" t="b">
        <f aca="false">FALSE()</f>
        <v>0</v>
      </c>
      <c r="M34" s="1" t="b">
        <f aca="false">FALSE()</f>
        <v>0</v>
      </c>
      <c r="N34" s="1" t="b">
        <f aca="false">TRUE()</f>
        <v>1</v>
      </c>
      <c r="O34" s="1" t="b">
        <f aca="false">FALSE()</f>
        <v>0</v>
      </c>
    </row>
    <row r="35" customFormat="false" ht="23.3" hidden="false" customHeight="false" outlineLevel="0" collapsed="false">
      <c r="A35" s="3" t="s">
        <v>156</v>
      </c>
      <c r="B35" s="3" t="s">
        <v>157</v>
      </c>
      <c r="C35" s="3" t="s">
        <v>158</v>
      </c>
      <c r="D35" s="3" t="s">
        <v>34</v>
      </c>
      <c r="E35" s="3" t="s">
        <v>20</v>
      </c>
      <c r="F35" s="3" t="n">
        <v>2</v>
      </c>
      <c r="G35" s="3" t="s">
        <v>159</v>
      </c>
      <c r="H35" s="5" t="b">
        <f aca="false">FALSE()</f>
        <v>0</v>
      </c>
      <c r="I35" s="3" t="s">
        <v>62</v>
      </c>
      <c r="J35" s="3" t="s">
        <v>22</v>
      </c>
      <c r="K35" s="1" t="b">
        <f aca="false">FALSE()</f>
        <v>0</v>
      </c>
      <c r="L35" s="1" t="b">
        <f aca="false">FALSE()</f>
        <v>0</v>
      </c>
      <c r="M35" s="1" t="b">
        <f aca="false">FALSE()</f>
        <v>0</v>
      </c>
      <c r="N35" s="1" t="b">
        <f aca="false">FALSE()</f>
        <v>0</v>
      </c>
      <c r="O35" s="1" t="b">
        <f aca="false">FALSE()</f>
        <v>0</v>
      </c>
      <c r="Q35" s="2" t="s">
        <v>160</v>
      </c>
    </row>
    <row r="36" customFormat="false" ht="15" hidden="false" customHeight="false" outlineLevel="0" collapsed="false">
      <c r="A36" s="3" t="s">
        <v>161</v>
      </c>
      <c r="B36" s="3" t="s">
        <v>162</v>
      </c>
      <c r="C36" s="3" t="s">
        <v>163</v>
      </c>
      <c r="D36" s="3" t="s">
        <v>34</v>
      </c>
      <c r="E36" s="3" t="s">
        <v>34</v>
      </c>
      <c r="F36" s="3" t="n">
        <v>5</v>
      </c>
      <c r="G36" s="3" t="s">
        <v>164</v>
      </c>
      <c r="H36" s="1" t="b">
        <f aca="false">TRUE()</f>
        <v>1</v>
      </c>
      <c r="I36" s="3" t="s">
        <v>62</v>
      </c>
      <c r="J36" s="3" t="s">
        <v>62</v>
      </c>
      <c r="K36" s="1" t="b">
        <f aca="false">TRUE()</f>
        <v>1</v>
      </c>
      <c r="L36" s="1" t="b">
        <f aca="false">FALSE()</f>
        <v>0</v>
      </c>
      <c r="M36" s="1" t="b">
        <f aca="false">FALSE()</f>
        <v>0</v>
      </c>
      <c r="N36" s="1" t="b">
        <f aca="false">TRUE()</f>
        <v>1</v>
      </c>
      <c r="O36" s="1" t="b">
        <f aca="false">FALSE()</f>
        <v>0</v>
      </c>
    </row>
    <row r="37" customFormat="false" ht="15" hidden="false" customHeight="false" outlineLevel="0" collapsed="false">
      <c r="A37" s="3" t="s">
        <v>165</v>
      </c>
      <c r="B37" s="3" t="s">
        <v>166</v>
      </c>
      <c r="C37" s="3" t="s">
        <v>167</v>
      </c>
      <c r="D37" s="3" t="s">
        <v>20</v>
      </c>
      <c r="E37" s="3" t="s">
        <v>20</v>
      </c>
      <c r="F37" s="3" t="n">
        <v>1</v>
      </c>
      <c r="G37" s="3" t="s">
        <v>168</v>
      </c>
      <c r="H37" s="1" t="b">
        <f aca="false">TRUE()</f>
        <v>1</v>
      </c>
      <c r="I37" s="3" t="s">
        <v>22</v>
      </c>
      <c r="J37" s="3" t="s">
        <v>22</v>
      </c>
      <c r="K37" s="1" t="b">
        <f aca="false">TRUE()</f>
        <v>1</v>
      </c>
      <c r="L37" s="1" t="b">
        <f aca="false">FALSE()</f>
        <v>0</v>
      </c>
      <c r="M37" s="1" t="b">
        <f aca="false">FALSE()</f>
        <v>0</v>
      </c>
      <c r="N37" s="1" t="b">
        <f aca="false">FALSE()</f>
        <v>0</v>
      </c>
      <c r="O37" s="1" t="b">
        <f aca="false">FALSE()</f>
        <v>0</v>
      </c>
    </row>
    <row r="38" customFormat="false" ht="15" hidden="false" customHeight="false" outlineLevel="0" collapsed="false">
      <c r="A38" s="3" t="s">
        <v>169</v>
      </c>
      <c r="B38" s="3" t="s">
        <v>170</v>
      </c>
      <c r="C38" s="3" t="s">
        <v>171</v>
      </c>
      <c r="D38" s="3" t="s">
        <v>34</v>
      </c>
      <c r="E38" s="3" t="s">
        <v>34</v>
      </c>
      <c r="F38" s="3" t="n">
        <v>5</v>
      </c>
      <c r="G38" s="3" t="s">
        <v>172</v>
      </c>
      <c r="H38" s="1" t="b">
        <f aca="false">TRUE()</f>
        <v>1</v>
      </c>
      <c r="I38" s="3" t="s">
        <v>75</v>
      </c>
      <c r="J38" s="3" t="s">
        <v>75</v>
      </c>
      <c r="K38" s="1" t="b">
        <f aca="false">TRUE()</f>
        <v>1</v>
      </c>
      <c r="L38" s="1" t="b">
        <f aca="false">FALSE()</f>
        <v>0</v>
      </c>
      <c r="M38" s="1" t="b">
        <f aca="false">TRUE()</f>
        <v>1</v>
      </c>
      <c r="N38" s="1" t="b">
        <f aca="false">FALSE()</f>
        <v>0</v>
      </c>
      <c r="O38" s="1" t="b">
        <f aca="false">FALSE()</f>
        <v>0</v>
      </c>
    </row>
    <row r="39" customFormat="false" ht="15" hidden="false" customHeight="false" outlineLevel="0" collapsed="false">
      <c r="A39" s="3" t="s">
        <v>173</v>
      </c>
      <c r="B39" s="3" t="s">
        <v>174</v>
      </c>
      <c r="C39" s="3" t="s">
        <v>175</v>
      </c>
      <c r="D39" s="3" t="s">
        <v>34</v>
      </c>
      <c r="E39" s="3" t="s">
        <v>34</v>
      </c>
      <c r="F39" s="3" t="n">
        <v>4</v>
      </c>
      <c r="G39" s="3" t="s">
        <v>176</v>
      </c>
      <c r="H39" s="1" t="b">
        <f aca="false">TRUE()</f>
        <v>1</v>
      </c>
      <c r="I39" s="3" t="s">
        <v>36</v>
      </c>
      <c r="J39" s="3" t="s">
        <v>36</v>
      </c>
      <c r="K39" s="1" t="b">
        <f aca="false">TRUE()</f>
        <v>1</v>
      </c>
      <c r="L39" s="1" t="b">
        <f aca="false">TRUE()</f>
        <v>1</v>
      </c>
      <c r="M39" s="1" t="b">
        <f aca="false">FALSE()</f>
        <v>0</v>
      </c>
      <c r="N39" s="1" t="b">
        <f aca="false">FALSE()</f>
        <v>0</v>
      </c>
      <c r="O39" s="1" t="b">
        <f aca="false">FALSE()</f>
        <v>0</v>
      </c>
    </row>
    <row r="40" customFormat="false" ht="15" hidden="false" customHeight="false" outlineLevel="0" collapsed="false">
      <c r="A40" s="3" t="s">
        <v>177</v>
      </c>
      <c r="B40" s="3" t="s">
        <v>178</v>
      </c>
      <c r="C40" s="3" t="s">
        <v>179</v>
      </c>
      <c r="D40" s="3" t="s">
        <v>20</v>
      </c>
      <c r="E40" s="3" t="s">
        <v>20</v>
      </c>
      <c r="F40" s="3" t="n">
        <v>2</v>
      </c>
      <c r="G40" s="3" t="s">
        <v>180</v>
      </c>
      <c r="H40" s="1" t="b">
        <f aca="false">TRUE()</f>
        <v>1</v>
      </c>
      <c r="I40" s="3" t="s">
        <v>22</v>
      </c>
      <c r="J40" s="3" t="s">
        <v>22</v>
      </c>
      <c r="K40" s="1" t="b">
        <f aca="false">TRUE()</f>
        <v>1</v>
      </c>
      <c r="L40" s="1" t="b">
        <f aca="false">FALSE()</f>
        <v>0</v>
      </c>
      <c r="M40" s="1" t="b">
        <f aca="false">FALSE()</f>
        <v>0</v>
      </c>
      <c r="N40" s="1" t="b">
        <f aca="false">FALSE()</f>
        <v>0</v>
      </c>
      <c r="O40" s="1" t="b">
        <f aca="false">FALSE()</f>
        <v>0</v>
      </c>
    </row>
    <row r="41" customFormat="false" ht="66.9" hidden="false" customHeight="false" outlineLevel="0" collapsed="false">
      <c r="A41" s="3" t="s">
        <v>181</v>
      </c>
      <c r="B41" s="3" t="s">
        <v>182</v>
      </c>
      <c r="C41" s="3" t="s">
        <v>183</v>
      </c>
      <c r="D41" s="3" t="s">
        <v>34</v>
      </c>
      <c r="E41" s="3" t="s">
        <v>34</v>
      </c>
      <c r="F41" s="3" t="n">
        <v>4</v>
      </c>
      <c r="G41" s="3" t="s">
        <v>184</v>
      </c>
      <c r="H41" s="1" t="b">
        <f aca="false">TRUE()</f>
        <v>1</v>
      </c>
      <c r="I41" s="3" t="s">
        <v>36</v>
      </c>
      <c r="J41" s="3" t="s">
        <v>75</v>
      </c>
      <c r="K41" s="6" t="b">
        <f aca="false">FALSE()</f>
        <v>0</v>
      </c>
      <c r="L41" s="1" t="b">
        <f aca="false">FALSE()</f>
        <v>0</v>
      </c>
      <c r="M41" s="1" t="b">
        <f aca="false">TRUE()</f>
        <v>1</v>
      </c>
      <c r="N41" s="1" t="b">
        <f aca="false">FALSE()</f>
        <v>0</v>
      </c>
      <c r="O41" s="1" t="b">
        <f aca="false">FALSE()</f>
        <v>0</v>
      </c>
      <c r="R41" s="2" t="s">
        <v>185</v>
      </c>
    </row>
    <row r="42" customFormat="false" ht="15" hidden="false" customHeight="false" outlineLevel="0" collapsed="false">
      <c r="A42" s="3" t="s">
        <v>186</v>
      </c>
      <c r="B42" s="3" t="s">
        <v>187</v>
      </c>
      <c r="C42" s="3" t="s">
        <v>188</v>
      </c>
      <c r="D42" s="3" t="s">
        <v>20</v>
      </c>
      <c r="E42" s="3" t="s">
        <v>20</v>
      </c>
      <c r="F42" s="3" t="n">
        <v>2</v>
      </c>
      <c r="G42" s="3" t="s">
        <v>189</v>
      </c>
      <c r="H42" s="1" t="b">
        <f aca="false">TRUE()</f>
        <v>1</v>
      </c>
      <c r="I42" s="3" t="s">
        <v>22</v>
      </c>
      <c r="J42" s="3" t="s">
        <v>22</v>
      </c>
      <c r="K42" s="1" t="b">
        <f aca="false">TRUE()</f>
        <v>1</v>
      </c>
      <c r="L42" s="1" t="b">
        <f aca="false">FALSE()</f>
        <v>0</v>
      </c>
      <c r="M42" s="1" t="b">
        <f aca="false">FALSE()</f>
        <v>0</v>
      </c>
      <c r="N42" s="1" t="b">
        <f aca="false">FALSE()</f>
        <v>0</v>
      </c>
      <c r="O42" s="1" t="b">
        <f aca="false">FALSE()</f>
        <v>0</v>
      </c>
    </row>
    <row r="43" customFormat="false" ht="56" hidden="false" customHeight="false" outlineLevel="0" collapsed="false">
      <c r="A43" s="3" t="s">
        <v>190</v>
      </c>
      <c r="B43" s="3" t="s">
        <v>191</v>
      </c>
      <c r="C43" s="3" t="s">
        <v>192</v>
      </c>
      <c r="D43" s="3" t="s">
        <v>20</v>
      </c>
      <c r="E43" s="3" t="s">
        <v>34</v>
      </c>
      <c r="F43" s="3" t="n">
        <v>4</v>
      </c>
      <c r="G43" s="3" t="s">
        <v>193</v>
      </c>
      <c r="H43" s="7" t="b">
        <f aca="false">FALSE()</f>
        <v>0</v>
      </c>
      <c r="I43" s="3" t="s">
        <v>22</v>
      </c>
      <c r="J43" s="3" t="s">
        <v>75</v>
      </c>
      <c r="K43" s="1" t="b">
        <f aca="false">FALSE()</f>
        <v>0</v>
      </c>
      <c r="L43" s="1" t="b">
        <f aca="false">FALSE()</f>
        <v>0</v>
      </c>
      <c r="M43" s="1" t="b">
        <f aca="false">TRUE()</f>
        <v>1</v>
      </c>
      <c r="N43" s="1" t="b">
        <f aca="false">FALSE()</f>
        <v>0</v>
      </c>
      <c r="O43" s="1" t="b">
        <f aca="false">FALSE()</f>
        <v>0</v>
      </c>
      <c r="Q43" s="2" t="s">
        <v>194</v>
      </c>
    </row>
    <row r="44" customFormat="false" ht="15" hidden="false" customHeight="false" outlineLevel="0" collapsed="false">
      <c r="A44" s="3" t="s">
        <v>195</v>
      </c>
      <c r="B44" s="3" t="s">
        <v>196</v>
      </c>
      <c r="C44" s="3" t="s">
        <v>197</v>
      </c>
      <c r="D44" s="3" t="s">
        <v>34</v>
      </c>
      <c r="E44" s="3" t="s">
        <v>34</v>
      </c>
      <c r="F44" s="3" t="n">
        <v>4</v>
      </c>
      <c r="G44" s="3" t="s">
        <v>198</v>
      </c>
      <c r="H44" s="1" t="b">
        <f aca="false">TRUE()</f>
        <v>1</v>
      </c>
      <c r="I44" s="3" t="s">
        <v>57</v>
      </c>
      <c r="J44" s="3" t="s">
        <v>57</v>
      </c>
      <c r="K44" s="1" t="b">
        <f aca="false">TRUE()</f>
        <v>1</v>
      </c>
      <c r="L44" s="1" t="b">
        <f aca="false">TRUE()</f>
        <v>1</v>
      </c>
      <c r="M44" s="1" t="b">
        <f aca="false">TRUE()</f>
        <v>1</v>
      </c>
      <c r="N44" s="1" t="b">
        <f aca="false">FALSE()</f>
        <v>0</v>
      </c>
      <c r="O44" s="1" t="b">
        <f aca="false">FALSE()</f>
        <v>0</v>
      </c>
    </row>
    <row r="45" customFormat="false" ht="15" hidden="false" customHeight="false" outlineLevel="0" collapsed="false">
      <c r="A45" s="3" t="s">
        <v>199</v>
      </c>
      <c r="B45" s="3" t="s">
        <v>200</v>
      </c>
      <c r="C45" s="3" t="s">
        <v>201</v>
      </c>
      <c r="D45" s="3" t="s">
        <v>20</v>
      </c>
      <c r="E45" s="3" t="s">
        <v>20</v>
      </c>
      <c r="F45" s="3" t="n">
        <v>1</v>
      </c>
      <c r="G45" s="3" t="s">
        <v>202</v>
      </c>
      <c r="H45" s="1" t="b">
        <f aca="false">TRUE()</f>
        <v>1</v>
      </c>
      <c r="I45" s="3" t="s">
        <v>22</v>
      </c>
      <c r="J45" s="3" t="s">
        <v>22</v>
      </c>
      <c r="K45" s="1" t="b">
        <f aca="false">TRUE()</f>
        <v>1</v>
      </c>
      <c r="L45" s="1" t="b">
        <f aca="false">FALSE()</f>
        <v>0</v>
      </c>
      <c r="M45" s="1" t="b">
        <f aca="false">FALSE()</f>
        <v>0</v>
      </c>
      <c r="N45" s="1" t="b">
        <f aca="false">FALSE()</f>
        <v>0</v>
      </c>
      <c r="O45" s="1" t="b">
        <f aca="false">FALSE()</f>
        <v>0</v>
      </c>
    </row>
    <row r="46" customFormat="false" ht="15" hidden="false" customHeight="false" outlineLevel="0" collapsed="false">
      <c r="A46" s="3" t="s">
        <v>203</v>
      </c>
      <c r="B46" s="3" t="s">
        <v>204</v>
      </c>
      <c r="C46" s="3" t="s">
        <v>205</v>
      </c>
      <c r="D46" s="3" t="s">
        <v>34</v>
      </c>
      <c r="E46" s="3" t="s">
        <v>34</v>
      </c>
      <c r="F46" s="3" t="n">
        <v>4</v>
      </c>
      <c r="G46" s="3" t="s">
        <v>206</v>
      </c>
      <c r="H46" s="1" t="b">
        <f aca="false">TRUE()</f>
        <v>1</v>
      </c>
      <c r="I46" s="3" t="s">
        <v>75</v>
      </c>
      <c r="J46" s="3" t="s">
        <v>75</v>
      </c>
      <c r="K46" s="1" t="b">
        <f aca="false">TRUE()</f>
        <v>1</v>
      </c>
      <c r="L46" s="1" t="b">
        <f aca="false">FALSE()</f>
        <v>0</v>
      </c>
      <c r="M46" s="1" t="b">
        <f aca="false">TRUE()</f>
        <v>1</v>
      </c>
      <c r="N46" s="1" t="b">
        <f aca="false">FALSE()</f>
        <v>0</v>
      </c>
      <c r="O46" s="1" t="b">
        <f aca="false">FALSE()</f>
        <v>0</v>
      </c>
    </row>
    <row r="47" customFormat="false" ht="15" hidden="false" customHeight="false" outlineLevel="0" collapsed="false">
      <c r="A47" s="3" t="s">
        <v>207</v>
      </c>
      <c r="B47" s="3" t="s">
        <v>208</v>
      </c>
      <c r="C47" s="3" t="s">
        <v>209</v>
      </c>
      <c r="D47" s="3" t="s">
        <v>34</v>
      </c>
      <c r="E47" s="3" t="s">
        <v>34</v>
      </c>
      <c r="F47" s="3" t="n">
        <v>5</v>
      </c>
      <c r="G47" s="3" t="s">
        <v>210</v>
      </c>
      <c r="H47" s="1" t="b">
        <f aca="false">TRUE()</f>
        <v>1</v>
      </c>
      <c r="I47" s="3" t="s">
        <v>36</v>
      </c>
      <c r="J47" s="3" t="s">
        <v>36</v>
      </c>
      <c r="K47" s="1" t="b">
        <f aca="false">TRUE()</f>
        <v>1</v>
      </c>
      <c r="L47" s="1" t="b">
        <f aca="false">TRUE()</f>
        <v>1</v>
      </c>
      <c r="M47" s="1" t="b">
        <f aca="false">FALSE()</f>
        <v>0</v>
      </c>
      <c r="N47" s="1" t="b">
        <f aca="false">FALSE()</f>
        <v>0</v>
      </c>
      <c r="O47" s="1" t="b">
        <f aca="false">FALSE()</f>
        <v>0</v>
      </c>
    </row>
    <row r="48" customFormat="false" ht="15" hidden="false" customHeight="false" outlineLevel="0" collapsed="false">
      <c r="A48" s="3" t="s">
        <v>211</v>
      </c>
      <c r="B48" s="3" t="s">
        <v>212</v>
      </c>
      <c r="C48" s="3" t="s">
        <v>213</v>
      </c>
      <c r="D48" s="3" t="s">
        <v>34</v>
      </c>
      <c r="E48" s="3" t="s">
        <v>34</v>
      </c>
      <c r="F48" s="3" t="n">
        <v>5</v>
      </c>
      <c r="G48" s="3" t="s">
        <v>214</v>
      </c>
      <c r="H48" s="1" t="b">
        <f aca="false">TRUE()</f>
        <v>1</v>
      </c>
      <c r="I48" s="3" t="s">
        <v>75</v>
      </c>
      <c r="J48" s="3" t="s">
        <v>75</v>
      </c>
      <c r="K48" s="1" t="b">
        <f aca="false">TRUE()</f>
        <v>1</v>
      </c>
      <c r="L48" s="1" t="b">
        <f aca="false">FALSE()</f>
        <v>0</v>
      </c>
      <c r="M48" s="1" t="b">
        <f aca="false">TRUE()</f>
        <v>1</v>
      </c>
      <c r="N48" s="1" t="b">
        <f aca="false">FALSE()</f>
        <v>0</v>
      </c>
      <c r="O48" s="1" t="b">
        <f aca="false">FALSE()</f>
        <v>0</v>
      </c>
    </row>
    <row r="49" customFormat="false" ht="15" hidden="false" customHeight="false" outlineLevel="0" collapsed="false">
      <c r="A49" s="3" t="s">
        <v>215</v>
      </c>
      <c r="B49" s="3" t="s">
        <v>216</v>
      </c>
      <c r="C49" s="3" t="s">
        <v>217</v>
      </c>
      <c r="D49" s="3" t="s">
        <v>34</v>
      </c>
      <c r="E49" s="3" t="s">
        <v>34</v>
      </c>
      <c r="F49" s="3" t="n">
        <v>4</v>
      </c>
      <c r="G49" s="3" t="s">
        <v>218</v>
      </c>
      <c r="H49" s="1" t="b">
        <f aca="false">TRUE()</f>
        <v>1</v>
      </c>
      <c r="I49" s="3" t="s">
        <v>36</v>
      </c>
      <c r="J49" s="3" t="s">
        <v>36</v>
      </c>
      <c r="K49" s="1" t="b">
        <f aca="false">TRUE()</f>
        <v>1</v>
      </c>
      <c r="L49" s="1" t="b">
        <f aca="false">TRUE()</f>
        <v>1</v>
      </c>
      <c r="M49" s="1" t="b">
        <f aca="false">FALSE()</f>
        <v>0</v>
      </c>
      <c r="N49" s="1" t="b">
        <f aca="false">FALSE()</f>
        <v>0</v>
      </c>
      <c r="O49" s="1" t="b">
        <f aca="false">FALSE()</f>
        <v>0</v>
      </c>
    </row>
    <row r="50" customFormat="false" ht="15" hidden="false" customHeight="false" outlineLevel="0" collapsed="false">
      <c r="A50" s="3" t="s">
        <v>219</v>
      </c>
      <c r="B50" s="3" t="s">
        <v>220</v>
      </c>
      <c r="C50" s="3" t="s">
        <v>221</v>
      </c>
      <c r="D50" s="3" t="s">
        <v>20</v>
      </c>
      <c r="E50" s="3" t="s">
        <v>20</v>
      </c>
      <c r="F50" s="3" t="n">
        <v>1</v>
      </c>
      <c r="G50" s="3" t="s">
        <v>222</v>
      </c>
      <c r="H50" s="1" t="b">
        <f aca="false">TRUE()</f>
        <v>1</v>
      </c>
      <c r="I50" s="3" t="s">
        <v>22</v>
      </c>
      <c r="J50" s="3" t="s">
        <v>22</v>
      </c>
      <c r="K50" s="1" t="b">
        <f aca="false">TRUE()</f>
        <v>1</v>
      </c>
      <c r="L50" s="1" t="b">
        <f aca="false">FALSE()</f>
        <v>0</v>
      </c>
      <c r="M50" s="1" t="b">
        <f aca="false">FALSE()</f>
        <v>0</v>
      </c>
      <c r="N50" s="1" t="b">
        <f aca="false">FALSE()</f>
        <v>0</v>
      </c>
      <c r="O50" s="1" t="b">
        <f aca="false">FALSE()</f>
        <v>0</v>
      </c>
    </row>
    <row r="51" customFormat="false" ht="15" hidden="false" customHeight="false" outlineLevel="0" collapsed="false">
      <c r="A51" s="3" t="s">
        <v>223</v>
      </c>
      <c r="B51" s="3" t="s">
        <v>224</v>
      </c>
      <c r="C51" s="3" t="s">
        <v>225</v>
      </c>
      <c r="D51" s="3" t="s">
        <v>20</v>
      </c>
      <c r="E51" s="3" t="s">
        <v>20</v>
      </c>
      <c r="F51" s="3" t="n">
        <v>1</v>
      </c>
      <c r="G51" s="3" t="s">
        <v>226</v>
      </c>
      <c r="H51" s="1" t="b">
        <f aca="false">TRUE()</f>
        <v>1</v>
      </c>
      <c r="I51" s="3" t="s">
        <v>22</v>
      </c>
      <c r="J51" s="3" t="s">
        <v>22</v>
      </c>
      <c r="K51" s="1" t="b">
        <f aca="false">TRUE()</f>
        <v>1</v>
      </c>
      <c r="L51" s="1" t="b">
        <f aca="false">FALSE()</f>
        <v>0</v>
      </c>
      <c r="M51" s="1" t="b">
        <f aca="false">FALSE()</f>
        <v>0</v>
      </c>
      <c r="N51" s="1" t="b">
        <f aca="false">FALSE()</f>
        <v>0</v>
      </c>
      <c r="O51" s="1" t="b">
        <f aca="false">FALSE()</f>
        <v>0</v>
      </c>
    </row>
    <row r="52" customFormat="false" ht="15" hidden="false" customHeight="false" outlineLevel="0" collapsed="false">
      <c r="A52" s="3" t="s">
        <v>227</v>
      </c>
      <c r="B52" s="3" t="s">
        <v>228</v>
      </c>
      <c r="C52" s="3" t="s">
        <v>229</v>
      </c>
      <c r="D52" s="3" t="s">
        <v>34</v>
      </c>
      <c r="E52" s="3" t="s">
        <v>34</v>
      </c>
      <c r="F52" s="3" t="n">
        <v>4</v>
      </c>
      <c r="G52" s="3" t="s">
        <v>230</v>
      </c>
      <c r="H52" s="1" t="b">
        <f aca="false">TRUE()</f>
        <v>1</v>
      </c>
      <c r="I52" s="3" t="s">
        <v>36</v>
      </c>
      <c r="J52" s="3" t="s">
        <v>36</v>
      </c>
      <c r="K52" s="1" t="b">
        <f aca="false">TRUE()</f>
        <v>1</v>
      </c>
      <c r="L52" s="1" t="b">
        <f aca="false">TRUE()</f>
        <v>1</v>
      </c>
      <c r="M52" s="1" t="b">
        <f aca="false">FALSE()</f>
        <v>0</v>
      </c>
      <c r="N52" s="1" t="b">
        <f aca="false">FALSE()</f>
        <v>0</v>
      </c>
      <c r="O52" s="1" t="b">
        <f aca="false">FALSE()</f>
        <v>0</v>
      </c>
    </row>
    <row r="53" customFormat="false" ht="15" hidden="false" customHeight="false" outlineLevel="0" collapsed="false">
      <c r="A53" s="3" t="s">
        <v>231</v>
      </c>
      <c r="B53" s="3" t="s">
        <v>232</v>
      </c>
      <c r="C53" s="3" t="s">
        <v>233</v>
      </c>
      <c r="D53" s="3" t="s">
        <v>20</v>
      </c>
      <c r="E53" s="3" t="s">
        <v>20</v>
      </c>
      <c r="F53" s="3" t="n">
        <v>2</v>
      </c>
      <c r="G53" s="3" t="s">
        <v>234</v>
      </c>
      <c r="H53" s="1" t="b">
        <f aca="false">TRUE()</f>
        <v>1</v>
      </c>
      <c r="I53" s="3" t="s">
        <v>22</v>
      </c>
      <c r="J53" s="3" t="s">
        <v>22</v>
      </c>
      <c r="K53" s="1" t="b">
        <f aca="false">TRUE()</f>
        <v>1</v>
      </c>
      <c r="L53" s="1" t="b">
        <f aca="false">FALSE()</f>
        <v>0</v>
      </c>
      <c r="M53" s="1" t="b">
        <f aca="false">FALSE()</f>
        <v>0</v>
      </c>
      <c r="N53" s="1" t="b">
        <f aca="false">FALSE()</f>
        <v>0</v>
      </c>
      <c r="O53" s="1" t="b">
        <f aca="false">FALSE()</f>
        <v>0</v>
      </c>
    </row>
    <row r="54" customFormat="false" ht="15" hidden="false" customHeight="false" outlineLevel="0" collapsed="false">
      <c r="A54" s="3" t="s">
        <v>235</v>
      </c>
      <c r="B54" s="3" t="s">
        <v>236</v>
      </c>
      <c r="C54" s="3" t="s">
        <v>237</v>
      </c>
      <c r="D54" s="3" t="s">
        <v>20</v>
      </c>
      <c r="E54" s="3" t="s">
        <v>20</v>
      </c>
      <c r="F54" s="3" t="n">
        <v>2</v>
      </c>
      <c r="G54" s="3" t="s">
        <v>238</v>
      </c>
      <c r="H54" s="1" t="b">
        <f aca="false">TRUE()</f>
        <v>1</v>
      </c>
      <c r="I54" s="3" t="s">
        <v>22</v>
      </c>
      <c r="J54" s="3" t="s">
        <v>22</v>
      </c>
      <c r="K54" s="1" t="b">
        <f aca="false">TRUE()</f>
        <v>1</v>
      </c>
      <c r="L54" s="1" t="b">
        <f aca="false">FALSE()</f>
        <v>0</v>
      </c>
      <c r="M54" s="1" t="b">
        <f aca="false">FALSE()</f>
        <v>0</v>
      </c>
      <c r="N54" s="1" t="b">
        <f aca="false">FALSE()</f>
        <v>0</v>
      </c>
      <c r="O54" s="1" t="b">
        <f aca="false">FALSE()</f>
        <v>0</v>
      </c>
    </row>
    <row r="55" customFormat="false" ht="15" hidden="false" customHeight="false" outlineLevel="0" collapsed="false">
      <c r="A55" s="3" t="s">
        <v>239</v>
      </c>
      <c r="B55" s="3" t="s">
        <v>240</v>
      </c>
      <c r="C55" s="3" t="s">
        <v>241</v>
      </c>
      <c r="D55" s="3" t="s">
        <v>34</v>
      </c>
      <c r="E55" s="3" t="s">
        <v>34</v>
      </c>
      <c r="F55" s="3" t="n">
        <v>4</v>
      </c>
      <c r="G55" s="3" t="s">
        <v>242</v>
      </c>
      <c r="H55" s="1" t="b">
        <f aca="false">TRUE()</f>
        <v>1</v>
      </c>
      <c r="I55" s="3" t="s">
        <v>75</v>
      </c>
      <c r="J55" s="3" t="s">
        <v>75</v>
      </c>
      <c r="K55" s="1" t="b">
        <f aca="false">TRUE()</f>
        <v>1</v>
      </c>
      <c r="L55" s="1" t="b">
        <f aca="false">FALSE()</f>
        <v>0</v>
      </c>
      <c r="M55" s="1" t="b">
        <f aca="false">TRUE()</f>
        <v>1</v>
      </c>
      <c r="N55" s="1" t="b">
        <f aca="false">FALSE()</f>
        <v>0</v>
      </c>
      <c r="O55" s="1" t="b">
        <f aca="false">FALSE()</f>
        <v>0</v>
      </c>
    </row>
    <row r="56" customFormat="false" ht="45.1" hidden="false" customHeight="false" outlineLevel="0" collapsed="false">
      <c r="A56" s="3" t="s">
        <v>243</v>
      </c>
      <c r="B56" s="3" t="s">
        <v>244</v>
      </c>
      <c r="C56" s="4" t="s">
        <v>245</v>
      </c>
      <c r="D56" s="3" t="s">
        <v>34</v>
      </c>
      <c r="E56" s="3" t="s">
        <v>34</v>
      </c>
      <c r="F56" s="3" t="n">
        <v>5</v>
      </c>
      <c r="G56" s="3" t="s">
        <v>246</v>
      </c>
      <c r="H56" s="1" t="b">
        <f aca="false">TRUE()</f>
        <v>1</v>
      </c>
      <c r="I56" s="3" t="s">
        <v>36</v>
      </c>
      <c r="J56" s="3" t="s">
        <v>36</v>
      </c>
      <c r="K56" s="1" t="b">
        <f aca="false">TRUE()</f>
        <v>1</v>
      </c>
      <c r="L56" s="1" t="b">
        <f aca="false">TRUE()</f>
        <v>1</v>
      </c>
      <c r="M56" s="1" t="b">
        <f aca="false">FALSE()</f>
        <v>0</v>
      </c>
      <c r="N56" s="1" t="b">
        <f aca="false">FALSE()</f>
        <v>0</v>
      </c>
      <c r="O56" s="1" t="b">
        <f aca="false">FALSE()</f>
        <v>0</v>
      </c>
    </row>
    <row r="57" customFormat="false" ht="15" hidden="false" customHeight="false" outlineLevel="0" collapsed="false">
      <c r="A57" s="3" t="s">
        <v>247</v>
      </c>
      <c r="B57" s="3" t="s">
        <v>248</v>
      </c>
      <c r="C57" s="3" t="s">
        <v>249</v>
      </c>
      <c r="D57" s="3" t="s">
        <v>20</v>
      </c>
      <c r="E57" s="3" t="s">
        <v>20</v>
      </c>
      <c r="F57" s="3" t="n">
        <v>1</v>
      </c>
      <c r="G57" s="3" t="s">
        <v>250</v>
      </c>
      <c r="H57" s="1" t="b">
        <f aca="false">TRUE()</f>
        <v>1</v>
      </c>
      <c r="I57" s="3" t="s">
        <v>22</v>
      </c>
      <c r="J57" s="3" t="s">
        <v>22</v>
      </c>
      <c r="K57" s="1" t="b">
        <f aca="false">TRUE()</f>
        <v>1</v>
      </c>
      <c r="L57" s="1" t="b">
        <f aca="false">FALSE()</f>
        <v>0</v>
      </c>
      <c r="M57" s="1" t="b">
        <f aca="false">FALSE()</f>
        <v>0</v>
      </c>
      <c r="N57" s="1" t="b">
        <f aca="false">FALSE()</f>
        <v>0</v>
      </c>
      <c r="O57" s="1" t="b">
        <f aca="false">FALSE()</f>
        <v>0</v>
      </c>
    </row>
    <row r="58" customFormat="false" ht="15" hidden="false" customHeight="false" outlineLevel="0" collapsed="false">
      <c r="A58" s="3" t="s">
        <v>251</v>
      </c>
      <c r="B58" s="3" t="s">
        <v>252</v>
      </c>
      <c r="C58" s="3" t="s">
        <v>253</v>
      </c>
      <c r="D58" s="3" t="s">
        <v>34</v>
      </c>
      <c r="E58" s="3" t="s">
        <v>34</v>
      </c>
      <c r="F58" s="3" t="n">
        <v>5</v>
      </c>
      <c r="G58" s="3" t="s">
        <v>254</v>
      </c>
      <c r="H58" s="1" t="b">
        <f aca="false">TRUE()</f>
        <v>1</v>
      </c>
      <c r="I58" s="3" t="s">
        <v>75</v>
      </c>
      <c r="J58" s="3" t="s">
        <v>75</v>
      </c>
      <c r="K58" s="1" t="b">
        <f aca="false">TRUE()</f>
        <v>1</v>
      </c>
      <c r="L58" s="1" t="b">
        <f aca="false">FALSE()</f>
        <v>0</v>
      </c>
      <c r="M58" s="1" t="b">
        <f aca="false">TRUE()</f>
        <v>1</v>
      </c>
      <c r="N58" s="1" t="b">
        <f aca="false">FALSE()</f>
        <v>0</v>
      </c>
      <c r="O58" s="1" t="b">
        <f aca="false">FALSE()</f>
        <v>0</v>
      </c>
    </row>
    <row r="59" customFormat="false" ht="15" hidden="false" customHeight="false" outlineLevel="0" collapsed="false">
      <c r="A59" s="3" t="s">
        <v>255</v>
      </c>
      <c r="B59" s="3" t="s">
        <v>256</v>
      </c>
      <c r="C59" s="3" t="s">
        <v>257</v>
      </c>
      <c r="D59" s="3" t="s">
        <v>34</v>
      </c>
      <c r="E59" s="3" t="s">
        <v>34</v>
      </c>
      <c r="F59" s="3" t="n">
        <v>5</v>
      </c>
      <c r="G59" s="3" t="s">
        <v>258</v>
      </c>
      <c r="H59" s="1" t="b">
        <f aca="false">TRUE()</f>
        <v>1</v>
      </c>
      <c r="I59" s="3" t="s">
        <v>36</v>
      </c>
      <c r="J59" s="3" t="s">
        <v>36</v>
      </c>
      <c r="K59" s="1" t="b">
        <f aca="false">TRUE()</f>
        <v>1</v>
      </c>
      <c r="L59" s="1" t="b">
        <f aca="false">TRUE()</f>
        <v>1</v>
      </c>
      <c r="M59" s="1" t="b">
        <f aca="false">FALSE()</f>
        <v>0</v>
      </c>
      <c r="N59" s="1" t="b">
        <f aca="false">FALSE()</f>
        <v>0</v>
      </c>
      <c r="O59" s="1" t="b">
        <f aca="false">FALSE()</f>
        <v>0</v>
      </c>
    </row>
    <row r="60" customFormat="false" ht="15" hidden="false" customHeight="false" outlineLevel="0" collapsed="false">
      <c r="A60" s="3" t="s">
        <v>259</v>
      </c>
      <c r="B60" s="3" t="s">
        <v>260</v>
      </c>
      <c r="C60" s="3" t="s">
        <v>261</v>
      </c>
      <c r="D60" s="3" t="s">
        <v>34</v>
      </c>
      <c r="E60" s="3" t="s">
        <v>34</v>
      </c>
      <c r="F60" s="3" t="n">
        <v>4</v>
      </c>
      <c r="G60" s="3" t="s">
        <v>262</v>
      </c>
      <c r="H60" s="1" t="b">
        <f aca="false">TRUE()</f>
        <v>1</v>
      </c>
      <c r="I60" s="3" t="s">
        <v>36</v>
      </c>
      <c r="J60" s="3" t="s">
        <v>36</v>
      </c>
      <c r="K60" s="1" t="b">
        <f aca="false">TRUE()</f>
        <v>1</v>
      </c>
      <c r="L60" s="1" t="b">
        <f aca="false">TRUE()</f>
        <v>1</v>
      </c>
      <c r="M60" s="1" t="b">
        <f aca="false">FALSE()</f>
        <v>0</v>
      </c>
      <c r="N60" s="1" t="b">
        <f aca="false">FALSE()</f>
        <v>0</v>
      </c>
      <c r="O60" s="1" t="b">
        <f aca="false">FALSE()</f>
        <v>0</v>
      </c>
    </row>
    <row r="61" customFormat="false" ht="15" hidden="false" customHeight="false" outlineLevel="0" collapsed="false">
      <c r="A61" s="3" t="s">
        <v>263</v>
      </c>
      <c r="B61" s="3" t="s">
        <v>264</v>
      </c>
      <c r="C61" s="3" t="s">
        <v>265</v>
      </c>
      <c r="D61" s="3" t="s">
        <v>34</v>
      </c>
      <c r="E61" s="3" t="s">
        <v>34</v>
      </c>
      <c r="F61" s="3" t="n">
        <v>5</v>
      </c>
      <c r="G61" s="3" t="s">
        <v>266</v>
      </c>
      <c r="H61" s="1" t="b">
        <f aca="false">TRUE()</f>
        <v>1</v>
      </c>
      <c r="I61" s="3" t="s">
        <v>57</v>
      </c>
      <c r="J61" s="3" t="s">
        <v>57</v>
      </c>
      <c r="K61" s="1" t="b">
        <f aca="false">TRUE()</f>
        <v>1</v>
      </c>
      <c r="L61" s="1" t="b">
        <f aca="false">FALSE()</f>
        <v>0</v>
      </c>
      <c r="M61" s="1" t="b">
        <f aca="false">FALSE()</f>
        <v>0</v>
      </c>
      <c r="N61" s="1" t="b">
        <f aca="false">FALSE()</f>
        <v>0</v>
      </c>
      <c r="O61" s="1" t="b">
        <f aca="false">TRUE()</f>
        <v>1</v>
      </c>
    </row>
    <row r="62" customFormat="false" ht="66.9" hidden="false" customHeight="false" outlineLevel="0" collapsed="false">
      <c r="A62" s="3" t="s">
        <v>267</v>
      </c>
      <c r="B62" s="3" t="s">
        <v>268</v>
      </c>
      <c r="C62" s="3" t="s">
        <v>269</v>
      </c>
      <c r="D62" s="3" t="s">
        <v>20</v>
      </c>
      <c r="E62" s="3" t="s">
        <v>34</v>
      </c>
      <c r="F62" s="3" t="n">
        <v>4</v>
      </c>
      <c r="G62" s="3" t="s">
        <v>270</v>
      </c>
      <c r="H62" s="7" t="b">
        <f aca="false">FALSE()</f>
        <v>0</v>
      </c>
      <c r="I62" s="3" t="s">
        <v>22</v>
      </c>
      <c r="J62" s="3" t="s">
        <v>36</v>
      </c>
      <c r="K62" s="1" t="b">
        <f aca="false">FALSE()</f>
        <v>0</v>
      </c>
      <c r="L62" s="1" t="b">
        <f aca="false">TRUE()</f>
        <v>1</v>
      </c>
      <c r="M62" s="1" t="b">
        <f aca="false">FALSE()</f>
        <v>0</v>
      </c>
      <c r="N62" s="1" t="b">
        <f aca="false">FALSE()</f>
        <v>0</v>
      </c>
      <c r="O62" s="1" t="b">
        <f aca="false">FALSE()</f>
        <v>0</v>
      </c>
      <c r="Q62" s="2" t="s">
        <v>271</v>
      </c>
    </row>
    <row r="63" customFormat="false" ht="15" hidden="false" customHeight="false" outlineLevel="0" collapsed="false">
      <c r="A63" s="3" t="s">
        <v>272</v>
      </c>
      <c r="B63" s="3" t="s">
        <v>273</v>
      </c>
      <c r="C63" s="3" t="s">
        <v>274</v>
      </c>
      <c r="D63" s="3" t="s">
        <v>34</v>
      </c>
      <c r="E63" s="3" t="s">
        <v>34</v>
      </c>
      <c r="F63" s="3" t="n">
        <v>4</v>
      </c>
      <c r="G63" s="3" t="s">
        <v>275</v>
      </c>
      <c r="H63" s="1" t="b">
        <f aca="false">TRUE()</f>
        <v>1</v>
      </c>
      <c r="I63" s="3" t="s">
        <v>36</v>
      </c>
      <c r="J63" s="3" t="s">
        <v>36</v>
      </c>
      <c r="K63" s="1" t="b">
        <f aca="false">TRUE()</f>
        <v>1</v>
      </c>
      <c r="L63" s="1" t="b">
        <f aca="false">TRUE()</f>
        <v>1</v>
      </c>
      <c r="M63" s="1" t="b">
        <f aca="false">FALSE()</f>
        <v>0</v>
      </c>
      <c r="N63" s="1" t="b">
        <f aca="false">FALSE()</f>
        <v>0</v>
      </c>
      <c r="O63" s="1" t="b">
        <f aca="false">FALSE()</f>
        <v>0</v>
      </c>
    </row>
    <row r="64" customFormat="false" ht="15" hidden="false" customHeight="false" outlineLevel="0" collapsed="false">
      <c r="A64" s="3" t="s">
        <v>276</v>
      </c>
      <c r="B64" s="3" t="s">
        <v>277</v>
      </c>
      <c r="C64" s="3" t="s">
        <v>278</v>
      </c>
      <c r="D64" s="3" t="s">
        <v>34</v>
      </c>
      <c r="E64" s="3" t="s">
        <v>34</v>
      </c>
      <c r="F64" s="3" t="n">
        <v>5</v>
      </c>
      <c r="G64" s="3" t="s">
        <v>279</v>
      </c>
      <c r="H64" s="1" t="b">
        <f aca="false">TRUE()</f>
        <v>1</v>
      </c>
      <c r="I64" s="3" t="s">
        <v>57</v>
      </c>
      <c r="J64" s="3" t="s">
        <v>57</v>
      </c>
      <c r="K64" s="1" t="b">
        <f aca="false">TRUE()</f>
        <v>1</v>
      </c>
      <c r="L64" s="1" t="b">
        <f aca="false">FALSE()</f>
        <v>0</v>
      </c>
      <c r="M64" s="1" t="b">
        <f aca="false">FALSE()</f>
        <v>0</v>
      </c>
      <c r="N64" s="1" t="b">
        <f aca="false">FALSE()</f>
        <v>0</v>
      </c>
      <c r="O64" s="1" t="b">
        <f aca="false">TRUE()</f>
        <v>1</v>
      </c>
    </row>
    <row r="65" customFormat="false" ht="15" hidden="false" customHeight="false" outlineLevel="0" collapsed="false">
      <c r="A65" s="3" t="s">
        <v>280</v>
      </c>
      <c r="B65" s="3" t="s">
        <v>281</v>
      </c>
      <c r="C65" s="3" t="s">
        <v>282</v>
      </c>
      <c r="D65" s="3" t="s">
        <v>20</v>
      </c>
      <c r="E65" s="3" t="s">
        <v>20</v>
      </c>
      <c r="F65" s="3" t="n">
        <v>1</v>
      </c>
      <c r="G65" s="3" t="s">
        <v>283</v>
      </c>
      <c r="H65" s="1" t="b">
        <f aca="false">TRUE()</f>
        <v>1</v>
      </c>
      <c r="I65" s="3" t="s">
        <v>22</v>
      </c>
      <c r="J65" s="3" t="s">
        <v>22</v>
      </c>
      <c r="K65" s="1" t="b">
        <f aca="false">TRUE()</f>
        <v>1</v>
      </c>
      <c r="L65" s="1" t="b">
        <f aca="false">FALSE()</f>
        <v>0</v>
      </c>
      <c r="M65" s="1" t="b">
        <f aca="false">FALSE()</f>
        <v>0</v>
      </c>
      <c r="N65" s="1" t="b">
        <f aca="false">FALSE()</f>
        <v>0</v>
      </c>
      <c r="O65" s="1" t="b">
        <f aca="false">FALSE()</f>
        <v>0</v>
      </c>
    </row>
    <row r="66" customFormat="false" ht="15" hidden="false" customHeight="false" outlineLevel="0" collapsed="false">
      <c r="A66" s="3" t="s">
        <v>284</v>
      </c>
      <c r="B66" s="3" t="s">
        <v>285</v>
      </c>
      <c r="C66" s="3" t="s">
        <v>286</v>
      </c>
      <c r="D66" s="3" t="s">
        <v>20</v>
      </c>
      <c r="E66" s="3" t="s">
        <v>20</v>
      </c>
      <c r="F66" s="3" t="n">
        <v>1</v>
      </c>
      <c r="G66" s="3" t="s">
        <v>287</v>
      </c>
      <c r="H66" s="1" t="b">
        <f aca="false">TRUE()</f>
        <v>1</v>
      </c>
      <c r="I66" s="3" t="s">
        <v>22</v>
      </c>
      <c r="J66" s="3" t="s">
        <v>22</v>
      </c>
      <c r="K66" s="1" t="b">
        <f aca="false">TRUE()</f>
        <v>1</v>
      </c>
      <c r="L66" s="1" t="b">
        <f aca="false">FALSE()</f>
        <v>0</v>
      </c>
      <c r="M66" s="1" t="b">
        <f aca="false">FALSE()</f>
        <v>0</v>
      </c>
      <c r="N66" s="1" t="b">
        <f aca="false">FALSE()</f>
        <v>0</v>
      </c>
      <c r="O66" s="1" t="b">
        <f aca="false">FALSE()</f>
        <v>0</v>
      </c>
    </row>
    <row r="67" customFormat="false" ht="15" hidden="false" customHeight="false" outlineLevel="0" collapsed="false">
      <c r="A67" s="3" t="s">
        <v>288</v>
      </c>
      <c r="B67" s="3" t="s">
        <v>289</v>
      </c>
      <c r="C67" s="3" t="s">
        <v>290</v>
      </c>
      <c r="D67" s="3" t="s">
        <v>34</v>
      </c>
      <c r="E67" s="3" t="s">
        <v>34</v>
      </c>
      <c r="F67" s="3" t="n">
        <v>5</v>
      </c>
      <c r="G67" s="3" t="s">
        <v>291</v>
      </c>
      <c r="H67" s="1" t="b">
        <f aca="false">TRUE()</f>
        <v>1</v>
      </c>
      <c r="I67" s="3" t="s">
        <v>62</v>
      </c>
      <c r="J67" s="3" t="s">
        <v>62</v>
      </c>
      <c r="K67" s="1" t="b">
        <f aca="false">TRUE()</f>
        <v>1</v>
      </c>
      <c r="L67" s="1" t="b">
        <f aca="false">FALSE()</f>
        <v>0</v>
      </c>
      <c r="M67" s="1" t="b">
        <f aca="false">FALSE()</f>
        <v>0</v>
      </c>
      <c r="N67" s="1" t="b">
        <f aca="false">TRUE()</f>
        <v>1</v>
      </c>
      <c r="O67" s="1" t="b">
        <f aca="false">FALSE()</f>
        <v>0</v>
      </c>
    </row>
    <row r="68" customFormat="false" ht="15" hidden="false" customHeight="false" outlineLevel="0" collapsed="false">
      <c r="A68" s="3" t="s">
        <v>292</v>
      </c>
      <c r="B68" s="3" t="s">
        <v>293</v>
      </c>
      <c r="C68" s="3" t="s">
        <v>294</v>
      </c>
      <c r="D68" s="3" t="s">
        <v>20</v>
      </c>
      <c r="E68" s="3" t="s">
        <v>20</v>
      </c>
      <c r="F68" s="3" t="n">
        <v>1</v>
      </c>
      <c r="G68" s="3" t="s">
        <v>295</v>
      </c>
      <c r="H68" s="1" t="b">
        <f aca="false">TRUE()</f>
        <v>1</v>
      </c>
      <c r="I68" s="3" t="s">
        <v>22</v>
      </c>
      <c r="J68" s="3" t="s">
        <v>22</v>
      </c>
      <c r="K68" s="1" t="b">
        <f aca="false">TRUE()</f>
        <v>1</v>
      </c>
      <c r="L68" s="1" t="b">
        <f aca="false">FALSE()</f>
        <v>0</v>
      </c>
      <c r="M68" s="1" t="b">
        <f aca="false">FALSE()</f>
        <v>0</v>
      </c>
      <c r="N68" s="1" t="b">
        <f aca="false">FALSE()</f>
        <v>0</v>
      </c>
      <c r="O68" s="1" t="b">
        <f aca="false">FALSE()</f>
        <v>0</v>
      </c>
    </row>
    <row r="69" customFormat="false" ht="15" hidden="false" customHeight="false" outlineLevel="0" collapsed="false">
      <c r="A69" s="3" t="s">
        <v>296</v>
      </c>
      <c r="B69" s="3" t="s">
        <v>297</v>
      </c>
      <c r="C69" s="3" t="s">
        <v>298</v>
      </c>
      <c r="D69" s="3" t="s">
        <v>34</v>
      </c>
      <c r="E69" s="3" t="s">
        <v>34</v>
      </c>
      <c r="F69" s="3" t="n">
        <v>5</v>
      </c>
      <c r="G69" s="3" t="s">
        <v>299</v>
      </c>
      <c r="H69" s="1" t="b">
        <f aca="false">TRUE()</f>
        <v>1</v>
      </c>
      <c r="I69" s="3" t="s">
        <v>36</v>
      </c>
      <c r="J69" s="3" t="s">
        <v>36</v>
      </c>
      <c r="K69" s="1" t="b">
        <f aca="false">TRUE()</f>
        <v>1</v>
      </c>
      <c r="L69" s="1" t="b">
        <f aca="false">TRUE()</f>
        <v>1</v>
      </c>
      <c r="M69" s="1" t="b">
        <f aca="false">FALSE()</f>
        <v>0</v>
      </c>
      <c r="N69" s="1" t="b">
        <f aca="false">FALSE()</f>
        <v>0</v>
      </c>
      <c r="O69" s="1" t="b">
        <f aca="false">FALSE()</f>
        <v>0</v>
      </c>
    </row>
    <row r="70" customFormat="false" ht="15" hidden="false" customHeight="false" outlineLevel="0" collapsed="false">
      <c r="A70" s="3" t="s">
        <v>300</v>
      </c>
      <c r="B70" s="3" t="s">
        <v>301</v>
      </c>
      <c r="C70" s="3" t="s">
        <v>302</v>
      </c>
      <c r="D70" s="3" t="s">
        <v>34</v>
      </c>
      <c r="E70" s="3" t="s">
        <v>34</v>
      </c>
      <c r="F70" s="3" t="n">
        <v>5</v>
      </c>
      <c r="G70" s="3" t="s">
        <v>303</v>
      </c>
      <c r="H70" s="1" t="b">
        <f aca="false">TRUE()</f>
        <v>1</v>
      </c>
      <c r="I70" s="3" t="s">
        <v>36</v>
      </c>
      <c r="J70" s="3" t="s">
        <v>36</v>
      </c>
      <c r="K70" s="1" t="b">
        <f aca="false">TRUE()</f>
        <v>1</v>
      </c>
      <c r="L70" s="1" t="b">
        <f aca="false">TRUE()</f>
        <v>1</v>
      </c>
      <c r="M70" s="1" t="b">
        <f aca="false">FALSE()</f>
        <v>0</v>
      </c>
      <c r="N70" s="1" t="b">
        <f aca="false">FALSE()</f>
        <v>0</v>
      </c>
      <c r="O70" s="1" t="b">
        <f aca="false">FALSE()</f>
        <v>0</v>
      </c>
    </row>
    <row r="71" customFormat="false" ht="15" hidden="false" customHeight="false" outlineLevel="0" collapsed="false">
      <c r="A71" s="3" t="s">
        <v>304</v>
      </c>
      <c r="B71" s="3" t="s">
        <v>305</v>
      </c>
      <c r="C71" s="3" t="s">
        <v>306</v>
      </c>
      <c r="D71" s="3" t="s">
        <v>34</v>
      </c>
      <c r="E71" s="3" t="s">
        <v>34</v>
      </c>
      <c r="F71" s="3" t="n">
        <v>4</v>
      </c>
      <c r="G71" s="3" t="s">
        <v>307</v>
      </c>
      <c r="H71" s="1" t="b">
        <f aca="false">TRUE()</f>
        <v>1</v>
      </c>
      <c r="I71" s="3" t="s">
        <v>36</v>
      </c>
      <c r="J71" s="3" t="s">
        <v>36</v>
      </c>
      <c r="K71" s="1" t="b">
        <f aca="false">TRUE()</f>
        <v>1</v>
      </c>
      <c r="L71" s="1" t="b">
        <f aca="false">TRUE()</f>
        <v>1</v>
      </c>
      <c r="M71" s="1" t="b">
        <f aca="false">FALSE()</f>
        <v>0</v>
      </c>
      <c r="N71" s="1" t="b">
        <f aca="false">FALSE()</f>
        <v>0</v>
      </c>
      <c r="O71" s="1" t="b">
        <f aca="false">FALSE()</f>
        <v>0</v>
      </c>
    </row>
    <row r="72" customFormat="false" ht="45.1" hidden="false" customHeight="false" outlineLevel="0" collapsed="false">
      <c r="A72" s="3" t="s">
        <v>308</v>
      </c>
      <c r="B72" s="3" t="s">
        <v>309</v>
      </c>
      <c r="C72" s="3" t="s">
        <v>310</v>
      </c>
      <c r="D72" s="3" t="s">
        <v>34</v>
      </c>
      <c r="E72" s="3" t="s">
        <v>34</v>
      </c>
      <c r="F72" s="3" t="n">
        <v>4</v>
      </c>
      <c r="G72" s="3" t="s">
        <v>311</v>
      </c>
      <c r="H72" s="1" t="b">
        <f aca="false">TRUE()</f>
        <v>1</v>
      </c>
      <c r="I72" s="3" t="s">
        <v>57</v>
      </c>
      <c r="J72" s="3" t="s">
        <v>36</v>
      </c>
      <c r="K72" s="6" t="b">
        <f aca="false">FALSE()</f>
        <v>0</v>
      </c>
      <c r="L72" s="1" t="b">
        <f aca="false">TRUE()</f>
        <v>1</v>
      </c>
      <c r="M72" s="1" t="b">
        <f aca="false">FALSE()</f>
        <v>0</v>
      </c>
      <c r="N72" s="1" t="b">
        <f aca="false">FALSE()</f>
        <v>0</v>
      </c>
      <c r="O72" s="1" t="b">
        <f aca="false">FALSE()</f>
        <v>0</v>
      </c>
      <c r="R72" s="2" t="s">
        <v>312</v>
      </c>
    </row>
    <row r="73" customFormat="false" ht="15" hidden="false" customHeight="false" outlineLevel="0" collapsed="false">
      <c r="A73" s="3" t="s">
        <v>313</v>
      </c>
      <c r="B73" s="3" t="s">
        <v>314</v>
      </c>
      <c r="C73" s="3" t="s">
        <v>315</v>
      </c>
      <c r="D73" s="3" t="s">
        <v>20</v>
      </c>
      <c r="E73" s="3" t="s">
        <v>20</v>
      </c>
      <c r="F73" s="3" t="n">
        <v>2</v>
      </c>
      <c r="G73" s="3" t="s">
        <v>316</v>
      </c>
      <c r="H73" s="1" t="b">
        <f aca="false">TRUE()</f>
        <v>1</v>
      </c>
      <c r="I73" s="3" t="s">
        <v>22</v>
      </c>
      <c r="J73" s="3" t="s">
        <v>22</v>
      </c>
      <c r="K73" s="1" t="b">
        <f aca="false">TRUE()</f>
        <v>1</v>
      </c>
      <c r="L73" s="1" t="b">
        <f aca="false">FALSE()</f>
        <v>0</v>
      </c>
      <c r="M73" s="1" t="b">
        <f aca="false">FALSE()</f>
        <v>0</v>
      </c>
      <c r="N73" s="1" t="b">
        <f aca="false">FALSE()</f>
        <v>0</v>
      </c>
      <c r="O73" s="1" t="b">
        <f aca="false">FALSE()</f>
        <v>0</v>
      </c>
    </row>
    <row r="74" customFormat="false" ht="15" hidden="false" customHeight="false" outlineLevel="0" collapsed="false">
      <c r="A74" s="3" t="s">
        <v>317</v>
      </c>
      <c r="B74" s="3" t="s">
        <v>318</v>
      </c>
      <c r="C74" s="3" t="s">
        <v>319</v>
      </c>
      <c r="D74" s="3" t="s">
        <v>20</v>
      </c>
      <c r="E74" s="3" t="s">
        <v>20</v>
      </c>
      <c r="F74" s="3" t="n">
        <v>2</v>
      </c>
      <c r="G74" s="3" t="s">
        <v>320</v>
      </c>
      <c r="H74" s="1" t="b">
        <f aca="false">TRUE()</f>
        <v>1</v>
      </c>
      <c r="I74" s="3" t="s">
        <v>22</v>
      </c>
      <c r="J74" s="3" t="s">
        <v>22</v>
      </c>
      <c r="K74" s="1" t="b">
        <f aca="false">TRUE()</f>
        <v>1</v>
      </c>
      <c r="L74" s="1" t="b">
        <f aca="false">FALSE()</f>
        <v>0</v>
      </c>
      <c r="M74" s="1" t="b">
        <f aca="false">FALSE()</f>
        <v>0</v>
      </c>
      <c r="N74" s="1" t="b">
        <f aca="false">FALSE()</f>
        <v>0</v>
      </c>
      <c r="O74" s="1" t="b">
        <f aca="false">FALSE()</f>
        <v>0</v>
      </c>
    </row>
    <row r="75" customFormat="false" ht="15" hidden="false" customHeight="false" outlineLevel="0" collapsed="false">
      <c r="A75" s="3" t="s">
        <v>321</v>
      </c>
      <c r="B75" s="3" t="s">
        <v>322</v>
      </c>
      <c r="C75" s="3" t="s">
        <v>323</v>
      </c>
      <c r="D75" s="3" t="s">
        <v>34</v>
      </c>
      <c r="E75" s="3" t="s">
        <v>34</v>
      </c>
      <c r="F75" s="3" t="n">
        <v>5</v>
      </c>
      <c r="G75" s="3" t="s">
        <v>324</v>
      </c>
      <c r="H75" s="1" t="b">
        <f aca="false">TRUE()</f>
        <v>1</v>
      </c>
      <c r="I75" s="3" t="s">
        <v>36</v>
      </c>
      <c r="J75" s="3" t="s">
        <v>36</v>
      </c>
      <c r="K75" s="1" t="b">
        <f aca="false">TRUE()</f>
        <v>1</v>
      </c>
      <c r="L75" s="1" t="b">
        <f aca="false">TRUE()</f>
        <v>1</v>
      </c>
      <c r="M75" s="1" t="b">
        <f aca="false">FALSE()</f>
        <v>0</v>
      </c>
      <c r="N75" s="1" t="b">
        <f aca="false">FALSE()</f>
        <v>0</v>
      </c>
      <c r="O75" s="1" t="b">
        <f aca="false">FALSE()</f>
        <v>0</v>
      </c>
    </row>
    <row r="76" customFormat="false" ht="15" hidden="false" customHeight="false" outlineLevel="0" collapsed="false">
      <c r="A76" s="3" t="s">
        <v>325</v>
      </c>
      <c r="B76" s="3" t="s">
        <v>326</v>
      </c>
      <c r="C76" s="3" t="s">
        <v>327</v>
      </c>
      <c r="D76" s="3" t="s">
        <v>34</v>
      </c>
      <c r="E76" s="3" t="s">
        <v>34</v>
      </c>
      <c r="F76" s="3" t="n">
        <v>5</v>
      </c>
      <c r="G76" s="3" t="s">
        <v>328</v>
      </c>
      <c r="H76" s="1" t="b">
        <f aca="false">TRUE()</f>
        <v>1</v>
      </c>
      <c r="I76" s="3" t="s">
        <v>62</v>
      </c>
      <c r="J76" s="3" t="s">
        <v>62</v>
      </c>
      <c r="K76" s="1" t="b">
        <f aca="false">TRUE()</f>
        <v>1</v>
      </c>
      <c r="L76" s="1" t="b">
        <f aca="false">FALSE()</f>
        <v>0</v>
      </c>
      <c r="M76" s="1" t="b">
        <f aca="false">FALSE()</f>
        <v>0</v>
      </c>
      <c r="N76" s="1" t="b">
        <f aca="false">TRUE()</f>
        <v>1</v>
      </c>
      <c r="O76" s="1" t="b">
        <f aca="false">FALSE()</f>
        <v>0</v>
      </c>
    </row>
    <row r="77" customFormat="false" ht="15" hidden="false" customHeight="false" outlineLevel="0" collapsed="false">
      <c r="A77" s="3" t="s">
        <v>329</v>
      </c>
      <c r="B77" s="3" t="s">
        <v>330</v>
      </c>
      <c r="C77" s="3" t="s">
        <v>331</v>
      </c>
      <c r="D77" s="3" t="s">
        <v>20</v>
      </c>
      <c r="E77" s="3" t="s">
        <v>20</v>
      </c>
      <c r="F77" s="3" t="n">
        <v>2</v>
      </c>
      <c r="G77" s="3" t="s">
        <v>332</v>
      </c>
      <c r="H77" s="1" t="b">
        <f aca="false">TRUE()</f>
        <v>1</v>
      </c>
      <c r="I77" s="3" t="s">
        <v>22</v>
      </c>
      <c r="J77" s="3" t="s">
        <v>22</v>
      </c>
      <c r="K77" s="1" t="b">
        <f aca="false">TRUE()</f>
        <v>1</v>
      </c>
      <c r="L77" s="1" t="b">
        <f aca="false">FALSE()</f>
        <v>0</v>
      </c>
      <c r="M77" s="1" t="b">
        <f aca="false">FALSE()</f>
        <v>0</v>
      </c>
      <c r="N77" s="1" t="b">
        <f aca="false">FALSE()</f>
        <v>0</v>
      </c>
      <c r="O77" s="1" t="b">
        <f aca="false">FALSE()</f>
        <v>0</v>
      </c>
    </row>
    <row r="78" customFormat="false" ht="23.3" hidden="false" customHeight="false" outlineLevel="0" collapsed="false">
      <c r="A78" s="3" t="s">
        <v>333</v>
      </c>
      <c r="B78" s="3" t="s">
        <v>334</v>
      </c>
      <c r="C78" s="3" t="s">
        <v>335</v>
      </c>
      <c r="D78" s="3" t="s">
        <v>34</v>
      </c>
      <c r="E78" s="3" t="s">
        <v>34</v>
      </c>
      <c r="F78" s="3" t="n">
        <v>4</v>
      </c>
      <c r="G78" s="3" t="s">
        <v>336</v>
      </c>
      <c r="H78" s="1" t="b">
        <f aca="false">TRUE()</f>
        <v>1</v>
      </c>
      <c r="I78" s="3" t="s">
        <v>62</v>
      </c>
      <c r="J78" s="3" t="s">
        <v>57</v>
      </c>
      <c r="K78" s="7" t="b">
        <f aca="false">FALSE()</f>
        <v>0</v>
      </c>
      <c r="L78" s="1" t="b">
        <f aca="false">FALSE()</f>
        <v>0</v>
      </c>
      <c r="M78" s="1" t="b">
        <f aca="false">FALSE()</f>
        <v>0</v>
      </c>
      <c r="N78" s="1" t="b">
        <f aca="false">TRUE()</f>
        <v>1</v>
      </c>
      <c r="O78" s="1" t="b">
        <f aca="false">TRUE()</f>
        <v>1</v>
      </c>
      <c r="R78" s="2" t="s">
        <v>337</v>
      </c>
    </row>
    <row r="79" customFormat="false" ht="15" hidden="false" customHeight="false" outlineLevel="0" collapsed="false">
      <c r="A79" s="3" t="s">
        <v>338</v>
      </c>
      <c r="B79" s="3" t="s">
        <v>339</v>
      </c>
      <c r="C79" s="3" t="s">
        <v>340</v>
      </c>
      <c r="D79" s="3" t="s">
        <v>34</v>
      </c>
      <c r="E79" s="3" t="s">
        <v>34</v>
      </c>
      <c r="F79" s="3" t="n">
        <v>5</v>
      </c>
      <c r="G79" s="3" t="s">
        <v>341</v>
      </c>
      <c r="H79" s="1" t="b">
        <f aca="false">TRUE()</f>
        <v>1</v>
      </c>
      <c r="I79" s="3" t="s">
        <v>36</v>
      </c>
      <c r="J79" s="3" t="s">
        <v>36</v>
      </c>
      <c r="K79" s="1" t="b">
        <f aca="false">TRUE()</f>
        <v>1</v>
      </c>
      <c r="L79" s="1" t="b">
        <f aca="false">TRUE()</f>
        <v>1</v>
      </c>
      <c r="M79" s="1" t="b">
        <f aca="false">FALSE()</f>
        <v>0</v>
      </c>
      <c r="N79" s="1" t="b">
        <f aca="false">FALSE()</f>
        <v>0</v>
      </c>
      <c r="O79" s="1" t="b">
        <f aca="false">FALSE()</f>
        <v>0</v>
      </c>
    </row>
    <row r="80" customFormat="false" ht="15" hidden="false" customHeight="false" outlineLevel="0" collapsed="false">
      <c r="A80" s="3" t="s">
        <v>342</v>
      </c>
      <c r="B80" s="3" t="s">
        <v>343</v>
      </c>
      <c r="C80" s="3" t="s">
        <v>344</v>
      </c>
      <c r="D80" s="3" t="s">
        <v>34</v>
      </c>
      <c r="E80" s="3" t="s">
        <v>34</v>
      </c>
      <c r="F80" s="3" t="n">
        <v>5</v>
      </c>
      <c r="G80" s="3" t="s">
        <v>345</v>
      </c>
      <c r="H80" s="1" t="b">
        <f aca="false">TRUE()</f>
        <v>1</v>
      </c>
      <c r="I80" s="3" t="s">
        <v>36</v>
      </c>
      <c r="J80" s="3" t="s">
        <v>36</v>
      </c>
      <c r="K80" s="1" t="b">
        <f aca="false">TRUE()</f>
        <v>1</v>
      </c>
      <c r="L80" s="1" t="b">
        <f aca="false">TRUE()</f>
        <v>1</v>
      </c>
      <c r="M80" s="1" t="b">
        <f aca="false">FALSE()</f>
        <v>0</v>
      </c>
      <c r="N80" s="1" t="b">
        <f aca="false">FALSE()</f>
        <v>0</v>
      </c>
      <c r="O80" s="1" t="b">
        <f aca="false">FALSE()</f>
        <v>0</v>
      </c>
    </row>
    <row r="81" customFormat="false" ht="15" hidden="false" customHeight="false" outlineLevel="0" collapsed="false">
      <c r="A81" s="3" t="s">
        <v>346</v>
      </c>
      <c r="B81" s="3" t="s">
        <v>347</v>
      </c>
      <c r="C81" s="3" t="s">
        <v>348</v>
      </c>
      <c r="D81" s="3" t="s">
        <v>34</v>
      </c>
      <c r="E81" s="3" t="s">
        <v>34</v>
      </c>
      <c r="F81" s="3" t="n">
        <v>5</v>
      </c>
      <c r="G81" s="3" t="s">
        <v>349</v>
      </c>
      <c r="H81" s="1" t="b">
        <f aca="false">TRUE()</f>
        <v>1</v>
      </c>
      <c r="I81" s="3" t="s">
        <v>75</v>
      </c>
      <c r="J81" s="3" t="s">
        <v>75</v>
      </c>
      <c r="K81" s="1" t="b">
        <f aca="false">TRUE()</f>
        <v>1</v>
      </c>
      <c r="L81" s="1" t="b">
        <f aca="false">FALSE()</f>
        <v>0</v>
      </c>
      <c r="M81" s="1" t="b">
        <f aca="false">TRUE()</f>
        <v>1</v>
      </c>
      <c r="N81" s="1" t="b">
        <f aca="false">FALSE()</f>
        <v>0</v>
      </c>
      <c r="O81" s="1" t="b">
        <f aca="false">FALSE()</f>
        <v>0</v>
      </c>
    </row>
    <row r="82" customFormat="false" ht="15" hidden="false" customHeight="false" outlineLevel="0" collapsed="false">
      <c r="A82" s="3" t="s">
        <v>350</v>
      </c>
      <c r="B82" s="3" t="s">
        <v>351</v>
      </c>
      <c r="C82" s="3" t="s">
        <v>352</v>
      </c>
      <c r="D82" s="3" t="s">
        <v>20</v>
      </c>
      <c r="E82" s="3" t="s">
        <v>20</v>
      </c>
      <c r="F82" s="3" t="n">
        <v>1</v>
      </c>
      <c r="G82" s="3" t="s">
        <v>353</v>
      </c>
      <c r="H82" s="1" t="b">
        <f aca="false">TRUE()</f>
        <v>1</v>
      </c>
      <c r="I82" s="3" t="s">
        <v>22</v>
      </c>
      <c r="J82" s="3" t="s">
        <v>22</v>
      </c>
      <c r="K82" s="1" t="b">
        <f aca="false">TRUE()</f>
        <v>1</v>
      </c>
      <c r="L82" s="1" t="b">
        <f aca="false">FALSE()</f>
        <v>0</v>
      </c>
      <c r="M82" s="1" t="b">
        <f aca="false">FALSE()</f>
        <v>0</v>
      </c>
      <c r="N82" s="1" t="b">
        <f aca="false">FALSE()</f>
        <v>0</v>
      </c>
      <c r="O82" s="1" t="b">
        <f aca="false">FALSE()</f>
        <v>0</v>
      </c>
    </row>
    <row r="83" customFormat="false" ht="15" hidden="false" customHeight="false" outlineLevel="0" collapsed="false">
      <c r="A83" s="3" t="s">
        <v>354</v>
      </c>
      <c r="B83" s="3" t="s">
        <v>355</v>
      </c>
      <c r="C83" s="3" t="s">
        <v>356</v>
      </c>
      <c r="D83" s="3" t="s">
        <v>34</v>
      </c>
      <c r="E83" s="3" t="s">
        <v>34</v>
      </c>
      <c r="F83" s="3" t="n">
        <v>5</v>
      </c>
      <c r="G83" s="3" t="s">
        <v>357</v>
      </c>
      <c r="H83" s="1" t="b">
        <f aca="false">TRUE()</f>
        <v>1</v>
      </c>
      <c r="I83" s="3" t="s">
        <v>62</v>
      </c>
      <c r="J83" s="3" t="s">
        <v>62</v>
      </c>
      <c r="K83" s="1" t="b">
        <f aca="false">TRUE()</f>
        <v>1</v>
      </c>
      <c r="L83" s="1" t="b">
        <f aca="false">FALSE()</f>
        <v>0</v>
      </c>
      <c r="M83" s="1" t="b">
        <f aca="false">FALSE()</f>
        <v>0</v>
      </c>
      <c r="N83" s="1" t="b">
        <f aca="false">TRUE()</f>
        <v>1</v>
      </c>
      <c r="O83" s="1" t="b">
        <f aca="false">FALSE()</f>
        <v>0</v>
      </c>
    </row>
    <row r="84" customFormat="false" ht="15" hidden="false" customHeight="false" outlineLevel="0" collapsed="false">
      <c r="A84" s="3" t="s">
        <v>358</v>
      </c>
      <c r="B84" s="3" t="s">
        <v>359</v>
      </c>
      <c r="C84" s="3" t="s">
        <v>360</v>
      </c>
      <c r="D84" s="3" t="s">
        <v>34</v>
      </c>
      <c r="E84" s="3" t="s">
        <v>34</v>
      </c>
      <c r="F84" s="3" t="n">
        <v>5</v>
      </c>
      <c r="G84" s="3" t="s">
        <v>361</v>
      </c>
      <c r="H84" s="1" t="b">
        <f aca="false">TRUE()</f>
        <v>1</v>
      </c>
      <c r="I84" s="3" t="s">
        <v>57</v>
      </c>
      <c r="J84" s="3" t="s">
        <v>57</v>
      </c>
      <c r="K84" s="1" t="b">
        <f aca="false">TRUE()</f>
        <v>1</v>
      </c>
      <c r="L84" s="1" t="b">
        <f aca="false">FALSE()</f>
        <v>0</v>
      </c>
      <c r="M84" s="1" t="b">
        <f aca="false">FALSE()</f>
        <v>0</v>
      </c>
      <c r="N84" s="1" t="b">
        <f aca="false">FALSE()</f>
        <v>0</v>
      </c>
      <c r="O84" s="1" t="b">
        <f aca="false">TRUE()</f>
        <v>1</v>
      </c>
    </row>
    <row r="85" customFormat="false" ht="15" hidden="false" customHeight="false" outlineLevel="0" collapsed="false">
      <c r="A85" s="3" t="s">
        <v>362</v>
      </c>
      <c r="B85" s="3" t="s">
        <v>363</v>
      </c>
      <c r="C85" s="3" t="s">
        <v>364</v>
      </c>
      <c r="D85" s="3" t="s">
        <v>34</v>
      </c>
      <c r="E85" s="3" t="s">
        <v>34</v>
      </c>
      <c r="F85" s="3" t="n">
        <v>5</v>
      </c>
      <c r="G85" s="3" t="s">
        <v>365</v>
      </c>
      <c r="H85" s="1" t="b">
        <f aca="false">TRUE()</f>
        <v>1</v>
      </c>
      <c r="I85" s="3" t="s">
        <v>36</v>
      </c>
      <c r="J85" s="3" t="s">
        <v>36</v>
      </c>
      <c r="K85" s="1" t="b">
        <f aca="false">TRUE()</f>
        <v>1</v>
      </c>
      <c r="L85" s="1" t="b">
        <f aca="false">TRUE()</f>
        <v>1</v>
      </c>
      <c r="M85" s="1" t="b">
        <f aca="false">FALSE()</f>
        <v>0</v>
      </c>
      <c r="N85" s="1" t="b">
        <f aca="false">FALSE()</f>
        <v>0</v>
      </c>
      <c r="O85" s="1" t="b">
        <f aca="false">FALSE()</f>
        <v>0</v>
      </c>
    </row>
    <row r="86" customFormat="false" ht="15" hidden="false" customHeight="false" outlineLevel="0" collapsed="false">
      <c r="A86" s="3" t="s">
        <v>366</v>
      </c>
      <c r="B86" s="3" t="s">
        <v>367</v>
      </c>
      <c r="C86" s="3" t="s">
        <v>368</v>
      </c>
      <c r="D86" s="3" t="s">
        <v>34</v>
      </c>
      <c r="E86" s="3" t="s">
        <v>34</v>
      </c>
      <c r="F86" s="3" t="n">
        <v>5</v>
      </c>
      <c r="G86" s="3" t="s">
        <v>369</v>
      </c>
      <c r="H86" s="1" t="b">
        <f aca="false">TRUE()</f>
        <v>1</v>
      </c>
      <c r="I86" s="3" t="s">
        <v>75</v>
      </c>
      <c r="J86" s="3" t="s">
        <v>75</v>
      </c>
      <c r="K86" s="1" t="b">
        <f aca="false">TRUE()</f>
        <v>1</v>
      </c>
      <c r="L86" s="1" t="b">
        <f aca="false">FALSE()</f>
        <v>0</v>
      </c>
      <c r="M86" s="1" t="b">
        <f aca="false">TRUE()</f>
        <v>1</v>
      </c>
      <c r="N86" s="1" t="b">
        <f aca="false">FALSE()</f>
        <v>0</v>
      </c>
      <c r="O86" s="1" t="b">
        <f aca="false">FALSE()</f>
        <v>0</v>
      </c>
    </row>
    <row r="87" customFormat="false" ht="15" hidden="false" customHeight="false" outlineLevel="0" collapsed="false">
      <c r="A87" s="3" t="s">
        <v>370</v>
      </c>
      <c r="B87" s="3" t="s">
        <v>371</v>
      </c>
      <c r="C87" s="3" t="s">
        <v>372</v>
      </c>
      <c r="D87" s="3" t="s">
        <v>20</v>
      </c>
      <c r="E87" s="3" t="s">
        <v>20</v>
      </c>
      <c r="F87" s="3" t="n">
        <v>1</v>
      </c>
      <c r="G87" s="3" t="s">
        <v>373</v>
      </c>
      <c r="H87" s="1" t="b">
        <f aca="false">TRUE()</f>
        <v>1</v>
      </c>
      <c r="I87" s="3" t="s">
        <v>22</v>
      </c>
      <c r="J87" s="3" t="s">
        <v>22</v>
      </c>
      <c r="K87" s="1" t="b">
        <f aca="false">TRUE()</f>
        <v>1</v>
      </c>
      <c r="L87" s="1" t="b">
        <f aca="false">FALSE()</f>
        <v>0</v>
      </c>
      <c r="M87" s="1" t="b">
        <f aca="false">FALSE()</f>
        <v>0</v>
      </c>
      <c r="N87" s="1" t="b">
        <f aca="false">FALSE()</f>
        <v>0</v>
      </c>
      <c r="O87" s="1" t="b">
        <f aca="false">FALSE()</f>
        <v>0</v>
      </c>
    </row>
    <row r="88" customFormat="false" ht="15" hidden="false" customHeight="false" outlineLevel="0" collapsed="false">
      <c r="A88" s="3" t="s">
        <v>374</v>
      </c>
      <c r="B88" s="3" t="s">
        <v>375</v>
      </c>
      <c r="C88" s="3" t="s">
        <v>376</v>
      </c>
      <c r="D88" s="3" t="s">
        <v>20</v>
      </c>
      <c r="E88" s="3" t="s">
        <v>20</v>
      </c>
      <c r="F88" s="3" t="n">
        <v>1</v>
      </c>
      <c r="G88" s="3" t="s">
        <v>377</v>
      </c>
      <c r="H88" s="1" t="b">
        <f aca="false">TRUE()</f>
        <v>1</v>
      </c>
      <c r="I88" s="3" t="s">
        <v>22</v>
      </c>
      <c r="J88" s="3" t="s">
        <v>22</v>
      </c>
      <c r="K88" s="1" t="b">
        <f aca="false">TRUE()</f>
        <v>1</v>
      </c>
      <c r="L88" s="1" t="b">
        <f aca="false">FALSE()</f>
        <v>0</v>
      </c>
      <c r="M88" s="1" t="b">
        <f aca="false">FALSE()</f>
        <v>0</v>
      </c>
      <c r="N88" s="1" t="b">
        <f aca="false">FALSE()</f>
        <v>0</v>
      </c>
      <c r="O88" s="1" t="b">
        <f aca="false">FALSE()</f>
        <v>0</v>
      </c>
    </row>
    <row r="89" customFormat="false" ht="15" hidden="false" customHeight="false" outlineLevel="0" collapsed="false">
      <c r="A89" s="3" t="s">
        <v>378</v>
      </c>
      <c r="B89" s="3" t="s">
        <v>379</v>
      </c>
      <c r="C89" s="3" t="s">
        <v>380</v>
      </c>
      <c r="D89" s="3" t="s">
        <v>34</v>
      </c>
      <c r="E89" s="3" t="s">
        <v>34</v>
      </c>
      <c r="F89" s="3" t="n">
        <v>4</v>
      </c>
      <c r="G89" s="3" t="s">
        <v>381</v>
      </c>
      <c r="H89" s="1" t="b">
        <f aca="false">TRUE()</f>
        <v>1</v>
      </c>
      <c r="I89" s="3" t="s">
        <v>62</v>
      </c>
      <c r="J89" s="3" t="s">
        <v>62</v>
      </c>
      <c r="K89" s="1" t="b">
        <f aca="false">TRUE()</f>
        <v>1</v>
      </c>
      <c r="L89" s="1" t="b">
        <f aca="false">FALSE()</f>
        <v>0</v>
      </c>
      <c r="M89" s="1" t="b">
        <f aca="false">FALSE()</f>
        <v>0</v>
      </c>
      <c r="N89" s="1" t="b">
        <f aca="false">TRUE()</f>
        <v>1</v>
      </c>
      <c r="O89" s="1" t="b">
        <f aca="false">FALSE()</f>
        <v>0</v>
      </c>
    </row>
    <row r="90" customFormat="false" ht="15" hidden="false" customHeight="false" outlineLevel="0" collapsed="false">
      <c r="A90" s="3" t="s">
        <v>382</v>
      </c>
      <c r="B90" s="3" t="s">
        <v>383</v>
      </c>
      <c r="C90" s="3" t="s">
        <v>384</v>
      </c>
      <c r="D90" s="3" t="s">
        <v>34</v>
      </c>
      <c r="E90" s="3" t="s">
        <v>34</v>
      </c>
      <c r="F90" s="3" t="n">
        <v>5</v>
      </c>
      <c r="G90" s="3" t="s">
        <v>385</v>
      </c>
      <c r="H90" s="1" t="b">
        <f aca="false">TRUE()</f>
        <v>1</v>
      </c>
      <c r="I90" s="3" t="s">
        <v>75</v>
      </c>
      <c r="J90" s="3" t="s">
        <v>75</v>
      </c>
      <c r="K90" s="1" t="b">
        <f aca="false">TRUE()</f>
        <v>1</v>
      </c>
      <c r="L90" s="1" t="b">
        <f aca="false">FALSE()</f>
        <v>0</v>
      </c>
      <c r="M90" s="1" t="b">
        <f aca="false">TRUE()</f>
        <v>1</v>
      </c>
      <c r="N90" s="1" t="b">
        <f aca="false">FALSE()</f>
        <v>0</v>
      </c>
      <c r="O90" s="1" t="b">
        <f aca="false">FALSE()</f>
        <v>0</v>
      </c>
    </row>
    <row r="91" customFormat="false" ht="15" hidden="false" customHeight="false" outlineLevel="0" collapsed="false">
      <c r="A91" s="3" t="s">
        <v>386</v>
      </c>
      <c r="B91" s="3" t="s">
        <v>387</v>
      </c>
      <c r="C91" s="3" t="s">
        <v>388</v>
      </c>
      <c r="D91" s="3" t="s">
        <v>34</v>
      </c>
      <c r="E91" s="3" t="s">
        <v>34</v>
      </c>
      <c r="F91" s="3" t="n">
        <v>5</v>
      </c>
      <c r="G91" s="3" t="s">
        <v>389</v>
      </c>
      <c r="H91" s="1" t="b">
        <f aca="false">TRUE()</f>
        <v>1</v>
      </c>
      <c r="I91" s="3" t="s">
        <v>75</v>
      </c>
      <c r="J91" s="3" t="s">
        <v>75</v>
      </c>
      <c r="K91" s="1" t="b">
        <f aca="false">TRUE()</f>
        <v>1</v>
      </c>
      <c r="L91" s="1" t="b">
        <f aca="false">FALSE()</f>
        <v>0</v>
      </c>
      <c r="M91" s="1" t="b">
        <f aca="false">TRUE()</f>
        <v>1</v>
      </c>
      <c r="N91" s="1" t="b">
        <f aca="false">FALSE()</f>
        <v>0</v>
      </c>
      <c r="O91" s="1" t="b">
        <f aca="false">FALSE()</f>
        <v>0</v>
      </c>
    </row>
    <row r="92" customFormat="false" ht="15" hidden="false" customHeight="false" outlineLevel="0" collapsed="false">
      <c r="A92" s="3" t="s">
        <v>390</v>
      </c>
      <c r="B92" s="3" t="s">
        <v>391</v>
      </c>
      <c r="C92" s="3" t="s">
        <v>392</v>
      </c>
      <c r="D92" s="3" t="s">
        <v>34</v>
      </c>
      <c r="E92" s="3" t="s">
        <v>34</v>
      </c>
      <c r="F92" s="3" t="n">
        <v>5</v>
      </c>
      <c r="G92" s="3" t="s">
        <v>393</v>
      </c>
      <c r="H92" s="1" t="b">
        <f aca="false">TRUE()</f>
        <v>1</v>
      </c>
      <c r="I92" s="3" t="s">
        <v>62</v>
      </c>
      <c r="J92" s="3" t="s">
        <v>62</v>
      </c>
      <c r="K92" s="1" t="b">
        <f aca="false">TRUE()</f>
        <v>1</v>
      </c>
      <c r="L92" s="1" t="b">
        <f aca="false">FALSE()</f>
        <v>0</v>
      </c>
      <c r="M92" s="1" t="b">
        <f aca="false">FALSE()</f>
        <v>0</v>
      </c>
      <c r="N92" s="1" t="b">
        <f aca="false">TRUE()</f>
        <v>1</v>
      </c>
      <c r="O92" s="1" t="b">
        <f aca="false">FALSE()</f>
        <v>0</v>
      </c>
    </row>
    <row r="93" customFormat="false" ht="45.1" hidden="false" customHeight="false" outlineLevel="0" collapsed="false">
      <c r="A93" s="3" t="s">
        <v>394</v>
      </c>
      <c r="B93" s="3" t="s">
        <v>395</v>
      </c>
      <c r="C93" s="4" t="s">
        <v>396</v>
      </c>
      <c r="D93" s="3" t="s">
        <v>20</v>
      </c>
      <c r="E93" s="3" t="s">
        <v>20</v>
      </c>
      <c r="F93" s="3" t="n">
        <v>2</v>
      </c>
      <c r="G93" s="3" t="s">
        <v>397</v>
      </c>
      <c r="H93" s="1" t="b">
        <f aca="false">TRUE()</f>
        <v>1</v>
      </c>
      <c r="I93" s="3" t="s">
        <v>22</v>
      </c>
      <c r="J93" s="3" t="s">
        <v>22</v>
      </c>
      <c r="K93" s="1" t="b">
        <f aca="false">TRUE()</f>
        <v>1</v>
      </c>
      <c r="L93" s="1" t="b">
        <f aca="false">FALSE()</f>
        <v>0</v>
      </c>
      <c r="M93" s="1" t="b">
        <f aca="false">FALSE()</f>
        <v>0</v>
      </c>
      <c r="N93" s="1" t="b">
        <f aca="false">FALSE()</f>
        <v>0</v>
      </c>
      <c r="O93" s="1" t="b">
        <f aca="false">FALSE()</f>
        <v>0</v>
      </c>
    </row>
    <row r="94" customFormat="false" ht="15" hidden="false" customHeight="false" outlineLevel="0" collapsed="false">
      <c r="A94" s="3" t="s">
        <v>398</v>
      </c>
      <c r="B94" s="3" t="s">
        <v>399</v>
      </c>
      <c r="C94" s="3" t="s">
        <v>400</v>
      </c>
      <c r="D94" s="3" t="s">
        <v>20</v>
      </c>
      <c r="E94" s="3" t="s">
        <v>20</v>
      </c>
      <c r="F94" s="3" t="n">
        <v>2</v>
      </c>
      <c r="G94" s="3" t="s">
        <v>401</v>
      </c>
      <c r="H94" s="1" t="b">
        <f aca="false">TRUE()</f>
        <v>1</v>
      </c>
      <c r="I94" s="3" t="s">
        <v>22</v>
      </c>
      <c r="J94" s="3" t="s">
        <v>22</v>
      </c>
      <c r="K94" s="1" t="b">
        <f aca="false">TRUE()</f>
        <v>1</v>
      </c>
      <c r="L94" s="1" t="b">
        <f aca="false">FALSE()</f>
        <v>0</v>
      </c>
      <c r="M94" s="1" t="b">
        <f aca="false">FALSE()</f>
        <v>0</v>
      </c>
      <c r="N94" s="1" t="b">
        <f aca="false">FALSE()</f>
        <v>0</v>
      </c>
      <c r="O94" s="1" t="b">
        <f aca="false">FALSE()</f>
        <v>0</v>
      </c>
    </row>
    <row r="95" customFormat="false" ht="15" hidden="false" customHeight="false" outlineLevel="0" collapsed="false">
      <c r="A95" s="3" t="s">
        <v>402</v>
      </c>
      <c r="B95" s="3" t="s">
        <v>403</v>
      </c>
      <c r="C95" s="3" t="s">
        <v>404</v>
      </c>
      <c r="D95" s="3" t="s">
        <v>20</v>
      </c>
      <c r="E95" s="3" t="s">
        <v>20</v>
      </c>
      <c r="F95" s="3" t="n">
        <v>2</v>
      </c>
      <c r="G95" s="3" t="s">
        <v>405</v>
      </c>
      <c r="H95" s="1" t="b">
        <f aca="false">TRUE()</f>
        <v>1</v>
      </c>
      <c r="I95" s="3" t="s">
        <v>22</v>
      </c>
      <c r="J95" s="3" t="s">
        <v>22</v>
      </c>
      <c r="K95" s="1" t="b">
        <f aca="false">TRUE()</f>
        <v>1</v>
      </c>
      <c r="L95" s="1" t="b">
        <f aca="false">FALSE()</f>
        <v>0</v>
      </c>
      <c r="M95" s="1" t="b">
        <f aca="false">FALSE()</f>
        <v>0</v>
      </c>
      <c r="N95" s="1" t="b">
        <f aca="false">FALSE()</f>
        <v>0</v>
      </c>
      <c r="O95" s="1" t="b">
        <f aca="false">FALSE()</f>
        <v>0</v>
      </c>
    </row>
    <row r="96" customFormat="false" ht="15" hidden="false" customHeight="false" outlineLevel="0" collapsed="false">
      <c r="A96" s="3" t="s">
        <v>406</v>
      </c>
      <c r="B96" s="3" t="s">
        <v>407</v>
      </c>
      <c r="C96" s="3" t="s">
        <v>408</v>
      </c>
      <c r="D96" s="3" t="s">
        <v>34</v>
      </c>
      <c r="E96" s="3" t="s">
        <v>34</v>
      </c>
      <c r="F96" s="3" t="n">
        <v>5</v>
      </c>
      <c r="G96" s="3" t="s">
        <v>409</v>
      </c>
      <c r="H96" s="1" t="b">
        <f aca="false">TRUE()</f>
        <v>1</v>
      </c>
      <c r="I96" s="3" t="s">
        <v>36</v>
      </c>
      <c r="J96" s="3" t="s">
        <v>36</v>
      </c>
      <c r="K96" s="1" t="b">
        <f aca="false">TRUE()</f>
        <v>1</v>
      </c>
      <c r="L96" s="1" t="b">
        <f aca="false">TRUE()</f>
        <v>1</v>
      </c>
      <c r="M96" s="1" t="b">
        <f aca="false">FALSE()</f>
        <v>0</v>
      </c>
      <c r="N96" s="1" t="b">
        <f aca="false">FALSE()</f>
        <v>0</v>
      </c>
      <c r="O96" s="1" t="b">
        <f aca="false">FALSE()</f>
        <v>0</v>
      </c>
    </row>
    <row r="97" customFormat="false" ht="45.1" hidden="false" customHeight="false" outlineLevel="0" collapsed="false">
      <c r="A97" s="3" t="s">
        <v>410</v>
      </c>
      <c r="B97" s="3" t="s">
        <v>411</v>
      </c>
      <c r="C97" s="4" t="s">
        <v>412</v>
      </c>
      <c r="D97" s="3" t="s">
        <v>34</v>
      </c>
      <c r="E97" s="3" t="s">
        <v>34</v>
      </c>
      <c r="F97" s="3" t="n">
        <v>5</v>
      </c>
      <c r="G97" s="3" t="s">
        <v>413</v>
      </c>
      <c r="H97" s="1" t="b">
        <f aca="false">TRUE()</f>
        <v>1</v>
      </c>
      <c r="I97" s="3" t="s">
        <v>62</v>
      </c>
      <c r="J97" s="3" t="s">
        <v>62</v>
      </c>
      <c r="K97" s="1" t="b">
        <f aca="false">TRUE()</f>
        <v>1</v>
      </c>
      <c r="L97" s="1" t="b">
        <f aca="false">FALSE()</f>
        <v>0</v>
      </c>
      <c r="M97" s="1" t="b">
        <f aca="false">FALSE()</f>
        <v>0</v>
      </c>
      <c r="N97" s="1" t="b">
        <f aca="false">TRUE()</f>
        <v>1</v>
      </c>
      <c r="O97" s="1" t="b">
        <f aca="false">FALSE()</f>
        <v>0</v>
      </c>
    </row>
    <row r="98" customFormat="false" ht="15" hidden="false" customHeight="false" outlineLevel="0" collapsed="false">
      <c r="A98" s="3" t="s">
        <v>414</v>
      </c>
      <c r="B98" s="3" t="s">
        <v>415</v>
      </c>
      <c r="C98" s="3" t="s">
        <v>416</v>
      </c>
      <c r="D98" s="3" t="s">
        <v>34</v>
      </c>
      <c r="E98" s="3" t="s">
        <v>34</v>
      </c>
      <c r="F98" s="3" t="n">
        <v>4</v>
      </c>
      <c r="G98" s="3" t="s">
        <v>417</v>
      </c>
      <c r="H98" s="1" t="b">
        <f aca="false">TRUE()</f>
        <v>1</v>
      </c>
      <c r="I98" s="3" t="s">
        <v>75</v>
      </c>
      <c r="J98" s="3" t="s">
        <v>75</v>
      </c>
      <c r="K98" s="1" t="b">
        <f aca="false">TRUE()</f>
        <v>1</v>
      </c>
      <c r="L98" s="1" t="b">
        <f aca="false">FALSE()</f>
        <v>0</v>
      </c>
      <c r="M98" s="1" t="b">
        <f aca="false">TRUE()</f>
        <v>1</v>
      </c>
      <c r="N98" s="1" t="b">
        <f aca="false">FALSE()</f>
        <v>0</v>
      </c>
      <c r="O98" s="1" t="b">
        <f aca="false">FALSE()</f>
        <v>0</v>
      </c>
    </row>
    <row r="99" customFormat="false" ht="66.9" hidden="false" customHeight="false" outlineLevel="0" collapsed="false">
      <c r="A99" s="3" t="s">
        <v>418</v>
      </c>
      <c r="B99" s="3" t="s">
        <v>419</v>
      </c>
      <c r="C99" s="3" t="s">
        <v>420</v>
      </c>
      <c r="D99" s="3" t="s">
        <v>34</v>
      </c>
      <c r="E99" s="3" t="s">
        <v>34</v>
      </c>
      <c r="F99" s="3" t="n">
        <v>5</v>
      </c>
      <c r="G99" s="3" t="s">
        <v>421</v>
      </c>
      <c r="H99" s="1" t="b">
        <f aca="false">TRUE()</f>
        <v>1</v>
      </c>
      <c r="I99" s="3" t="s">
        <v>36</v>
      </c>
      <c r="J99" s="3" t="s">
        <v>57</v>
      </c>
      <c r="K99" s="6" t="b">
        <f aca="false">FALSE()</f>
        <v>0</v>
      </c>
      <c r="L99" s="1" t="b">
        <f aca="false">FALSE()</f>
        <v>0</v>
      </c>
      <c r="M99" s="1" t="b">
        <f aca="false">FALSE()</f>
        <v>0</v>
      </c>
      <c r="N99" s="1" t="b">
        <f aca="false">FALSE()</f>
        <v>0</v>
      </c>
      <c r="O99" s="1" t="b">
        <f aca="false">TRUE()</f>
        <v>1</v>
      </c>
      <c r="R99" s="2" t="s">
        <v>422</v>
      </c>
    </row>
    <row r="100" customFormat="false" ht="15" hidden="false" customHeight="false" outlineLevel="0" collapsed="false">
      <c r="A100" s="3" t="s">
        <v>423</v>
      </c>
      <c r="B100" s="3" t="s">
        <v>424</v>
      </c>
      <c r="C100" s="3" t="s">
        <v>425</v>
      </c>
      <c r="D100" s="3" t="s">
        <v>34</v>
      </c>
      <c r="E100" s="3" t="s">
        <v>34</v>
      </c>
      <c r="F100" s="3" t="n">
        <v>5</v>
      </c>
      <c r="G100" s="3" t="s">
        <v>426</v>
      </c>
      <c r="H100" s="1" t="b">
        <f aca="false">TRUE()</f>
        <v>1</v>
      </c>
      <c r="I100" s="3" t="s">
        <v>62</v>
      </c>
      <c r="J100" s="3" t="s">
        <v>62</v>
      </c>
      <c r="K100" s="1" t="b">
        <f aca="false">TRUE()</f>
        <v>1</v>
      </c>
      <c r="L100" s="1" t="b">
        <f aca="false">FALSE()</f>
        <v>0</v>
      </c>
      <c r="M100" s="1" t="b">
        <f aca="false">FALSE()</f>
        <v>0</v>
      </c>
      <c r="N100" s="1" t="b">
        <f aca="false">TRUE()</f>
        <v>1</v>
      </c>
      <c r="O100" s="1" t="b">
        <f aca="false">FALSE()</f>
        <v>0</v>
      </c>
    </row>
    <row r="101" customFormat="false" ht="15" hidden="false" customHeight="false" outlineLevel="0" collapsed="false">
      <c r="A101" s="3" t="s">
        <v>427</v>
      </c>
      <c r="B101" s="3" t="s">
        <v>428</v>
      </c>
      <c r="C101" s="3" t="s">
        <v>429</v>
      </c>
      <c r="D101" s="3" t="s">
        <v>20</v>
      </c>
      <c r="E101" s="3" t="s">
        <v>20</v>
      </c>
      <c r="F101" s="3" t="n">
        <v>2</v>
      </c>
      <c r="G101" s="3" t="s">
        <v>430</v>
      </c>
      <c r="H101" s="1" t="b">
        <f aca="false">TRUE()</f>
        <v>1</v>
      </c>
      <c r="I101" s="3" t="s">
        <v>22</v>
      </c>
      <c r="J101" s="3" t="s">
        <v>22</v>
      </c>
      <c r="K101" s="1" t="b">
        <f aca="false">TRUE()</f>
        <v>1</v>
      </c>
      <c r="L101" s="1" t="b">
        <f aca="false">FALSE()</f>
        <v>0</v>
      </c>
      <c r="M101" s="1" t="b">
        <f aca="false">FALSE()</f>
        <v>0</v>
      </c>
      <c r="N101" s="1" t="b">
        <f aca="false">FALSE()</f>
        <v>0</v>
      </c>
      <c r="O101" s="1" t="b">
        <f aca="false">FALSE()</f>
        <v>0</v>
      </c>
    </row>
    <row r="102" customFormat="false" ht="15" hidden="false" customHeight="false" outlineLevel="0" collapsed="false">
      <c r="A102" s="3" t="s">
        <v>431</v>
      </c>
      <c r="B102" s="3" t="s">
        <v>432</v>
      </c>
      <c r="C102" s="3" t="s">
        <v>433</v>
      </c>
      <c r="D102" s="3" t="s">
        <v>34</v>
      </c>
      <c r="E102" s="3" t="s">
        <v>34</v>
      </c>
      <c r="F102" s="3" t="n">
        <v>4</v>
      </c>
      <c r="G102" s="3" t="s">
        <v>434</v>
      </c>
      <c r="H102" s="1" t="b">
        <f aca="false">TRUE()</f>
        <v>1</v>
      </c>
      <c r="I102" s="3" t="s">
        <v>36</v>
      </c>
      <c r="J102" s="3" t="s">
        <v>36</v>
      </c>
      <c r="K102" s="1" t="b">
        <f aca="false">TRUE()</f>
        <v>1</v>
      </c>
      <c r="L102" s="1" t="b">
        <f aca="false">TRUE()</f>
        <v>1</v>
      </c>
      <c r="M102" s="1" t="b">
        <f aca="false">FALSE()</f>
        <v>0</v>
      </c>
      <c r="N102" s="1" t="b">
        <f aca="false">FALSE()</f>
        <v>0</v>
      </c>
      <c r="O102" s="1" t="b">
        <f aca="false">FALSE()</f>
        <v>0</v>
      </c>
    </row>
    <row r="103" customFormat="false" ht="15" hidden="false" customHeight="false" outlineLevel="0" collapsed="false">
      <c r="A103" s="3" t="s">
        <v>435</v>
      </c>
      <c r="B103" s="3" t="s">
        <v>436</v>
      </c>
      <c r="C103" s="3" t="s">
        <v>437</v>
      </c>
      <c r="D103" s="3" t="s">
        <v>20</v>
      </c>
      <c r="E103" s="3" t="s">
        <v>20</v>
      </c>
      <c r="F103" s="3" t="n">
        <v>2</v>
      </c>
      <c r="G103" s="3" t="s">
        <v>438</v>
      </c>
      <c r="H103" s="1" t="b">
        <f aca="false">TRUE()</f>
        <v>1</v>
      </c>
      <c r="I103" s="3" t="s">
        <v>22</v>
      </c>
      <c r="J103" s="3" t="s">
        <v>22</v>
      </c>
      <c r="K103" s="1" t="b">
        <f aca="false">TRUE()</f>
        <v>1</v>
      </c>
      <c r="L103" s="1" t="b">
        <f aca="false">FALSE()</f>
        <v>0</v>
      </c>
      <c r="M103" s="1" t="b">
        <f aca="false">FALSE()</f>
        <v>0</v>
      </c>
      <c r="N103" s="1" t="b">
        <f aca="false">FALSE()</f>
        <v>0</v>
      </c>
      <c r="O103" s="1" t="b">
        <f aca="false">FALSE()</f>
        <v>0</v>
      </c>
    </row>
    <row r="104" customFormat="false" ht="15" hidden="false" customHeight="false" outlineLevel="0" collapsed="false">
      <c r="A104" s="3" t="s">
        <v>439</v>
      </c>
      <c r="B104" s="3" t="s">
        <v>440</v>
      </c>
      <c r="C104" s="3" t="s">
        <v>441</v>
      </c>
      <c r="D104" s="3" t="s">
        <v>34</v>
      </c>
      <c r="E104" s="3" t="s">
        <v>34</v>
      </c>
      <c r="F104" s="3" t="n">
        <v>4</v>
      </c>
      <c r="G104" s="3" t="s">
        <v>442</v>
      </c>
      <c r="H104" s="1" t="b">
        <f aca="false">TRUE()</f>
        <v>1</v>
      </c>
      <c r="I104" s="3" t="s">
        <v>57</v>
      </c>
      <c r="J104" s="3" t="s">
        <v>57</v>
      </c>
      <c r="K104" s="1" t="b">
        <f aca="false">TRUE()</f>
        <v>1</v>
      </c>
      <c r="L104" s="1" t="b">
        <f aca="false">TRUE()</f>
        <v>1</v>
      </c>
      <c r="M104" s="1" t="b">
        <f aca="false">TRUE()</f>
        <v>1</v>
      </c>
      <c r="N104" s="1" t="b">
        <f aca="false">FALSE()</f>
        <v>0</v>
      </c>
      <c r="O104" s="1" t="b">
        <f aca="false">FALSE()</f>
        <v>0</v>
      </c>
    </row>
    <row r="105" customFormat="false" ht="15" hidden="false" customHeight="false" outlineLevel="0" collapsed="false">
      <c r="A105" s="3" t="s">
        <v>443</v>
      </c>
      <c r="B105" s="3" t="s">
        <v>444</v>
      </c>
      <c r="C105" s="3" t="s">
        <v>445</v>
      </c>
      <c r="D105" s="3" t="s">
        <v>34</v>
      </c>
      <c r="E105" s="3" t="s">
        <v>34</v>
      </c>
      <c r="F105" s="3" t="n">
        <v>5</v>
      </c>
      <c r="G105" s="3" t="s">
        <v>446</v>
      </c>
      <c r="H105" s="1" t="b">
        <f aca="false">TRUE()</f>
        <v>1</v>
      </c>
      <c r="I105" s="3" t="s">
        <v>75</v>
      </c>
      <c r="J105" s="3" t="s">
        <v>75</v>
      </c>
      <c r="K105" s="1" t="b">
        <f aca="false">TRUE()</f>
        <v>1</v>
      </c>
      <c r="L105" s="1" t="b">
        <f aca="false">FALSE()</f>
        <v>0</v>
      </c>
      <c r="M105" s="1" t="b">
        <f aca="false">TRUE()</f>
        <v>1</v>
      </c>
      <c r="N105" s="1" t="b">
        <f aca="false">FALSE()</f>
        <v>0</v>
      </c>
      <c r="O105" s="1" t="b">
        <f aca="false">FALSE()</f>
        <v>0</v>
      </c>
    </row>
    <row r="106" customFormat="false" ht="15" hidden="false" customHeight="false" outlineLevel="0" collapsed="false">
      <c r="A106" s="3" t="s">
        <v>447</v>
      </c>
      <c r="B106" s="3" t="s">
        <v>448</v>
      </c>
      <c r="C106" s="3" t="s">
        <v>449</v>
      </c>
      <c r="D106" s="3" t="s">
        <v>34</v>
      </c>
      <c r="E106" s="3" t="s">
        <v>34</v>
      </c>
      <c r="F106" s="3" t="n">
        <v>5</v>
      </c>
      <c r="G106" s="3" t="s">
        <v>450</v>
      </c>
      <c r="H106" s="1" t="b">
        <f aca="false">TRUE()</f>
        <v>1</v>
      </c>
      <c r="I106" s="3" t="s">
        <v>62</v>
      </c>
      <c r="J106" s="3" t="s">
        <v>62</v>
      </c>
      <c r="K106" s="1" t="b">
        <f aca="false">TRUE()</f>
        <v>1</v>
      </c>
      <c r="L106" s="1" t="b">
        <f aca="false">FALSE()</f>
        <v>0</v>
      </c>
      <c r="M106" s="1" t="b">
        <f aca="false">FALSE()</f>
        <v>0</v>
      </c>
      <c r="N106" s="1" t="b">
        <f aca="false">TRUE()</f>
        <v>1</v>
      </c>
      <c r="O106" s="1" t="b">
        <f aca="false">FALSE()</f>
        <v>0</v>
      </c>
    </row>
    <row r="107" customFormat="false" ht="110.5" hidden="false" customHeight="false" outlineLevel="0" collapsed="false">
      <c r="A107" s="3" t="s">
        <v>451</v>
      </c>
      <c r="B107" s="3" t="s">
        <v>452</v>
      </c>
      <c r="C107" s="3" t="s">
        <v>453</v>
      </c>
      <c r="D107" s="3" t="s">
        <v>20</v>
      </c>
      <c r="E107" s="3" t="s">
        <v>34</v>
      </c>
      <c r="F107" s="3" t="n">
        <v>4</v>
      </c>
      <c r="G107" s="3" t="s">
        <v>454</v>
      </c>
      <c r="H107" s="7" t="b">
        <f aca="false">FALSE()</f>
        <v>0</v>
      </c>
      <c r="I107" s="3" t="s">
        <v>22</v>
      </c>
      <c r="J107" s="3" t="s">
        <v>36</v>
      </c>
      <c r="K107" s="1" t="b">
        <f aca="false">FALSE()</f>
        <v>0</v>
      </c>
      <c r="L107" s="1" t="b">
        <f aca="false">TRUE()</f>
        <v>1</v>
      </c>
      <c r="M107" s="1" t="b">
        <f aca="false">FALSE()</f>
        <v>0</v>
      </c>
      <c r="N107" s="1" t="b">
        <f aca="false">FALSE()</f>
        <v>0</v>
      </c>
      <c r="O107" s="1" t="b">
        <f aca="false">FALSE()</f>
        <v>0</v>
      </c>
      <c r="Q107" s="2" t="s">
        <v>455</v>
      </c>
    </row>
    <row r="108" customFormat="false" ht="15" hidden="false" customHeight="false" outlineLevel="0" collapsed="false">
      <c r="A108" s="3" t="s">
        <v>456</v>
      </c>
      <c r="B108" s="3" t="s">
        <v>457</v>
      </c>
      <c r="C108" s="3" t="s">
        <v>458</v>
      </c>
      <c r="D108" s="3" t="s">
        <v>34</v>
      </c>
      <c r="E108" s="3" t="s">
        <v>34</v>
      </c>
      <c r="F108" s="3" t="n">
        <v>4</v>
      </c>
      <c r="G108" s="3" t="s">
        <v>459</v>
      </c>
      <c r="H108" s="1" t="b">
        <f aca="false">TRUE()</f>
        <v>1</v>
      </c>
      <c r="I108" s="3" t="s">
        <v>36</v>
      </c>
      <c r="J108" s="3" t="s">
        <v>36</v>
      </c>
      <c r="K108" s="1" t="b">
        <f aca="false">TRUE()</f>
        <v>1</v>
      </c>
      <c r="L108" s="1" t="b">
        <f aca="false">TRUE()</f>
        <v>1</v>
      </c>
      <c r="M108" s="1" t="b">
        <f aca="false">FALSE()</f>
        <v>0</v>
      </c>
      <c r="N108" s="1" t="b">
        <f aca="false">FALSE()</f>
        <v>0</v>
      </c>
      <c r="O108" s="1" t="b">
        <f aca="false">FALSE()</f>
        <v>0</v>
      </c>
    </row>
    <row r="109" customFormat="false" ht="15" hidden="false" customHeight="false" outlineLevel="0" collapsed="false">
      <c r="A109" s="3" t="s">
        <v>460</v>
      </c>
      <c r="B109" s="3" t="s">
        <v>461</v>
      </c>
      <c r="C109" s="3" t="s">
        <v>462</v>
      </c>
      <c r="D109" s="3" t="s">
        <v>34</v>
      </c>
      <c r="E109" s="3" t="s">
        <v>34</v>
      </c>
      <c r="F109" s="3" t="n">
        <v>5</v>
      </c>
      <c r="G109" s="3" t="s">
        <v>463</v>
      </c>
      <c r="H109" s="1" t="b">
        <f aca="false">TRUE()</f>
        <v>1</v>
      </c>
      <c r="I109" s="3" t="s">
        <v>36</v>
      </c>
      <c r="J109" s="3" t="s">
        <v>36</v>
      </c>
      <c r="K109" s="1" t="b">
        <f aca="false">TRUE()</f>
        <v>1</v>
      </c>
      <c r="L109" s="1" t="b">
        <f aca="false">TRUE()</f>
        <v>1</v>
      </c>
      <c r="M109" s="1" t="b">
        <f aca="false">FALSE()</f>
        <v>0</v>
      </c>
      <c r="N109" s="1" t="b">
        <f aca="false">FALSE()</f>
        <v>0</v>
      </c>
      <c r="O109" s="1" t="b">
        <f aca="false">FALSE()</f>
        <v>0</v>
      </c>
    </row>
    <row r="110" customFormat="false" ht="15" hidden="false" customHeight="false" outlineLevel="0" collapsed="false">
      <c r="A110" s="3" t="s">
        <v>464</v>
      </c>
      <c r="B110" s="3" t="s">
        <v>465</v>
      </c>
      <c r="C110" s="3" t="s">
        <v>466</v>
      </c>
      <c r="D110" s="3" t="s">
        <v>20</v>
      </c>
      <c r="E110" s="3" t="s">
        <v>20</v>
      </c>
      <c r="F110" s="3" t="n">
        <v>2</v>
      </c>
      <c r="G110" s="3" t="s">
        <v>467</v>
      </c>
      <c r="H110" s="1" t="b">
        <f aca="false">TRUE()</f>
        <v>1</v>
      </c>
      <c r="I110" s="3" t="s">
        <v>22</v>
      </c>
      <c r="J110" s="3" t="s">
        <v>22</v>
      </c>
      <c r="K110" s="1" t="b">
        <f aca="false">TRUE()</f>
        <v>1</v>
      </c>
      <c r="L110" s="1" t="b">
        <f aca="false">FALSE()</f>
        <v>0</v>
      </c>
      <c r="M110" s="1" t="b">
        <f aca="false">FALSE()</f>
        <v>0</v>
      </c>
      <c r="N110" s="1" t="b">
        <f aca="false">FALSE()</f>
        <v>0</v>
      </c>
      <c r="O110" s="1" t="b">
        <f aca="false">FALSE()</f>
        <v>0</v>
      </c>
    </row>
    <row r="111" customFormat="false" ht="45.1" hidden="false" customHeight="false" outlineLevel="0" collapsed="false">
      <c r="A111" s="3" t="s">
        <v>468</v>
      </c>
      <c r="B111" s="3" t="s">
        <v>469</v>
      </c>
      <c r="C111" s="4" t="s">
        <v>470</v>
      </c>
      <c r="D111" s="3" t="s">
        <v>20</v>
      </c>
      <c r="E111" s="3" t="s">
        <v>20</v>
      </c>
      <c r="F111" s="3" t="n">
        <v>1</v>
      </c>
      <c r="G111" s="3" t="s">
        <v>471</v>
      </c>
      <c r="H111" s="1" t="b">
        <f aca="false">TRUE()</f>
        <v>1</v>
      </c>
      <c r="I111" s="3" t="s">
        <v>22</v>
      </c>
      <c r="J111" s="3" t="s">
        <v>22</v>
      </c>
      <c r="K111" s="1" t="b">
        <f aca="false">TRUE()</f>
        <v>1</v>
      </c>
      <c r="L111" s="1" t="b">
        <f aca="false">FALSE()</f>
        <v>0</v>
      </c>
      <c r="M111" s="1" t="b">
        <f aca="false">FALSE()</f>
        <v>0</v>
      </c>
      <c r="N111" s="1" t="b">
        <f aca="false">FALSE()</f>
        <v>0</v>
      </c>
      <c r="O111" s="1" t="b">
        <f aca="false">FALSE()</f>
        <v>0</v>
      </c>
    </row>
    <row r="115" customFormat="false" ht="15" hidden="false" customHeight="false" outlineLevel="0" collapsed="false">
      <c r="E115" s="8" t="s">
        <v>472</v>
      </c>
    </row>
    <row r="118" customFormat="false" ht="15" hidden="false" customHeight="false" outlineLevel="0" collapsed="false">
      <c r="E118" s="3" t="n">
        <f aca="false">COUNTIF(D2:D111,"in")</f>
        <v>70</v>
      </c>
      <c r="H118" s="9" t="s">
        <v>473</v>
      </c>
    </row>
    <row r="119" customFormat="false" ht="15" hidden="false" customHeight="false" outlineLevel="0" collapsed="false">
      <c r="H119" s="3" t="s">
        <v>474</v>
      </c>
    </row>
    <row r="120" customFormat="false" ht="15" hidden="false" customHeight="false" outlineLevel="0" collapsed="false">
      <c r="H120" s="3" t="s">
        <v>475</v>
      </c>
    </row>
    <row r="121" customFormat="false" ht="15" hidden="false" customHeight="false" outlineLevel="0" collapsed="false">
      <c r="H121" s="3" t="s">
        <v>476</v>
      </c>
    </row>
    <row r="123" customFormat="false" ht="15" hidden="false" customHeight="false" outlineLevel="0" collapsed="false">
      <c r="H123" s="3" t="s">
        <v>477</v>
      </c>
    </row>
    <row r="124" customFormat="false" ht="15" hidden="false" customHeight="false" outlineLevel="0" collapsed="false">
      <c r="H124" s="3" t="s">
        <v>478</v>
      </c>
    </row>
    <row r="125" customFormat="false" ht="15" hidden="false" customHeight="false" outlineLevel="0" collapsed="false">
      <c r="H125" s="3" t="s">
        <v>479</v>
      </c>
    </row>
    <row r="126" customFormat="false" ht="15" hidden="false" customHeight="false" outlineLevel="0" collapsed="false">
      <c r="H126" s="3" t="s">
        <v>480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3" t="s">
        <v>481</v>
      </c>
      <c r="B1" s="3" t="s">
        <v>482</v>
      </c>
      <c r="C1" s="3" t="s">
        <v>483</v>
      </c>
    </row>
    <row r="2" customFormat="false" ht="15" hidden="false" customHeight="false" outlineLevel="0" collapsed="false">
      <c r="A2" s="3" t="s">
        <v>484</v>
      </c>
      <c r="B2" s="3" t="s">
        <v>485</v>
      </c>
      <c r="C2" s="3" t="n">
        <v>110</v>
      </c>
    </row>
    <row r="3" customFormat="false" ht="15" hidden="false" customHeight="false" outlineLevel="0" collapsed="false">
      <c r="A3" s="3" t="s">
        <v>486</v>
      </c>
      <c r="B3" s="3" t="s">
        <v>487</v>
      </c>
      <c r="C3" s="3" t="n">
        <v>110</v>
      </c>
    </row>
    <row r="4" customFormat="false" ht="15" hidden="false" customHeight="false" outlineLevel="0" collapsed="false">
      <c r="A4" s="3" t="s">
        <v>488</v>
      </c>
      <c r="B4" s="3" t="s">
        <v>489</v>
      </c>
      <c r="C4" s="3" t="n">
        <v>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44</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2026-06-12T13:49:10Z</dcterms:created>
  <dc:creator>openpyxl</dc:creator>
  <dc:description/>
  <dc:language>en-GB</dc:language>
  <cp:lastModifiedBy/>
  <dcterms:modified xsi:type="dcterms:W3CDTF">2026-06-12T16:50:22Z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file>