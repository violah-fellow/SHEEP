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<sst xmlns="http://schemas.openxmlformats.org/spreadsheetml/2006/main" count="265" uniqueCount="152">
  <si>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</si>
  <si>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</si>
  <si>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</si>
  <si>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</si>
  <si>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</si>
  <si>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</si>
  <si>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</si>
  <si>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</si>
  <si>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</si>
  <si>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</si>
  <si>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</si>
  <si>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</si>
  <si>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</si>
  <si>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</si>
  <si>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</si>
  <si>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pub.1193718255</t>
  </si>
  <si>
    <t xml:space="preserve">Associations between the EAT-Lancet Index, food group consumption and Eatwell Guide adherence in UK adults</t>
  </si>
  <si>
    <t xml:space="preserve">The EAT-Lancet Commission’s “Planetary Health Diet” (PHD) aims to optimise population health and environmental sustainability by promoting a plant-forward diet with animal products consumed in moderation (1) . The UK’s Eatwell Guide provides recommendations for key nutrients and food groups to achieve a healthy, balanced diet; greater adherence is associated with environmental benefits (2) . This secondary analysis examines the relationships between PHD adherence, food group intakes and compliance with the Eatwell Guide in UK adults. Data from disease-free UK adults aged ≥18 years (n=452) were pooled from five cross- sectional analyses that recorded habitual dietary intake using the eNutri food frequency questionnaire, which generated nutrient and food group data (3) . EAT-Lancet Index scores were calculated (4) for each participant then stratified into quartiles (Q), with the highest scores in Q4 (representing greater adherence to the PHD). Adherence to the 9 Eatwell Guide recommendations were determined for each quartile then classified as ‘very low’ (0– 2 recommendations met), ‘low’ (3–4) or ‘intermediate-to-high’ (5–9) (2) . ANCOVA (adjusted for sex, age, physical activity, ethnicity, employment status, and body mass index (BMI)) compared the mean daily intakes of 17 food groups across quartiles. If significant, pairwise comparisons with Bonferroni correction were determined. P values ≤0.01 were considered significant for all. Study participants had a mean (SD) age of 44 (19) years and a BMI of 25.7 (6.0) kg/m2 and 79.6% were female. Adherence to the Eatwell Guide was very low in Q1 and Q2, low in Q3 and intermediate-to-high in Q4 (where 5 out of the 9 recommendations were met). Compared to Q1, higher adherence to the PHD (Q4) was associated with higher intakes of ‘fruits and vegetables’ (+408 g/d), ‘pulses’ (+25.0 g/d), ‘whole grains’(+29.2 g/d), ‘nuts and seeds’(+15.8 g/d) ‘plant-based meat alternatives’ (+14.3 g/d) and ‘plant-based dairy alternatives’ (+110 g/d) (all p≤0.001). In contrast, Q4 had lower intakes of ‘eggs’ (-17.0 g/d), ‘potatoes’(-50.5 g/d), ‘poultry’ (-38.1 g/d), ‘red meat’(-40.4 g/d), ‘processed meat’(-22.5 g/d), ‘refined grains’ (-65.0 g/d) and ‘dairy products’ (-110 g/d) relative to Q1 (all p≤0.001). Although intakes of ‘unsaturated fats and oils’ and ‘fish and other seafood’ were highest in Q4, neither was significantly different from the other quartiles. Greater adherence to the PHD was associated with higher intakes of plant-based foods (including a two-fold higher intake in fruits and vegetables), and lower consumption of animal products, notably a five-fold lower intake of red meat. Moreover, UK adults whose diets more closely reflected the PHD also met a higher proportion of Eatwell Guide recommendations. These findings suggest that closer adherence to the PHD aligns with greater compliance to UK dietary guidelines (Eatwell Guide), reflecting a more favorable dietary pattern.</t>
  </si>
  <si>
    <t xml:space="preserve">in</t>
  </si>
  <si>
    <t xml:space="preserve">out</t>
  </si>
  <si>
    <t xml:space="preserve">This study examines dietary adherence to the EAT-Lancet Planetary Health Diet and Eatwell Guide in UK adults, and while it mentions plant-based meat and dairy alternatives as food groups, it does not study or advance alternative protein development — it is a general dietary pattern/epidemiological study where alternative proteins are incidental data points rather than a meaningful focus.</t>
  </si>
  <si>
    <t xml:space="preserve">PB</t>
  </si>
  <si>
    <t xml:space="preserve">NA</t>
  </si>
  <si>
    <t xml:space="preserve">pub.1195208348</t>
  </si>
  <si>
    <t xml:space="preserve">Plant-based proteins for infant formula: findings and recommendations from the ILSI Europe workshop</t>
  </si>
  <si>
    <t xml:space="preserve">This Review Article summarizes outcomes from the ILSI Europe expert workshop on plant-based proteins in infant formula, held in November 2024. Experts from academia, clinical nutrition, and food science evaluated the current use and future potential of plant-based protein sources in infant formula, considering nutritional adequacy, allergenicity, sustainability, processing technologies, and regulatory constraints. While soy and hydrolyzed rice proteins are already approved and in use, emerging sources such as pea, lentil, and faba beans show promise but require further validation of their amino acid profiles, digestibility, safety, and suitability for infants. Key research priorities identified include the development of improved protein extraction methods, in vitro digestion and allergy modeling, and targeted clinical studies. This review synthesizes current evidence and expert perspectives to support the development of sustainable, nutritionally adequate plant-based infant formulas.</t>
  </si>
  <si>
    <t xml:space="preserve">This review directly addresses plant-based protein sources (soy, rice, pea, lentil, faba bean) for use in infant formula, covering nutritional adequacy, processing, allergenicity, and regulatory aspects, which is explicitly in scope as general nutritional products for healthy populations.</t>
  </si>
  <si>
    <t xml:space="preserve">pub.1193233825</t>
  </si>
  <si>
    <t xml:space="preserve">Development of plant-based infant complementary food from Cucumeropsis mannii, Dioscorea dumetorum, Musa paradiasica, and Malus domestica fermented with lactic acid bacteria</t>
  </si>
  <si>
    <t xml:space="preserve">Plant-based complementary foods offer a promising alternative to conventional infant formulas; however, their nutritional limitations, anti-nutritional factors, and functional properties require optimization to ensure suitability for infant nutrition. In this study, a novel ready-to-eat plant-based infant food in paste form was developed from Cucumeropsis mannii (Melon seeds), Dioscorea dumetorum (sweet Yellow Yam tubers), banana, and apple through fermentation with lactic acid bacteria (LAB) to enhance its nutritional properties. After starter screening and fermentation optimization, the formulation was individually inoculated with 6 Log CFU/g of Lacticaseibacillus paracasei (SK8), Leuconostoc mesenteroides (GSL7), and Lactiplantibacillus plantarum (AFI5), and incubated at 30 °C for 24 h. Subsequently, the effect of fermentation on chemical composition, peptide profile, and antioxidant capacity was investigated. Compared to the control formulation (RAW-F3), fermentation induced distinct changes in sugar consumption, free amino acids content, peptides profiles, along with reductions in key anti-nutritional factors (particularly phytic acid and saponins). Proteolysis driven by enzymes produced by LAB contributed to a modified free amino acid profile, with the formulation inoculated with L. paracasei (SK8-F3) having the highest amounts of free amino acids (401.8 mg/100 g). Likewise, a notable change in peptide profile was observed, and the formulation was inoculated with L. mesenteroides (GSL7-F3) recorded the highest diverse number of peptides (3352), followed by the formulation inoculated with L. plantarum (3417), and SK8-F3 (2697). In SK8-F3, phytic acid and saponins were significantly reduced by 75% and 50%, respectively, compared to RAW-F3 (P &lt; 0.05). Generally, fermentation enhanced total phenolic content and antioxidant activity, with the highest phenolics in GSL7-F3 (267 mg/L) and the strongest DPPH scavenging in AFI5-F3 (61.3%). Procyanidin B2 and caffeic acid peaked in SK8-F3, while ferulic acid and phloridzin remained consistently high across all formulations. Metabolism by LAB also contributed to improved sensory properties, with the SK8-F3 and AFI5-F3 formulations receiving the highest sensory scores. Overall, our findings affirm the role of LAB in enhancing the nutritional quality, safety, and sensory characteristics of foods, supporting their application in infant food formulations.</t>
  </si>
  <si>
    <t xml:space="preserve">This study develops a plant-based infant complementary food from plant sources fermented with lactic acid bacteria as a processing method to enhance nutritional properties, classifying it as plant-based alternative protein research for human food (infant nutrition), which is explicitly in scope.</t>
  </si>
  <si>
    <t xml:space="preserve">pub.1191132017</t>
  </si>
  <si>
    <t xml:space="preserve">ELABORACIÓN DE ANÁLOGOS CÁRNICOS MEDIANTE EL PROCESO DE EXTRUSIÓN DE ALTA HUMEDAD A PARTIR DE AISLADO DE PROTEÍNA DE HABA Y SALVADO DE TRIGO INTEGRAL</t>
  </si>
  <si>
    <t xml:space="preserve">El interés por una alimentación saludable ha crecido en los últimos años, aumentando el consumo de proteínas. La carne es la principal fuente de proteínas, aunque su consumo se ha visto reducido por su impacto negativo en la salud, el medio ambiente y su elevado precio. Esto impulsa la búsqueda de alternativas más sostenibles, como los análogos cárnicos. Estos productos imitan la carne y son elaborados a partir de proteínas vegetales mediante la tecnología de extrusión. Entre las diversas fuentes de proteínas vegetales, las legumbres son las más comunes por su elevada calidad proteica. Este estudio se centró en el desarrollo de análogos cárnicos utilizando aislado de proteína de haba y salvado de trigo integral en una proporción 2:1 respectivamente. Se elaboraron tres lotes con diferente contenido de agua:harina inicial, siendo HA: 60%:40%, HM: 50%:50% y HB: 40%:50% respectivamente. Los lotes HA y HM se prepararon mezclando el agua y la materia prima antes de añadirlos al extrusor. El lote HM se elaboró añadiendo la materia prima manualmente al extrusor y el flujo de agua fue de 18 ml/min a través de una bomba. Las muestras se procesaron en una extrusora de doble tornillo a una velocidad de 150 rpm. Se evaluó el índice de absorción de agua de la harina de haba y su mezcla con salvado de trigo, sin encontrarse diferencias significativas entre ambas. Las muestras texturizadas presentaron diferentes niveles de humedad lo que afectó el color y la textura. La muestra HB, con menor humedad, fue la más oscura. En cuanto a la textura, la muestra HB tuvo mayor dureza, gomosidad y masticabilidad que HM y HA debido a su menor contenido de humedad. No se observaron diferencias significativas en la capacidad de retención de agua entre las muestras.
Interest in healthy eating has grown in recent years, increasing the consumption of protein. Meat is the main source of protein, although its consumption has been reduced due to its negative impact on health, the environment and its high price. This is driving the search for more sustainable alternatives, such as meat analogues. These products mimic meat and are made from vegetable proteins using extrusion technology. Among the various sources of vegetable proteins, pulses are the most common due to their high protein quality. This study focused on the development of meat analogues using bean protein isolate and whole wheat bran in a 2:1 ratio respectively. Three batches were prepared with different initial water:flour content, being HA: 60%:40%, HM: 50%:50% and HB: 40%:50% respectively. The HA and HM batches were prepared by mixing the water and raw material before adding them to the extruder. The HM batch was prepared by adding the feedstock manually to the extruder and the water flow was 18 ml/min through a pump. The samples were processed in a twin screw extruder at a speed of 150 rpm. The water absorption rate of broad bean flour and its mixture with wheat bran were evaluated, with no significant differences between the two. The textured samples had different moisture levels, which affected colour and texture. The HB sample, with the lowest moisture content, was the darkest. In terms of texture, the HB sample had higher hardness, gumminess and chewiness than HM and HA due to its lower moisture content. No significant differences in water holding capacity were observed between the samples.</t>
  </si>
  <si>
    <t xml:space="preserve">This study develops plant-based meat analogues using faba bean protein isolate and wheat bran via high-moisture extrusion, directly advancing alternative protein product development.</t>
  </si>
  <si>
    <t xml:space="preserve">pub.1188951678</t>
  </si>
  <si>
    <t xml:space="preserve">Modifications in lipids and storage proteins composition during germination of chia seeds (Salvia hispanica L.)</t>
  </si>
  <si>
    <t xml:space="preserve">Salvia hispanica L. (chia) is a plant of the Lamiaceae family native to Central America, is mainly grown in southwestern France, with a preference for the ORURO® variety. Chia seeds contain over 30 % oil and 19 % protein. They are rich in omega-3 (ω3) and omega-6 (ω6) fatty acids, with a favorable ω3/ ω6 ratio, making them a valuable source of nutrients. Chia seeds store nutrients in lipid droplets and protein bodies. During germination, these nutrients are mobilized to support seedling growth. This study explores how germination can enhance the quality of chia seed reserves for food applications. Thus, we examined the biochemical and metabolic changes during germination leading to the breakdown and mobilization of seed reserves. Using proteomics and lipidomics, we monitored changes in storage proteins and lipids during chia seed germination. Our findings revealed significant molecular remodeling, suggesting that germination may enhances chia's nutritional value for human consumption.</t>
  </si>
  <si>
    <t xml:space="preserve">This study investigates germination-induced changes in storage proteins and lipids in chia seeds for food applications, which is relevant to plant-based protein ingredient development and nutritional enhancement for human consumption.</t>
  </si>
  <si>
    <t xml:space="preserve">pub.1187223408</t>
  </si>
  <si>
    <t xml:space="preserve">Research progress on lentil-based composite flours: physicochemical, techno-functional properties, and high-performance food applications</t>
  </si>
  <si>
    <t xml:space="preserve">As the global population continues to grow, there is an increasing need to explore alternative nutrition sources that are sustainable, affordable, and environmentally friendly. Lentils, from leguminous crops, are a promising option because of their high protein content and numerous health benefits. The Food and Agriculture Organization (FAO) has recommended the development of composite flours as an effective way to incorporate local, nutritious grains into food products. Composite flours are mixtures of different flours, often combining traditional grains with healthier alternatives like lentils. These flours are cost-effective, quick to produce, and improve food quality. While many studies explore lentil-based composite flours, few provide comprehensive reviews of their physicochemical and technological properties. Understanding these properties—such as water absorption, binding capacity, and effects on food texture and flavor—is crucial for predicting their quality and potential applications in various food systems. By reviewing the techno-functional and physicochemical characteristics of lentil-based composite flours, this study aims to fill that gap and provide insights that could promote the commercialization of food products made with these flours. Ultimately, this could help make healthier, sustainable food options more accessible to a larger population.</t>
  </si>
  <si>
    <t xml:space="preserve">This review focuses on lentil-based composite flours, covering physicochemical and techno-functional properties relevant to food applications, with lentils being a high-protein legume crop used as an alternative protein feedstock.</t>
  </si>
  <si>
    <t xml:space="preserve">pub.1191085313</t>
  </si>
  <si>
    <t xml:space="preserve">Pseudocereals for modern diets: Multifunctional grains with superior bioactive properties, nutraceutical potential, and diverse industrial applications</t>
  </si>
  <si>
    <t xml:space="preserve">Pseudocereals, such as quinoa, buckwheat, and amaranth, have emerged as promising alternatives to traditional cereals due to their superior nutritional composition, abundance of bioactive compounds, and multifunctional properties. This review synthesizes the current knowledge of bioactive compounds present in these multifunctional grains, highlighting their superior antioxidant, anti-inflammatory, anticancer, hypocholesterolemic, and antidiabetic properties. It discusses the major bioactive compounds, including polyphenols, flavonoids, saponins, fagopyritols, and peptides, and advanced analytical approaches, including HPLC and UPLC for separation, and MS/MS and NMR spectroscopy for detection and structural elucidation. The review also highlights the nutraceutical potential of pseudocereals in preventing chronic diseases, promoting overall health, and addressing nutritional deficiencies. Furthermore, pseudocereals demonstrate significant industrial potential through their versatile applications in gluten-free bakery products, meat analogues, dairy substitutes, fermented beverages, edible films, animal feed formulations, and nutraceutical delivery systems. Considering their adaptability to marginal environments, resilience to climate stress, and superior nutritional profiles, integrating pseudocereals into modern agriculture and diets aligns with achieving SDGs such as zero hunger, good health and well-being, and sustainable agriculture. This review serves as a comprehensive resource bridging the gap between research and industry applications, highlighting future opportunities for utilizing pseudocereals to enhance food security and support sustainable agricultural systems.</t>
  </si>
  <si>
    <t xml:space="preserve">Pseudocereals (quinoa, buckwheat, amaranth) are discussed as protein-rich plant sources with applications in meat analogues and dairy substitutes, which are in-scope alternative protein applications, though much of the review focuses on nutraceutical/bioactive properties and general food applications that are out of scope.</t>
  </si>
  <si>
    <t xml:space="preserve">pub.1188583025</t>
  </si>
  <si>
    <t xml:space="preserve">Balancing culinary excellence with ethical responsibility: A scientific perspective on animal welfare in gastronomy</t>
  </si>
  <si>
    <t xml:space="preserve">The culinary industry not only seeks gastronomic excellence but must also address society's mounting concern for animal welfare. This review explores scientific and technological advances shaping animal welfare across the contemporary food system, mapping five critical value-chain stages, animal breeding and rearing; transport and handling; slaughter practices; distribution and procurement; and culinary preparation, where ethical tensions and welfare risks converge. It synthesizes welfare frameworks from the “Five Freedoms” to sentience-based and competence models, highlighting empirical gaps, particularly for crustaceans and insects, that have prompted precautionary bans such as Switzerland's prohibition on boiling lobsters alive. It is catalog key innovations, cultured meat regulatory milestones on March 21 and July 2023, plant-based analogues from pea protein to seitan, and emerging insect-protein applications and assess their potential to decouple gastronomic quality from animal harm. By comparing EU and US regulatory frameworks and private certification schemes, it identify fragmented standards as a barrier to coherent supply-chain compliance. The paper concludes by outlining a roadmap to integrate animal welfare science into culinary curricula, foster multi-stakeholder partnerships, and leverage precision livestock and vertical-farming technologies to advance a sustainable, responsible, and compassionate gastronomy.</t>
  </si>
  <si>
    <t xml:space="preserve">The review explicitly discusses plant-based analogues (pea protein, seitan) and cultivated meat regulatory milestones as alternatives to conventional animal products, making it in scope for alternative proteins, though it is primarily framed around animal welfare in gastronomy.</t>
  </si>
  <si>
    <t xml:space="preserve">CC</t>
  </si>
  <si>
    <t xml:space="preserve">pub.1148377610</t>
  </si>
  <si>
    <t xml:space="preserve">Children Prefer Natural Food, Too</t>
  </si>
  <si>
    <t xml:space="preserve">Adults often prefer things that they believe are natural, including natural foods. This preference has serious implications, such as the rejection of cultured meat and other sustainable technologies. Here we explore whether children also prefer natural foods. We conducted two preregistered studies with 374 adults and children from the United States. In Study 1, children's (N = 120) ages ranged from 6-10 years, with 57% of the sample identifying as female identifying as White/European American, whereas adults (N = 120) had a mean age of 30 years and 4 months, with 48.7% identifying as female, and 69.2% identifying as White/European American. In Study 2, children's (N = 63) aged ranged from 5-7 years, with 57% identifying as female and 66% identifying as White/European American, whereas adults (N = 64) had a mean age of 29 years and 11 months, with 60.7% of the sample identifying as female and 59% of participants identifying as White/European American. We found that, like adults, American children of these ages prefer natural over unnatural foods. This was found across two domains (fruit, juice) and a range of measures (tastiness, safety, unnaturalness, desire to consume). This preference was found in children as young as 5 years of age. Overall, we provide evidence that, at least in the United States, our tendency to prefer natural food is present even in childhood. (PsycInfo Database Record (c) 2022 APA, all rights reserved).</t>
  </si>
  <si>
    <t xml:space="preserve">The study explicitly mentions rejection of cultured meat as a serious implication of naturalness preferences, and investigates consumer acceptance attitudes relevant to alternative proteins including cultivated meat.</t>
  </si>
  <si>
    <t xml:space="preserve">CM</t>
  </si>
  <si>
    <t xml:space="preserve">Borderline AP label. Either CC or CM fine.</t>
  </si>
  <si>
    <t xml:space="preserve">pub.1181836516</t>
  </si>
  <si>
    <t xml:space="preserve">Gastrointestinal fate of proteins from commercial plant–based meat analogs: Silent passage through the stomach, oxidative stress in intestine, and gut dysbiosis in Wistar rats</t>
  </si>
  <si>
    <t xml:space="preserve">Plant-based meat analogs (PBMAs) are common ultra-processed foods (UPFs) included in the vegan/vegetarian diets as presumed healthy alternatives to meat and meat products. However, such health claims need to be supported by scientific evidence. To gain further insight into this topic, two commercial UPFs typically sold as meat analogs, namely, seitan (S) and tofu (T), were included in a cereal-based chow and provided to Wistar rats for 10 weeks. A group of animals had, simultaneously, an isocaloric and isoprotein experimental diet formulated with cooked beef (B). In all cases, experimental chows (∼4 kcal/g feed) had their basal protein concentration increased from 14% to 30% using proteins from S, T, or B. Upon slaughter, in vivo protein digestibility was assessed, and the entire gastrointestinal tract (digests and tissues) was analyzed for markers of oxidative stress and untargeted metabolomics. Metagenomics was also applied to assess the variation of microbiota composition as affected by dietary protein. Diets based on PBMAs showed lower protein digestibility than those containing meat and promoted an intense luminal glycoxidative stress and an inflammatory intestinal response. The fermentation of undigested oxidized proteins from T in the colon of Wistar rats likely led to formation of mutagenic metabolites such as p-cresol. The presence of these compounds in the animal models raises concerns about the potential effects of full replacement of meat by certain PBMAs in the diet. Therefore, future research might target on translational human studies to shed light on these findings.</t>
  </si>
  <si>
    <t xml:space="preserve">This study directly investigates the gastrointestinal fate, digestibility, oxidative stress, and gut microbiome effects of commercial plant-based meat analogs (seitan and tofu), which are explicitly named alternative protein products substituting animal-derived meat.</t>
  </si>
  <si>
    <t xml:space="preserve">pub.1173257003</t>
  </si>
  <si>
    <t xml:space="preserve">Sustainable processing of microalgae protein: Design of biphasic partitioning systems based on natural deep eutectic solvents for C-phycocyanin recovery from model aqueous solutions</t>
  </si>
  <si>
    <t xml:space="preserve">The development of sustainable protein sources is imperative for addressing the global challenge of food/feed security. Microalgae, which may be sustainably cultivated, are a promising source of proteins, gaining a progressive acceptance among consumers. The purpose of this work is to study the recovery of the protein C-phycocyanin from the microalga Arthrospira platensis (Spirulina), using a biphasic extraction system composed of sustainable solvents. The extraction system studied involves a feed phase, consisting of an aqueous salt solution and the target protein, and an extracting phase composed of a Natural Deep Eutectic Solvent (NADES) with affinity to the target protein. The performance of a specific NADES depends on the characteristics of the components of the NADES, in terms of its hydrophobicity/hydrophilicity balance, aiming the highest possible partitioning coefficient towards C-phycocyanin. It is also important to assure that the NADES phase selected presents a moderate viscosity and leads to a stable interface when in contact with the aqueous feed phase (i.e., presenting a measurable interfacial tension). In this work, after an extensive screening work of more than 71 combinations, the most overall performing combination is presented. This system shows a high partitioning coefficient of 29.4 ± 0.3 and an extraction yield of 99 % for C-phycocyanin (C-PC), demonstrating that the salting-out effect of the phosphate buffer and the hydrophobic character of NADES play a key role in this protein partitioning and recovery.</t>
  </si>
  <si>
    <t xml:space="preserve">This study concerns the extraction and recovery of C-phycocyanin from Spirulina (Arthrospira platensis), a microalgal biomass protein source, which falls under biomass fermentation/single-cell protein as an alternative protein ingredient for food/feed applications.</t>
  </si>
  <si>
    <t xml:space="preserve">F</t>
  </si>
  <si>
    <t xml:space="preserve">pub.1175524716</t>
  </si>
  <si>
    <t xml:space="preserve">A comparative study on gelation behaviours of lentil-dairy binary protein gels treated by heat and microbial transglutaminase</t>
  </si>
  <si>
    <t xml:space="preserve">There is a growing interest in exploring strategies to obtain plant-based dairy alternatives with desirable techno-functionalities. This study aimed to examine how conventional heating and microbial transglutaminase (MTGase) influence the gelation characteristics of lentil protein isolate (LPI) when combined with whey protein isolate (WPI) or casein micelles (CM). Gel electrophoresis analysis revealed that, during heat treatment, certain fractions in LPI (such as legumin acidic and basic subunits) and nearly all fractions in WPI (including β-lactoglobulin and α-lactalbumin) underwent disulfide-mediated polymerization, contributing to the heat-induced gel formation, while the gelation of CM was hindered during this process. Conversely, some fractions in LPI (specifically the 11S acidic subunit and 7S vicilins), as well as nearly all CM fractions, were involved in MTGase-induced cross-linking, while this cross-linking reaction was hindered in WPI. Heat-treated LPI-WPI mixtures resulted in self-standing gels with better gel performance than LPI, whereas heated LPI-CM mixtures exhibited liquid viscosity. Additionally, MTGase-induced LPI-CM samples showed better gel performance than LPI alone, whereas no self-standing gels formed for MTGase-induced LPI-WPI samples. The power-law model analysis showed that MTGase treated LPI-CM showed lower K′ than heat-treated LPI-WPI with a similar trend observed for n′ values. Overall, under neutral conditions, heating can enhance the gelation performance of LPI-WPI mixtures, while MTGase treatment is beneficial for promoting gelation in LPI-CM mixtures. This study provides valuable insights into effective strategies for substituting dairy proteins with plant proteins to attain the desired gelation performance.</t>
  </si>
  <si>
    <t xml:space="preserve">This study directly investigates the gelation properties of lentil protein isolate combined with dairy proteins as a strategy for substituting dairy proteins with plant proteins in dairy alternatives, which is clearly in scope as plant-based alternative protein research.</t>
  </si>
  <si>
    <t xml:space="preserve">pub.1175608755</t>
  </si>
  <si>
    <t xml:space="preserve">Comparative study of interaction and complex formation of Tremella fuciformis polysaccharide with whey protein, lentil protein, and soy protein isolates</t>
  </si>
  <si>
    <t xml:space="preserve">The electrostatic interactions and complex formation of Tremella fuciformis polysaccharide (TPS) with whey protein (WPI), lentil protein (LPI), and soy protein (SPI) isolates were studied. The molecular size and components in each protein isolate complexed with TPS were characterized, along with the structural changes in the protein components, induced by TPS complexation. The stability of emulsions prepared with protein:TPS complexes was also evaluated (pH 4.5). Compared to WPI, the LPI and SPI protein components exhibited more negative charges and larger molecular sizes. Independent of the isolate type, pHc of all protein:TPS systems remained unchanged and pHɸ1 shifted to higher pHs as the protein/TPS ratio increased; the pHopt of WPI:TPS and SPI:TPS occurred at higher values as the protein/TPS ratio increased, while the pHopt of LPI:TPS system was less dependent on the biopolymer mixing ratio, probably due to the lower solubility of LPI. Protein components such as β-LG in WPI, convicilin, vicilin, and basic legumin in LPI, and α’ subunits of 7S β-conglycinin and acidic subunits of 11S glycinin in SPI might be the main components interacting with TPS for complex formation. Different proteins exhibited distinct trends in changing their secondary structural elements when interacting with TPS. At pH 4.5, a high proportion of TPS increased the stability of protein emulsion, regardless of the protein used. The WPI:TPS emulsions with low content of TPS were highly destabilized due to the formation of insoluble WPI:TPS complex coacervates, a phenomenon not observed in emulsions stabilized by the LPI:TPS or SPI:TPS systems.</t>
  </si>
  <si>
    <t xml:space="preserve">This study investigates interactions between plant protein isolates (lentil and soy) and a polysaccharide for emulsion stabilization, which is relevant to plant-based food ingredient development; whey protein is included as a comparator but the plant protein focus keeps it in scope.</t>
  </si>
  <si>
    <t xml:space="preserve">pub.1181848290</t>
  </si>
  <si>
    <t xml:space="preserve">Consumer sensory profiling and liking of Bolognese-type sauces: how do insect and plant foods really fare against red meat?</t>
  </si>
  <si>
    <t xml:space="preserve">Meeting global targets for healthier and more sustainable diets calls for a substantial reduction of meat consumption in Western nations, especially red and processed meat. This requires a transition to the large-scale production, marketing, and adoption of alternative proteins. The current state of development of new plant- and insect-based foods holds good promise, but optimizing their sensory quality to the point where they can satisfactorily replace everyday meat-eating experiences remains a challenge, demanding a more consumer-oriented approach. This study investigated how Portuguese adults ( N = 130, 18-40 years old, 50% female, regular meat eaters) perceived the sensory characteristics of seven Bolognese-style pasta sauces – made with 100% red meat (beef and pork), plant (soya beans or peas) or edible insect (house cricket or yellow mealworm larvae) protein – and how this affected their hedonic preferences for these products. Expectedly, the meat-based sauce was generally the most appreciated. Still, consumers liked all products slightly to moderately apart from mealworm mince. Sensory-mediated disgust affected the evaluations of some insect- and plant-based sauces, while others benefitted from formulations that enhanced savouriness and the prototypical attributes of a tomato pasta sauce. Moreover, the disconfirmation of positive sensory-affective judgements of ‘meatiness’ induced by mince-like texture cues penalized liking. High inter-individual variation in evaluations was observed. Distinct preferences for spiciness, for instance, moderated the effects of meat substitution on product liking, with over half of participants appreciating a mild or a spicy plant-based option more than the typical beef Bolognese. Sociodemographics, Beef Consumption, Healthy Eating Consciousness and Food Disgust Sensitivity were all important predictors of patterns of product liking, pointing out that the type of protein selected is just one of the many factors driving the acceptance of meat substitutes by consumers that can be leveraged by the food industry.</t>
  </si>
  <si>
    <t xml:space="preserve">While the study includes plant-based protein sauces, a primary focus is on insect-based proteins (cricket, mealworm), which are out of scope, and the plant-based component is not sufficiently distinct to warrant in-scope classification on its own given the mixed nature of the study.</t>
  </si>
  <si>
    <t xml:space="preserve">pub.1182396222</t>
  </si>
  <si>
    <t xml:space="preserve">The dairy production system in the north of Sweden under possible future food scenarios</t>
  </si>
  <si>
    <t xml:space="preserve">Context The dairy production system fills an important role by providing nutrient-dense foods in Swedish diets, however, future efforts to improve its sustainability necessitate structural changes. Objective We present an innovative study which assesses the effects of these future changes in the dairy system in northern Sweden, the Norrland region, which has a subarctic climate. Methods Four scenarios were developed: 1) Food as Industry: Food is a commodity, and its production is an industry that can be invested in to benefit society. 2) Food as Technology: New technologies, such as nutrient density trackers and microbiome mapping, are used for personalized dietary plans. Additionally, novel foods from microbial cultures are produced. 3) Food as Culture: More locally produced food and diverse food products are consumed. 4) Food Forgotten: Land previously used for food and feed is converted to bioenergy production, climate mitigation, and adaptation infrastructure. These scenarios were compared to the baseline i.e. present dairy system for dairy production capacity, carbon flow and carbon footprint. Results and conclusions Food as industry resulted in increased dairy production capacity with decreased carbon footprint but increased carbon imports. Food as technology provided decreased dairy production capacity and increased carbon footprint but with decreased carbon imports. Food as culture, maintained dairy production capacity with a decreased carbon footprint and carbon imports. Food forgotten resulted in decreased dairy production capacity and increased carbon imports but with decreased carbon footprint. Food as culture benefits all - specifically dairy production capacity, carbon footprint and carbon imports. However, further research is required to explore implications on soil organic carbon stocks over time in Norrland. Significance Our study sheds light on the potential impacts of future dairy production in a subarctic climate and aims to help in decision making.</t>
  </si>
  <si>
    <t xml:space="preserve">This study focuses on the sustainability and future scenarios of conventional dairy production in northern Sweden; while it briefly mentions novel foods from microbial cultures in one scenario, alternative proteins are not meaningfully studied or discussed as a primary focus.</t>
  </si>
  <si>
    <t xml:space="preserve">pub.1183157921</t>
  </si>
  <si>
    <t xml:space="preserve">Winter wheat–soybean relay intercropping in conjunction with a shift in sowing dates as a climate change adaptation and mitigation strategy for crop production in Germany</t>
  </si>
  <si>
    <t xml:space="preserve">Context Given the negative impacts of climate change on crop production, it is vital to implement efficient adaptation and mitigation strategies. The diversification of cropping systems, particularly through intercropping combined with shifts in sowing times, could have the potential to offset such negative impacts. Yet, both experimental data and simulation studies are scarce to elucidate the intercropping performance under future climate change conditions, particularly for evaluating its potential to offset climate impacts on crop and protein yields in German wheat-based systems. Objective This study aimed to simulate the grain yield and grain protein performance of winter wheat-soybean relay-row intercropping across Germany under future climate conditions, comparing it to sole cropping systems. Methods We employed the MONICA agroecosystem model and its intercropping module to simulate the performance of an innovative winter wheat–soybean relay intercropping system. This was in combination with a wide range of shifts in sowing dates, and we compared it against standard sole cropping under low and high emission scenarios across Germany. Results The model projected a 15 % higher sole wheat yield under the future (2031–2060) high emission scenario than that of the historical period (1981–2020), while sole soybean yield increased by 8 % in the same case. Although the simulation of winter wheat–soybean relay intercropping across Germany indicated a 9 % yield penalty compared to sole cropping in the future, with a transgressive overyielding index of 0.91, intercropping emerged as particularly advantageous in terms of land-use efficiency and protein production. It saved 17 % of land compared to sole cropping, thus produced equal amounts of grain yield, and produced 16 % more protein than sole cropping in the high emission scenario. On top of that, shifting the sowing dates of the component crops to earlier times was found to substantially enhance the advantages of intercropping, resulting in a maximum of 44 % higher total yield production, and 47 % higher protein production than sole wheat without shifting sowing date in the future projection window. Conclusion Our findings highlight the grain yield and protein production potential of intercropping versus sole cropping under futuristic high emission scenarios (RCP 8.5), and underscoring its potential to create a win-win situation of increased crop diversity and productivity. The results affirm the crucial importance of selecting optimal sowing dates for the component crops in intercropping, to maximize production and ensure resilience in the face of a changing climate.</t>
  </si>
  <si>
    <t xml:space="preserve">This study examines soybean intercropping systems with a focus on grain protein production and land-use efficiency, making it relevant to alternative protein feedstock agronomics for a high-protein crop (soybean) used as an alternative protein source.</t>
  </si>
  <si>
    <t xml:space="preserve">pub.1197164068</t>
  </si>
  <si>
    <t xml:space="preserve">Food and ethics: How German far-right defend their dietary ideology in times of climate change</t>
  </si>
  <si>
    <t xml:space="preserve">This article examines how the German far right – specifically the Alternative für Deutschland (AfD) and die Heimat – instrumentalizes food politics to advance ideological narratives amid contemporary debates on climate change. While these parties present themselves as defenders of “ordinary people” against environmental “hysteria,” their rhetoric surrounding food, purity, and health reveals deep continuities with historical fascist thought. Through a qualitative analysis of Facebook posts, party documents, and far-right media, the study shows how concerns about pesticides, synthetic meat, insect-based foods, and halal/kosher practices are reframed as threats to the purity of the German nation and its soil. This food discourse is intertwined with broader themes of anti-elitism, climate denialism, ethnopluralism, and masculinist identity politics. Drawing on the historical precedent of Nazi dietary propaganda – which linked plant-based eating, bodily purity, and racial superiority – the article highlights how contemporary actors selectively adopt ecological language to legitimize xenophobic and exclusionary agendas. While die Heimat occasionally draws on a vegan tradition rooted in Aryan purity myths, the AfD emphasizes meat as a cultural asset tied to national identity and male strength, even as both parties claim to champion animal welfare. The study shows that far-right food politics function simultaneously as lifestyle guidance, coded extremist messaging, and a strategic tool for mainstream appeal. Ultimately, it argues that dietary discourse provides the far right with a subtle yet powerful means to normalize eco-fascist ideology under the guise of health, tradition, and environmental concern.</t>
  </si>
  <si>
    <t xml:space="preserve">While the abstract mentions synthetic meat, insect-based foods, and plant-based eating, these are discussed only as political/ideological symbols in far-right rhetoric rather than as subjects of alternative protein research, development, or meaningful socioeconomic analysis of alternative proteins.</t>
  </si>
  <si>
    <t xml:space="preserve">pub.1196678028</t>
  </si>
  <si>
    <t xml:space="preserve">Combining plant and dairy proteins to enhance the oxidative stability of microencapsulated lipids in spray-dried powders</t>
  </si>
  <si>
    <t xml:space="preserve">This study investigates the oxidative stability of spray-dried emulsion powders using single plant (pea or soy), dairy (milk), or hybrid (plant-dairy) protein systems for encapsulation. Emulsions were produced and spray-dried and powders stored for 91 days under controlled conditions. Lipid oxidation was monitored through peroxide value, free radical concentration (Miniature Electron Spin Resonance Spectroscopy), and GC-MS analysis. Hybrid protein systems showed superior protection of encapsulated lipids, with 15-times lower accumulation of hydroperoxides and 2-3 times lower free radical concentrations compared to single-protein formulations. Furthermore, the formation of total volatiles of hybrid samples plateaued after 28 days, while it continuously increased for all single protein formulations, demonstrating that also secondary lipid oxidation was reduced in hybrid samples. The findings suggest that the combination of plant and dairy proteins synergistically improved the oxidative stability of encapsulated lipids, laying a promising groundwork for the development of clean-label, shelf-stable food powers.</t>
  </si>
  <si>
    <t xml:space="preserve">This study focuses on microencapsulation of lipids using protein systems for oxidative stability in spray-dried powders, which is a general food technology application not specifically aimed at substituting animal-derived foods or advancing alternative protein development.</t>
  </si>
  <si>
    <t xml:space="preserve">pub.1196657616</t>
  </si>
  <si>
    <t xml:space="preserve">What is the role of plant-based alternatives to animal foods in the Great Food Transformation? A narrative review.</t>
  </si>
  <si>
    <t xml:space="preserve">Several plant-based alternatives to animal foods (PBAFs) have been introduced in the market in the past decade to provide consumers with an easy substitution for animal protein. Despite the extensive literature on the nutritional composition of these plant-based products, these products must be assessed considering their impacts on diets, the environment and society. This critical review aims to evaluate the role of plant-based alternatives to animal foods in the Great Food Transformation and their potential health effects. Results of nine diet modelling studies have indicated that substituting animal foods with plant-based alternatives would put certain populations at risk of inadequate intake of micronutrients, particularly of bioavailable iron, vitamin B12, calcium and iodine. Nutritional composition studies have shown that meat alternatives are generally similar to meat in protein and micronutrient content but with higher carbohydrates and sodium. Milk and yoghurt alternatives made from cereals, coconut, and nuts have significantly lower protein levels compared to their animal counterparts, while soy-based alternatives are the most comparable to animal dairy products. This review shows that there are nutritional pitfalls from the substitution of animal foods with PBAFs. There is a window of opportunity to use these industrially produced foods to improve nutrition. This review concluded that PBAFs could be used to ease the Great Food Transformation by providing foods that resemble function and appearance to consumers, by offering familiar tastes and dishes. Moreover, PBAFs should be considered in future nutritional policies.</t>
  </si>
  <si>
    <t xml:space="preserve">This review explicitly evaluates plant-based alternatives to animal foods (meat, dairy) in terms of nutritional composition, diet modelling, environmental impact, and policy implications, which is clearly within the scope of alternative protein research.</t>
  </si>
  <si>
    <t xml:space="preserve">pub.1196619630</t>
  </si>
  <si>
    <t xml:space="preserve">Production of Kefir and Kefir-like Beverages: Fundamental Aspects, Advances, and Future Challenges</t>
  </si>
  <si>
    <t xml:space="preserve">Nowadays, consumer demand for functional foods with health benefits has grown significantly. In response to this trend, a variety of potentially probiotic foods have been developed—most notably kefir and kefir-like beverages, which are highly appreciated for their tangy flavor and health-promoting properties. Traditionally, kefir is made by fermenting cow’s milk with milk kefir grains, although milk from other animals—such as goats, ewes, buffalo, camels, and mares—is also used. Additionally, non-dairy versions are made by fermenting plant-based milks (such as coconut, almond, soy, rice, and oat) with the same type of grains, or by fermenting fruit and vegetable juices (e.g., apple, carrot, fennel, grape, tomato, prickly pear, onion, kiwifruit, strawberry, quince, pomegranate) with water kefir grains. Despite their popularity, many aspects of kefir production remain poorly understood. These include alternative production methods beyond traditional batch fermentation, kinetic studies of the process, and the influence of key cultivation variables—such as temperature, initial pH, and the type and concentration of nutrients—on biomass production and fermentation metabolites. A deeper understanding of the fermentation process can enable the production of kefir beverages tailored to meet diverse consumer preferences.</t>
  </si>
  <si>
    <t xml:space="preserve">Kefir and kefir-like beverages are traditional fermented dairy or plant-based probiotic drinks, not alternative protein products substituting animal-derived foods, and the research focuses on fermentation process optimisation for functional/probiotic beverages rather than protein production or animal product substitution.</t>
  </si>
  <si>
    <t xml:space="preserve">pub.1196599903</t>
  </si>
  <si>
    <t xml:space="preserve">Special issue related to the 3rd NIZO Plant Protein Conference</t>
  </si>
  <si>
    <t xml:space="preserve">A conference dedicated to plant proteins is likely in scope as it concerns plant-based protein research, though the lack of an abstract makes it difficult to confirm specific content.</t>
  </si>
  <si>
    <t xml:space="preserve">pub.1196595072</t>
  </si>
  <si>
    <t xml:space="preserve">Proteins supplements and protein-containing products use in ice cream – A review</t>
  </si>
  <si>
    <t xml:space="preserve">The increasing demand for high-protein diets, driven by health-conscious consumers and global nutritional challenges, has sparked interest in fortifying popular food products such as ice cream with protein ingredients. Ice cream, a widely consumed dessert, typically offers limited nutritional value, particularly in protein content. This review provides a comprehensive overview of protein supplementation in ice cream production, focusing on functional and technological effects of conventional and emerging protein sources. The paper critically evaluates milk-derived proteins, as well as underexplored alternatives including plant-based, microbial, insect-derived, and aquatic proteins. It also addresses legislative constraints, sensory and textural challenges, and formulation strategies for optimizing product quality and consumer acceptance. The integration of proteins into ice cream not only enhances its nutritional profile but also offers potential for market innovation aligned with sustainability and health trends. However, the successful incorporation of these ingredients into ice cream systems requires navigating complex challenges related to formulation performance, sensory quality, regulatory compliance, and consumer acceptance. Functional variability, sensory trade-offs, and limited industrial validation continue to hinder mainstream adoption, especially for novel protein sources. Future advances will depend on a deeper mechanistic understanding of protein behavior in multiphase frozen matrices, as well as the development of formulation strategies that reconcile nutritional value with sensory appeal.</t>
  </si>
  <si>
    <t xml:space="preserve">This review covers the use of plant-based and microbial (fermentation-derived) proteins as functional ingredients in ice cream, which constitutes research advancing the development and characterisation of alternative protein ingredients for human food products, even though it also covers conventional dairy and insect proteins.</t>
  </si>
  <si>
    <t xml:space="preserve">pub.1196580100</t>
  </si>
  <si>
    <t xml:space="preserve">Agro-Waste as a Source of Functional Proteins: Extraction, Purification and Applications in Food and Nutraceutical Industries</t>
  </si>
  <si>
    <t xml:space="preserve">Agro-waste represents an abundant yet underutilized resource for sustainable protein recovery, offering potential applications in the food and nutraceutical sectors. This review consolidates recent advances in the extraction and purification of proteins from diverse agro-industrial byproducts, including cereal residues, oilseed cakes, fruit peels, and legume husks. Conventional methods such as alkaline and acid extraction remain cost-effective but often compromise protein functionality, while emerging green technologies—enzyme-assisted, ultrasound-assisted, and microwave-assisted techniques—show promise in enhancing yield and preserving bioactive properties. Purification strategies, including membrane filtration, chromatography, and precipitation, are critically compared with respect to scalability, cost, and impact on functional quality. The bioactive potential of agro-waste-derived proteins, particularly peptides with antioxidant, antimicrobial, and antihypertensive properties, underscores their nutraceutical relevance. However, challenges such as variability in raw materials, high operational costs, and lack of clinical validation hinder large-scale adoption. The discussion highlights the trade-off between protein yield and functionality, as well as the need for integrated, multidisciplinary approaches to optimize recovery systems. Within the framework of sustainability and circular economy principles, protein mining from agro-waste offers a dual advantage of value addition and waste minimization. Future research should focus on scaling up green technologies, standardizing quality assessment, and exploring regulatory pathways for commercial application. Overall, agro-waste proteins present a promising avenue toward sustainable food security and nutraceutical innovation.</t>
  </si>
  <si>
    <t xml:space="preserve">While this review covers protein extraction from plant-based agro-waste, the primary focus is on bioactive peptides and nutraceutical applications (antioxidant, antimicrobial, antihypertensive properties) rather than alternative protein ingredients intended to substitute animal-derived foods, and the nutraceutical/bioactive peptide focus places it outside the alternative protein scope.</t>
  </si>
  <si>
    <t xml:space="preserve">pub.1196485914</t>
  </si>
  <si>
    <t xml:space="preserve">Consumer‐Perceived Responsible Innovation: Scale Development and Its Influence on Adoption and Anticonsumption</t>
  </si>
  <si>
    <t xml:space="preserve">ABSTRACT Responsible innovation (RI) seeks to align innovation processes with societal values and ethical principles. Understanding how consumers perceive RI is crucial, as innovation failures often arise from mismatches between managerial intentions and consumer expectations. This paper develops and validates a novel scale to measure consumer perception of responsible innovation (CPRI) through a multistep process grounded in the AIRR framework, anticipation, inclusion, reflexivity, and responsiveness. First, an initial pool of 53 items was generated from multiple sources, including academic literature, existing scales, qualitative interviews, and AI‐assisted item generation. Second, expert evaluations refined this item pool. Third, a quantitative prestudy ( N = 242) reduced the scale to 20 items. Study 1 ( N = 240) further refined the scale to 16 items and confirmed its factor structure. Study 2 ( N = 326) confirmed the scale's robustness. Study 1 and Study 2 demonstrated the scale's predictive power for innovation adoption and how it is embedded within a nomological network. Study 3 ( N = 288) further established that CPRI influences anticonsumption behaviors significantly, such as voluntary simplicity‐based avoidance and boycotting. Study 4 ( N = 214) employed an experimental design to show that the CPRI dimensions are sensitive to manipulations and that CPRI mediates the impact of RI activities. The findings demonstrate reliability and validity of the CPRI scale across diverse innovation contexts, including AI image generator, cultured meat, robotaxis, and emotional support robots.</t>
  </si>
  <si>
    <t xml:space="preserve">The study develops a consumer perception scale tested across multiple innovation contexts including cultured meat, making it partially relevant to alternative proteins (cultivated meat consumer acceptance), though alternative proteins are not the primary focus.</t>
  </si>
  <si>
    <t xml:space="preserve">pub.1196249573</t>
  </si>
  <si>
    <t xml:space="preserve">Techno-Fixes: On the Non-Disruptive Disruptions of Cultured Meat, Social Freezing and AI Assistants.</t>
  </si>
  <si>
    <t xml:space="preserve">There is an ongoing debate about the capacity of technologies to solve social problems. In this article, we analyze the sociomaterial scripts of three techno-fixes: cultured meat, social egg freezing, and AI assistants. Using a mix of ethnography, interviews, and discourse analysis, our case studies arrive at three findings. First, techno-fixes do not lead to a world with blurred boundaries and hybrid entities. On the contrary, clear images of nature, society, and technology serve as valuable resources in innovation processes. Second, technical solutions are based on three incompatible scripts. This makes it possible to revolutionize and save the world without changing it. We use the term non-disruptive disruption for this paradoxical invention. Third, techno-fixes are not science fiction, even if we encounter cells stored in cryobanks, steaks grown in bioreactors, or super-intelligent entities living in clouds. The doctors, biochemists, and programmers backstage reproduce social habits by incorporating conservative images into their innovations. By focusing on sociomaterial scripts, this article provides an analytical matrix for better understanding and evaluating techno-fixes in various areas of capitalist societies.</t>
  </si>
  <si>
    <t xml:space="preserve">This sociological analysis of 'techno-fixes' includes cultivated meat as one of three case studies, examining its sociomaterial scripts and innovation processes, which constitutes meaningful discussion of cultivated meat in a societal/policy context.</t>
  </si>
  <si>
    <t xml:space="preserve">pub.1196064670</t>
  </si>
  <si>
    <t xml:space="preserve">CIPROMED: building resilient and circular protein systems for the Mediterranean</t>
  </si>
  <si>
    <t xml:space="preserve">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</si>
  <si>
    <t xml:space="preserve">The project explicitly covers alternative proteins from legumes, microalgae, and fermentation for food applications, which are in scope, even though insect proteins (out of scope) are also included.</t>
  </si>
  <si>
    <t xml:space="preserve">pub.1195931632</t>
  </si>
  <si>
    <t xml:space="preserve">Biomass and bioethanol production from pretreated mixed fruit peel hydrolysate using Saccharomyces cerevisiae strains at different pH and oxygen conditions</t>
  </si>
  <si>
    <t xml:space="preserve">BackgroundFruit peels as a lignocellulosic biomass are rich in sugars and nutrients, thus making them favorable medium for yeast growth and various materials production. This study showed the potential of fuit peels hydrolysate (FPH) as a substrate for single-cell protein (SCP) and bioethanol production, depending on substrate concentration, pH, oxygen availability.ResultsThe highest specific growth rate (0.50 ± 0.01 h− 1) was observed at pH 6.5 in non-diluted hydrolysates, which corresponds to ~ 250.0 g L− 1 carbohydrates and 0.2 g L− 1 total nitrogen concentration. The maximal protein production yield (~ 50% by dry weight) was recorded during 24 h cultivation of S. cerevisiae ATCC 13,007 under oxygen-limited conditions at pH 6.5, while the maximal ethanol production (109.00 ± 4.00 g L− 1) was observed at 6 h for S. cerevisiae ATCC 9804 and ATCC 13,007 starins under aerobic conditions. The maximal fermentation efficiency (~ 99%) was observed at 24 h cultivation of S. cerevisiae ATCC 13,007 in 2-fold diluted hydrolysate under oxygen-limited conditions at pH 6.5, while the same strain exhibited the highest carbon conversion efficiency (CCE) (~ 56%) during aerobic cultivation in 2-fold diluted hydrolysate at pH 3.0.ConclusionThus, FPH can serve as a favorable substrate for SCP and bioethanol production using S. cerevisiae strains ATCC 13,007 and ATCC 9804. Nitrogen supplementation and combination with fruit and vegetable processing industries could further enhance SCP production and process efficiency which aligns with circular economic strategy.</t>
  </si>
  <si>
    <t xml:space="preserve">The study investigates single-cell protein (SCP) production via biomass fermentation using Saccharomyces cerevisiae on fruit peel hydrolysate, which falls under biomass fermentation for human food; however, the primary focus appears to be bioethanol production, reducing confidence in the in-scope classification.</t>
  </si>
  <si>
    <t xml:space="preserve">pub.1195697981</t>
  </si>
  <si>
    <t xml:space="preserve">Protein-Enriched Fruit Smoothies with Wet Spirulina Biomass: High-Pressure Processing (HPP) and Quality Stability Evaluation</t>
  </si>
  <si>
    <t xml:space="preserve">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</si>
  <si>
    <t xml:space="preserve">This study develops a protein-enriched smoothie using wet Spirulina biomass (a microalgal single-cell protein source, biomass fermentation) and chickpea protein concentrate (plant-based protein) as non-animal protein ingredients, directly advancing alternative protein product development.</t>
  </si>
  <si>
    <t xml:space="preserve">pub.1195363103</t>
  </si>
  <si>
    <t xml:space="preserve">Pedoclimatic, knowledge and management factors drive European soybean and faba bean yields</t>
  </si>
  <si>
    <t xml:space="preserve">The low usage of grain legumes in European cropping systems is often attributed to yield gaps due to limiting pedoclimatic conditions, sub-optimal management practices, and farmers’ limited experience and knowledge in growing these crops. The relative contributions of these factors to current grain legume yield gaps at European scale and, in particular, the difference between yields achieved by experienced farmers and those achieved by novices remain unknown. We therefore explored the relationship between yields and these different factors, to identify areas where farmers require more support to close the yield gaps in grain legume production. To this purpose, we conducted a large-scale online farmer survey in nine European countries with a focus on soybean and faba bean. For both crops, classification and regression tree analysis identified country of production as the primary explanatory variable of yield variation and confirmed the hypothesis that greater experience and knowledge is associated with higher yields. However, the effect of several factors differed between the crops, showing the need for legume-specific strategies. Experience and knowledge were particularly important for soybean, although also relevant for faba bean in low-yielding environments. Other important factors identified to determine yield for soybean included farm specialization, agroclimatic zone, the number of years growing grain legumes and the size of farmland, while for faba bean these important factors were pest management and perceived soil fertility. Farmers highlighted drought, weed infestation, and soil characteristics as having critical impacts on yields for both crops, as well as inoculation and irrigation for soybean. Both soybean and faba bean growers emphasized the need for more information on plant protection and cultivar selection. The results indicate the potential to increase legume yields by supporting farmers in the first years of growing grain legumes, especially for crops that have a shorter history in Europe such as soybean.</t>
  </si>
  <si>
    <t xml:space="preserve">This agronomic survey focuses on soybean and faba bean yield gaps in European cropping systems; both are high-protein crops used as alternative protein feedstocks, making this in scope under agronomic research on alternative protein crops.</t>
  </si>
  <si>
    <t xml:space="preserve">pub.1195267885</t>
  </si>
  <si>
    <t xml:space="preserve">Consumer-Oriented Perspectives for Sustainable Animal Products and Consumption</t>
  </si>
  <si>
    <t xml:space="preserve">Intensive livestock production faces scrutiny due to ethical and ecological concerns and is increasingly in need of transformation. Outlining the goal of “less but better” animal products as a driver for sustainability transformation, this chapter describes potential transformations within the livestock sector at a techno-science level and thereafter discusses the role consumers play in enabling sustainability transformation success. Using techno-science arguments as marketing tools is not sufficient to gain acceptance for and drive sustainability transformations in the intensive livestock sector. Consumer perspectives, including maintaining sector transparency, understanding price constraints, and overcoming habitual buying behavior, are essential for the success of sustainability transformations in the livestock sector. Due to forthcoming sector disruptions, such as advances in cellular agriculture, the livestock sector should focus on increasing extrinsic and intrinsic quality within its products while creating synergies with other sectors to continue to provide nutritious healthy food for all.</t>
  </si>
  <si>
    <t xml:space="preserve">This chapter discusses sustainability transformation in the livestock sector and explicitly mentions cellular agriculture as a forthcoming disruption, touching on consumer acceptance and alternative protein transitions, making it marginally in scope as cross-cutting content, though the primary focus is on conventional animal products.</t>
  </si>
  <si>
    <t xml:space="preserve">All in scope pubs now have correct AP pillar label!!</t>
  </si>
  <si>
    <t xml:space="preserve">metric</t>
  </si>
  <si>
    <t xml:space="preserve">value</t>
  </si>
  <si>
    <t xml:space="preserve">n</t>
  </si>
  <si>
    <t xml:space="preserve">scope_accuracy</t>
  </si>
  <si>
    <t xml:space="preserve">77%</t>
  </si>
  <si>
    <t xml:space="preserve">pillar_accuracy</t>
  </si>
  <si>
    <t xml:space="preserve">67%</t>
  </si>
  <si>
    <t xml:space="preserve">pillar_accuracy_both_in_scope</t>
  </si>
  <si>
    <t xml:space="preserve">87%</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</si>
</sst>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FFFF00"/>
        <bgColor rgb="FFFFFF00"/>
      </patternFill>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36" activeCellId="0" sqref="H36"/>
    </sheetView>
  </sheetViews>
  <sheetFormatPr defaultColWidth="8.34375" defaultRowHeight="15" customHeight="false" zeroHeight="false" outlineLevelRow="0" outlineLevelCol="0"/>
  <cols>
    <col collapsed="false" customWidth="false" hidden="false" outlineLevel="0" max="15" min="1" style="1" width="8.34"/>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customFormat="false" ht="15" hidden="false" customHeight="false" outlineLevel="0" collapsed="false">
      <c r="A2" s="2" t="s">
        <v>15</v>
      </c>
      <c r="B2" s="2" t="s">
        <v>16</v>
      </c>
      <c r="C2" s="2" t="s">
        <v>17</v>
      </c>
      <c r="D2" s="2" t="s">
        <v>18</v>
      </c>
      <c r="E2" s="2" t="s">
        <v>19</v>
      </c>
      <c r="F2" s="2" t="n">
        <v>2</v>
      </c>
      <c r="G2" s="2" t="s">
        <v>20</v>
      </c>
      <c r="H2" s="3" t="b">
        <f aca="false">FALSE()</f>
        <v>0</v>
      </c>
      <c r="I2" s="2" t="s">
        <v>21</v>
      </c>
      <c r="J2" s="2" t="s">
        <v>22</v>
      </c>
      <c r="K2" s="4" t="b">
        <f aca="false">FALSE()</f>
        <v>0</v>
      </c>
      <c r="L2" s="4" t="b">
        <f aca="false">FALSE()</f>
        <v>0</v>
      </c>
      <c r="M2" s="4" t="b">
        <f aca="false">FALSE()</f>
        <v>0</v>
      </c>
      <c r="N2" s="4" t="b">
        <f aca="false">FALSE()</f>
        <v>0</v>
      </c>
      <c r="O2" s="4" t="b">
        <f aca="false">FALSE()</f>
        <v>0</v>
      </c>
    </row>
    <row r="3" customFormat="false" ht="15" hidden="false" customHeight="false" outlineLevel="0" collapsed="false">
      <c r="A3" s="2" t="s">
        <v>23</v>
      </c>
      <c r="B3" s="2" t="s">
        <v>24</v>
      </c>
      <c r="C3" s="2" t="s">
        <v>25</v>
      </c>
      <c r="D3" s="2" t="s">
        <v>18</v>
      </c>
      <c r="E3" s="2" t="s">
        <v>18</v>
      </c>
      <c r="F3" s="2" t="n">
        <v>5</v>
      </c>
      <c r="G3" s="2" t="s">
        <v>26</v>
      </c>
      <c r="H3" s="4" t="b">
        <f aca="false">TRUE()</f>
        <v>1</v>
      </c>
      <c r="I3" s="2" t="s">
        <v>21</v>
      </c>
      <c r="J3" s="2" t="s">
        <v>21</v>
      </c>
      <c r="K3" s="4" t="b">
        <f aca="false">TRUE()</f>
        <v>1</v>
      </c>
      <c r="L3" s="4" t="b">
        <f aca="false">TRUE()</f>
        <v>1</v>
      </c>
      <c r="M3" s="4" t="b">
        <f aca="false">FALSE()</f>
        <v>0</v>
      </c>
      <c r="N3" s="4" t="b">
        <f aca="false">FALSE()</f>
        <v>0</v>
      </c>
      <c r="O3" s="4" t="b">
        <f aca="false">FALSE()</f>
        <v>0</v>
      </c>
    </row>
    <row r="4" customFormat="false" ht="15" hidden="false" customHeight="false" outlineLevel="0" collapsed="false">
      <c r="A4" s="2" t="s">
        <v>27</v>
      </c>
      <c r="B4" s="2" t="s">
        <v>28</v>
      </c>
      <c r="C4" s="2" t="s">
        <v>29</v>
      </c>
      <c r="D4" s="2" t="s">
        <v>18</v>
      </c>
      <c r="E4" s="2" t="s">
        <v>18</v>
      </c>
      <c r="F4" s="2" t="n">
        <v>5</v>
      </c>
      <c r="G4" s="2" t="s">
        <v>30</v>
      </c>
      <c r="H4" s="4" t="b">
        <f aca="false">TRUE()</f>
        <v>1</v>
      </c>
      <c r="I4" s="2" t="s">
        <v>21</v>
      </c>
      <c r="J4" s="2" t="s">
        <v>21</v>
      </c>
      <c r="K4" s="4" t="b">
        <f aca="false">TRUE()</f>
        <v>1</v>
      </c>
      <c r="L4" s="4" t="b">
        <f aca="false">TRUE()</f>
        <v>1</v>
      </c>
      <c r="M4" s="4" t="b">
        <f aca="false">FALSE()</f>
        <v>0</v>
      </c>
      <c r="N4" s="4" t="b">
        <f aca="false">FALSE()</f>
        <v>0</v>
      </c>
      <c r="O4" s="4" t="b">
        <f aca="false">FALSE()</f>
        <v>0</v>
      </c>
    </row>
    <row r="5" customFormat="false" ht="23.3" hidden="false" customHeight="false" outlineLevel="0" collapsed="false">
      <c r="A5" s="2" t="s">
        <v>31</v>
      </c>
      <c r="B5" s="2" t="s">
        <v>32</v>
      </c>
      <c r="C5" s="5" t="s">
        <v>33</v>
      </c>
      <c r="D5" s="2" t="s">
        <v>18</v>
      </c>
      <c r="E5" s="2" t="s">
        <v>18</v>
      </c>
      <c r="F5" s="2" t="n">
        <v>5</v>
      </c>
      <c r="G5" s="2" t="s">
        <v>34</v>
      </c>
      <c r="H5" s="4" t="b">
        <f aca="false">TRUE()</f>
        <v>1</v>
      </c>
      <c r="I5" s="2" t="s">
        <v>21</v>
      </c>
      <c r="J5" s="2" t="s">
        <v>21</v>
      </c>
      <c r="K5" s="6" t="b">
        <f aca="false">TRUE()</f>
        <v>1</v>
      </c>
      <c r="L5" s="4" t="b">
        <f aca="false">TRUE()</f>
        <v>1</v>
      </c>
      <c r="M5" s="4" t="b">
        <f aca="false">FALSE()</f>
        <v>0</v>
      </c>
      <c r="N5" s="4" t="b">
        <f aca="false">FALSE()</f>
        <v>0</v>
      </c>
      <c r="O5" s="4" t="b">
        <f aca="false">FALSE()</f>
        <v>0</v>
      </c>
    </row>
    <row r="6" customFormat="false" ht="15" hidden="false" customHeight="false" outlineLevel="0" collapsed="false">
      <c r="A6" s="2" t="s">
        <v>35</v>
      </c>
      <c r="B6" s="2" t="s">
        <v>36</v>
      </c>
      <c r="C6" s="2" t="s">
        <v>37</v>
      </c>
      <c r="D6" s="2" t="s">
        <v>18</v>
      </c>
      <c r="E6" s="2" t="s">
        <v>18</v>
      </c>
      <c r="F6" s="2" t="n">
        <v>4</v>
      </c>
      <c r="G6" s="2" t="s">
        <v>38</v>
      </c>
      <c r="H6" s="4" t="b">
        <f aca="false">TRUE()</f>
        <v>1</v>
      </c>
      <c r="I6" s="2" t="s">
        <v>21</v>
      </c>
      <c r="J6" s="2" t="s">
        <v>21</v>
      </c>
      <c r="K6" s="4" t="b">
        <f aca="false">TRUE()</f>
        <v>1</v>
      </c>
      <c r="L6" s="4" t="b">
        <f aca="false">TRUE()</f>
        <v>1</v>
      </c>
      <c r="M6" s="4" t="b">
        <f aca="false">FALSE()</f>
        <v>0</v>
      </c>
      <c r="N6" s="4" t="b">
        <f aca="false">FALSE()</f>
        <v>0</v>
      </c>
      <c r="O6" s="4" t="b">
        <f aca="false">FALSE()</f>
        <v>0</v>
      </c>
    </row>
    <row r="7" customFormat="false" ht="15" hidden="false" customHeight="false" outlineLevel="0" collapsed="false">
      <c r="A7" s="2" t="s">
        <v>39</v>
      </c>
      <c r="B7" s="2" t="s">
        <v>40</v>
      </c>
      <c r="C7" s="2" t="s">
        <v>41</v>
      </c>
      <c r="D7" s="2" t="s">
        <v>18</v>
      </c>
      <c r="E7" s="2" t="s">
        <v>18</v>
      </c>
      <c r="F7" s="2" t="n">
        <v>4</v>
      </c>
      <c r="G7" s="2" t="s">
        <v>42</v>
      </c>
      <c r="H7" s="4" t="b">
        <f aca="false">TRUE()</f>
        <v>1</v>
      </c>
      <c r="I7" s="2" t="s">
        <v>21</v>
      </c>
      <c r="J7" s="2" t="s">
        <v>21</v>
      </c>
      <c r="K7" s="4" t="b">
        <f aca="false">TRUE()</f>
        <v>1</v>
      </c>
      <c r="L7" s="4" t="b">
        <f aca="false">TRUE()</f>
        <v>1</v>
      </c>
      <c r="M7" s="4" t="b">
        <f aca="false">FALSE()</f>
        <v>0</v>
      </c>
      <c r="N7" s="4" t="b">
        <f aca="false">FALSE()</f>
        <v>0</v>
      </c>
      <c r="O7" s="4" t="b">
        <f aca="false">FALSE()</f>
        <v>0</v>
      </c>
    </row>
    <row r="8" customFormat="false" ht="15" hidden="false" customHeight="false" outlineLevel="0" collapsed="false">
      <c r="A8" s="2" t="s">
        <v>43</v>
      </c>
      <c r="B8" s="2" t="s">
        <v>44</v>
      </c>
      <c r="C8" s="2" t="s">
        <v>45</v>
      </c>
      <c r="D8" s="2" t="s">
        <v>18</v>
      </c>
      <c r="E8" s="2" t="s">
        <v>18</v>
      </c>
      <c r="F8" s="2" t="n">
        <v>3</v>
      </c>
      <c r="G8" s="2" t="s">
        <v>46</v>
      </c>
      <c r="H8" s="4" t="b">
        <f aca="false">TRUE()</f>
        <v>1</v>
      </c>
      <c r="I8" s="2" t="s">
        <v>21</v>
      </c>
      <c r="J8" s="2" t="s">
        <v>21</v>
      </c>
      <c r="K8" s="4" t="b">
        <f aca="false">TRUE()</f>
        <v>1</v>
      </c>
      <c r="L8" s="4" t="b">
        <f aca="false">TRUE()</f>
        <v>1</v>
      </c>
      <c r="M8" s="4" t="b">
        <f aca="false">FALSE()</f>
        <v>0</v>
      </c>
      <c r="N8" s="4" t="b">
        <f aca="false">FALSE()</f>
        <v>0</v>
      </c>
      <c r="O8" s="4" t="b">
        <f aca="false">FALSE()</f>
        <v>0</v>
      </c>
    </row>
    <row r="9" customFormat="false" ht="15" hidden="false" customHeight="false" outlineLevel="0" collapsed="false">
      <c r="A9" s="2" t="s">
        <v>47</v>
      </c>
      <c r="B9" s="2" t="s">
        <v>48</v>
      </c>
      <c r="C9" s="2" t="s">
        <v>49</v>
      </c>
      <c r="D9" s="2" t="s">
        <v>18</v>
      </c>
      <c r="E9" s="2" t="s">
        <v>18</v>
      </c>
      <c r="F9" s="2" t="n">
        <v>4</v>
      </c>
      <c r="G9" s="2" t="s">
        <v>50</v>
      </c>
      <c r="H9" s="4" t="b">
        <f aca="false">TRUE()</f>
        <v>1</v>
      </c>
      <c r="I9" s="2" t="s">
        <v>51</v>
      </c>
      <c r="J9" s="2" t="s">
        <v>51</v>
      </c>
      <c r="K9" s="4" t="b">
        <f aca="false">TRUE()</f>
        <v>1</v>
      </c>
      <c r="L9" s="4" t="b">
        <f aca="false">TRUE()</f>
        <v>1</v>
      </c>
      <c r="M9" s="4" t="b">
        <f aca="false">FALSE()</f>
        <v>0</v>
      </c>
      <c r="N9" s="4" t="b">
        <f aca="false">TRUE()</f>
        <v>1</v>
      </c>
      <c r="O9" s="4" t="b">
        <f aca="false">FALSE()</f>
        <v>0</v>
      </c>
    </row>
    <row r="10" customFormat="false" ht="15" hidden="false" customHeight="false" outlineLevel="0" collapsed="false">
      <c r="A10" s="2" t="s">
        <v>52</v>
      </c>
      <c r="B10" s="2" t="s">
        <v>53</v>
      </c>
      <c r="C10" s="2" t="s">
        <v>54</v>
      </c>
      <c r="D10" s="2" t="s">
        <v>18</v>
      </c>
      <c r="E10" s="2" t="s">
        <v>18</v>
      </c>
      <c r="F10" s="2" t="n">
        <v>4</v>
      </c>
      <c r="G10" s="2" t="s">
        <v>55</v>
      </c>
      <c r="H10" s="4" t="b">
        <f aca="false">TRUE()</f>
        <v>1</v>
      </c>
      <c r="I10" s="2" t="s">
        <v>51</v>
      </c>
      <c r="J10" s="2" t="s">
        <v>56</v>
      </c>
      <c r="K10" s="6" t="b">
        <f aca="false">FALSE()</f>
        <v>0</v>
      </c>
      <c r="L10" s="4" t="b">
        <f aca="false">FALSE()</f>
        <v>0</v>
      </c>
      <c r="M10" s="4" t="b">
        <f aca="false">FALSE()</f>
        <v>0</v>
      </c>
      <c r="N10" s="4" t="b">
        <f aca="false">TRUE()</f>
        <v>1</v>
      </c>
      <c r="O10" s="4" t="b">
        <f aca="false">FALSE()</f>
        <v>0</v>
      </c>
      <c r="R10" s="2" t="s">
        <v>57</v>
      </c>
    </row>
    <row r="11" customFormat="false" ht="15" hidden="false" customHeight="false" outlineLevel="0" collapsed="false">
      <c r="A11" s="2" t="s">
        <v>58</v>
      </c>
      <c r="B11" s="2" t="s">
        <v>59</v>
      </c>
      <c r="C11" s="2" t="s">
        <v>60</v>
      </c>
      <c r="D11" s="2" t="s">
        <v>18</v>
      </c>
      <c r="E11" s="2" t="s">
        <v>18</v>
      </c>
      <c r="F11" s="2" t="n">
        <v>5</v>
      </c>
      <c r="G11" s="2" t="s">
        <v>61</v>
      </c>
      <c r="H11" s="4" t="b">
        <f aca="false">TRUE()</f>
        <v>1</v>
      </c>
      <c r="I11" s="2" t="s">
        <v>21</v>
      </c>
      <c r="J11" s="2" t="s">
        <v>21</v>
      </c>
      <c r="K11" s="4" t="b">
        <f aca="false">TRUE()</f>
        <v>1</v>
      </c>
      <c r="L11" s="4" t="b">
        <f aca="false">TRUE()</f>
        <v>1</v>
      </c>
      <c r="M11" s="4" t="b">
        <f aca="false">FALSE()</f>
        <v>0</v>
      </c>
      <c r="N11" s="4" t="b">
        <f aca="false">FALSE()</f>
        <v>0</v>
      </c>
      <c r="O11" s="4" t="b">
        <f aca="false">FALSE()</f>
        <v>0</v>
      </c>
    </row>
    <row r="12" customFormat="false" ht="15" hidden="false" customHeight="false" outlineLevel="0" collapsed="false">
      <c r="A12" s="2" t="s">
        <v>62</v>
      </c>
      <c r="B12" s="2" t="s">
        <v>63</v>
      </c>
      <c r="C12" s="2" t="s">
        <v>64</v>
      </c>
      <c r="D12" s="2" t="s">
        <v>18</v>
      </c>
      <c r="E12" s="2" t="s">
        <v>18</v>
      </c>
      <c r="F12" s="2" t="n">
        <v>4</v>
      </c>
      <c r="G12" s="2" t="s">
        <v>65</v>
      </c>
      <c r="H12" s="4" t="b">
        <f aca="false">TRUE()</f>
        <v>1</v>
      </c>
      <c r="I12" s="2" t="s">
        <v>66</v>
      </c>
      <c r="J12" s="2" t="s">
        <v>66</v>
      </c>
      <c r="K12" s="4" t="b">
        <f aca="false">TRUE()</f>
        <v>1</v>
      </c>
      <c r="L12" s="4" t="b">
        <f aca="false">FALSE()</f>
        <v>0</v>
      </c>
      <c r="M12" s="4" t="b">
        <f aca="false">TRUE()</f>
        <v>1</v>
      </c>
      <c r="N12" s="4" t="b">
        <f aca="false">FALSE()</f>
        <v>0</v>
      </c>
      <c r="O12" s="4" t="b">
        <f aca="false">FALSE()</f>
        <v>0</v>
      </c>
    </row>
    <row r="13" customFormat="false" ht="15" hidden="false" customHeight="false" outlineLevel="0" collapsed="false">
      <c r="A13" s="2" t="s">
        <v>67</v>
      </c>
      <c r="B13" s="2" t="s">
        <v>68</v>
      </c>
      <c r="C13" s="2" t="s">
        <v>69</v>
      </c>
      <c r="D13" s="2" t="s">
        <v>18</v>
      </c>
      <c r="E13" s="2" t="s">
        <v>18</v>
      </c>
      <c r="F13" s="2" t="n">
        <v>5</v>
      </c>
      <c r="G13" s="2" t="s">
        <v>70</v>
      </c>
      <c r="H13" s="4" t="b">
        <f aca="false">TRUE()</f>
        <v>1</v>
      </c>
      <c r="I13" s="2" t="s">
        <v>21</v>
      </c>
      <c r="J13" s="2" t="s">
        <v>21</v>
      </c>
      <c r="K13" s="4" t="b">
        <f aca="false">TRUE()</f>
        <v>1</v>
      </c>
      <c r="L13" s="4" t="b">
        <f aca="false">TRUE()</f>
        <v>1</v>
      </c>
      <c r="M13" s="4" t="b">
        <f aca="false">FALSE()</f>
        <v>0</v>
      </c>
      <c r="N13" s="4" t="b">
        <f aca="false">FALSE()</f>
        <v>0</v>
      </c>
      <c r="O13" s="4" t="b">
        <f aca="false">FALSE()</f>
        <v>0</v>
      </c>
    </row>
    <row r="14" customFormat="false" ht="15" hidden="false" customHeight="false" outlineLevel="0" collapsed="false">
      <c r="A14" s="2" t="s">
        <v>71</v>
      </c>
      <c r="B14" s="2" t="s">
        <v>72</v>
      </c>
      <c r="C14" s="2" t="s">
        <v>73</v>
      </c>
      <c r="D14" s="2" t="s">
        <v>18</v>
      </c>
      <c r="E14" s="2" t="s">
        <v>18</v>
      </c>
      <c r="F14" s="2" t="n">
        <v>4</v>
      </c>
      <c r="G14" s="2" t="s">
        <v>74</v>
      </c>
      <c r="H14" s="4" t="b">
        <f aca="false">TRUE()</f>
        <v>1</v>
      </c>
      <c r="I14" s="2" t="s">
        <v>51</v>
      </c>
      <c r="J14" s="2" t="s">
        <v>21</v>
      </c>
      <c r="K14" s="6" t="b">
        <f aca="false">FALSE()</f>
        <v>0</v>
      </c>
      <c r="L14" s="4" t="b">
        <f aca="false">TRUE()</f>
        <v>1</v>
      </c>
      <c r="M14" s="4" t="b">
        <f aca="false">FALSE()</f>
        <v>0</v>
      </c>
      <c r="N14" s="4" t="b">
        <f aca="false">FALSE()</f>
        <v>0</v>
      </c>
      <c r="O14" s="4" t="b">
        <f aca="false">FALSE()</f>
        <v>0</v>
      </c>
    </row>
    <row r="15" customFormat="false" ht="15" hidden="false" customHeight="false" outlineLevel="0" collapsed="false">
      <c r="A15" s="2" t="s">
        <v>75</v>
      </c>
      <c r="B15" s="2" t="s">
        <v>76</v>
      </c>
      <c r="C15" s="2" t="s">
        <v>77</v>
      </c>
      <c r="D15" s="2" t="s">
        <v>18</v>
      </c>
      <c r="E15" s="2" t="s">
        <v>19</v>
      </c>
      <c r="F15" s="2" t="n">
        <v>2</v>
      </c>
      <c r="G15" s="2" t="s">
        <v>78</v>
      </c>
      <c r="H15" s="3" t="b">
        <f aca="false">FALSE()</f>
        <v>0</v>
      </c>
      <c r="I15" s="2" t="s">
        <v>21</v>
      </c>
      <c r="J15" s="2" t="s">
        <v>22</v>
      </c>
      <c r="K15" s="4" t="b">
        <f aca="false">FALSE()</f>
        <v>0</v>
      </c>
      <c r="L15" s="4" t="b">
        <f aca="false">FALSE()</f>
        <v>0</v>
      </c>
      <c r="M15" s="4" t="b">
        <f aca="false">FALSE()</f>
        <v>0</v>
      </c>
      <c r="N15" s="4" t="b">
        <f aca="false">FALSE()</f>
        <v>0</v>
      </c>
      <c r="O15" s="4" t="b">
        <f aca="false">FALSE()</f>
        <v>0</v>
      </c>
    </row>
    <row r="16" customFormat="false" ht="15" hidden="false" customHeight="false" outlineLevel="0" collapsed="false">
      <c r="A16" s="2" t="s">
        <v>79</v>
      </c>
      <c r="B16" s="2" t="s">
        <v>80</v>
      </c>
      <c r="C16" s="2" t="s">
        <v>81</v>
      </c>
      <c r="D16" s="2" t="s">
        <v>18</v>
      </c>
      <c r="E16" s="2" t="s">
        <v>19</v>
      </c>
      <c r="F16" s="2" t="n">
        <v>2</v>
      </c>
      <c r="G16" s="2" t="s">
        <v>82</v>
      </c>
      <c r="H16" s="3" t="b">
        <f aca="false">FALSE()</f>
        <v>0</v>
      </c>
      <c r="I16" s="2" t="s">
        <v>51</v>
      </c>
      <c r="J16" s="2" t="s">
        <v>22</v>
      </c>
      <c r="K16" s="4" t="b">
        <f aca="false">FALSE()</f>
        <v>0</v>
      </c>
      <c r="L16" s="4" t="b">
        <f aca="false">FALSE()</f>
        <v>0</v>
      </c>
      <c r="M16" s="4" t="b">
        <f aca="false">FALSE()</f>
        <v>0</v>
      </c>
      <c r="N16" s="4" t="b">
        <f aca="false">FALSE()</f>
        <v>0</v>
      </c>
      <c r="O16" s="4" t="b">
        <f aca="false">FALSE()</f>
        <v>0</v>
      </c>
    </row>
    <row r="17" customFormat="false" ht="15" hidden="false" customHeight="false" outlineLevel="0" collapsed="false">
      <c r="A17" s="2" t="s">
        <v>83</v>
      </c>
      <c r="B17" s="2" t="s">
        <v>84</v>
      </c>
      <c r="C17" s="2" t="s">
        <v>85</v>
      </c>
      <c r="D17" s="2" t="s">
        <v>18</v>
      </c>
      <c r="E17" s="2" t="s">
        <v>18</v>
      </c>
      <c r="F17" s="2" t="n">
        <v>4</v>
      </c>
      <c r="G17" s="2" t="s">
        <v>86</v>
      </c>
      <c r="H17" s="4" t="b">
        <f aca="false">TRUE()</f>
        <v>1</v>
      </c>
      <c r="I17" s="2" t="s">
        <v>21</v>
      </c>
      <c r="J17" s="2" t="s">
        <v>21</v>
      </c>
      <c r="K17" s="6" t="b">
        <f aca="false">TRUE()</f>
        <v>1</v>
      </c>
      <c r="L17" s="4" t="b">
        <f aca="false">TRUE()</f>
        <v>1</v>
      </c>
      <c r="M17" s="4" t="b">
        <f aca="false">FALSE()</f>
        <v>0</v>
      </c>
      <c r="N17" s="4" t="b">
        <f aca="false">FALSE()</f>
        <v>0</v>
      </c>
      <c r="O17" s="4" t="b">
        <f aca="false">FALSE()</f>
        <v>0</v>
      </c>
    </row>
    <row r="18" customFormat="false" ht="15" hidden="false" customHeight="false" outlineLevel="0" collapsed="false">
      <c r="A18" s="2" t="s">
        <v>87</v>
      </c>
      <c r="B18" s="2" t="s">
        <v>88</v>
      </c>
      <c r="C18" s="2" t="s">
        <v>89</v>
      </c>
      <c r="D18" s="2" t="s">
        <v>18</v>
      </c>
      <c r="E18" s="2" t="s">
        <v>19</v>
      </c>
      <c r="F18" s="2" t="n">
        <v>2</v>
      </c>
      <c r="G18" s="2" t="s">
        <v>90</v>
      </c>
      <c r="H18" s="3" t="b">
        <f aca="false">FALSE()</f>
        <v>0</v>
      </c>
      <c r="I18" s="2" t="s">
        <v>56</v>
      </c>
      <c r="J18" s="2" t="s">
        <v>22</v>
      </c>
      <c r="K18" s="4" t="b">
        <f aca="false">FALSE()</f>
        <v>0</v>
      </c>
      <c r="L18" s="4" t="b">
        <f aca="false">FALSE()</f>
        <v>0</v>
      </c>
      <c r="M18" s="4" t="b">
        <f aca="false">FALSE()</f>
        <v>0</v>
      </c>
      <c r="N18" s="4" t="b">
        <f aca="false">FALSE()</f>
        <v>0</v>
      </c>
      <c r="O18" s="4" t="b">
        <f aca="false">FALSE()</f>
        <v>0</v>
      </c>
    </row>
    <row r="19" customFormat="false" ht="15" hidden="false" customHeight="false" outlineLevel="0" collapsed="false">
      <c r="A19" s="2" t="s">
        <v>91</v>
      </c>
      <c r="B19" s="2" t="s">
        <v>92</v>
      </c>
      <c r="C19" s="2" t="s">
        <v>93</v>
      </c>
      <c r="D19" s="2" t="s">
        <v>18</v>
      </c>
      <c r="E19" s="2" t="s">
        <v>19</v>
      </c>
      <c r="F19" s="2" t="n">
        <v>2</v>
      </c>
      <c r="G19" s="2" t="s">
        <v>94</v>
      </c>
      <c r="H19" s="3" t="b">
        <f aca="false">FALSE()</f>
        <v>0</v>
      </c>
      <c r="I19" s="2" t="s">
        <v>21</v>
      </c>
      <c r="J19" s="2" t="s">
        <v>22</v>
      </c>
      <c r="K19" s="4" t="b">
        <f aca="false">FALSE()</f>
        <v>0</v>
      </c>
      <c r="L19" s="4" t="b">
        <f aca="false">FALSE()</f>
        <v>0</v>
      </c>
      <c r="M19" s="4" t="b">
        <f aca="false">FALSE()</f>
        <v>0</v>
      </c>
      <c r="N19" s="4" t="b">
        <f aca="false">FALSE()</f>
        <v>0</v>
      </c>
      <c r="O19" s="4" t="b">
        <f aca="false">FALSE()</f>
        <v>0</v>
      </c>
    </row>
    <row r="20" customFormat="false" ht="15" hidden="false" customHeight="false" outlineLevel="0" collapsed="false">
      <c r="A20" s="2" t="s">
        <v>95</v>
      </c>
      <c r="B20" s="2" t="s">
        <v>96</v>
      </c>
      <c r="C20" s="2" t="s">
        <v>97</v>
      </c>
      <c r="D20" s="2" t="s">
        <v>18</v>
      </c>
      <c r="E20" s="2" t="s">
        <v>18</v>
      </c>
      <c r="F20" s="2" t="n">
        <v>5</v>
      </c>
      <c r="G20" s="2" t="s">
        <v>98</v>
      </c>
      <c r="H20" s="4" t="b">
        <f aca="false">TRUE()</f>
        <v>1</v>
      </c>
      <c r="I20" s="2" t="s">
        <v>21</v>
      </c>
      <c r="J20" s="2" t="s">
        <v>21</v>
      </c>
      <c r="K20" s="4" t="b">
        <f aca="false">TRUE()</f>
        <v>1</v>
      </c>
      <c r="L20" s="4" t="b">
        <f aca="false">TRUE()</f>
        <v>1</v>
      </c>
      <c r="M20" s="4" t="b">
        <f aca="false">FALSE()</f>
        <v>0</v>
      </c>
      <c r="N20" s="4" t="b">
        <f aca="false">FALSE()</f>
        <v>0</v>
      </c>
      <c r="O20" s="4" t="b">
        <f aca="false">FALSE()</f>
        <v>0</v>
      </c>
    </row>
    <row r="21" customFormat="false" ht="15" hidden="false" customHeight="false" outlineLevel="0" collapsed="false">
      <c r="A21" s="2" t="s">
        <v>99</v>
      </c>
      <c r="B21" s="2" t="s">
        <v>100</v>
      </c>
      <c r="C21" s="2" t="s">
        <v>101</v>
      </c>
      <c r="D21" s="2" t="s">
        <v>18</v>
      </c>
      <c r="E21" s="2" t="s">
        <v>19</v>
      </c>
      <c r="F21" s="2" t="n">
        <v>2</v>
      </c>
      <c r="G21" s="2" t="s">
        <v>102</v>
      </c>
      <c r="H21" s="3" t="b">
        <f aca="false">FALSE()</f>
        <v>0</v>
      </c>
      <c r="I21" s="2" t="s">
        <v>21</v>
      </c>
      <c r="J21" s="2" t="s">
        <v>22</v>
      </c>
      <c r="K21" s="4" t="b">
        <f aca="false">FALSE()</f>
        <v>0</v>
      </c>
      <c r="L21" s="4" t="b">
        <f aca="false">FALSE()</f>
        <v>0</v>
      </c>
      <c r="M21" s="4" t="b">
        <f aca="false">FALSE()</f>
        <v>0</v>
      </c>
      <c r="N21" s="4" t="b">
        <f aca="false">FALSE()</f>
        <v>0</v>
      </c>
      <c r="O21" s="4" t="b">
        <f aca="false">FALSE()</f>
        <v>0</v>
      </c>
    </row>
    <row r="22" customFormat="false" ht="15" hidden="false" customHeight="false" outlineLevel="0" collapsed="false">
      <c r="A22" s="2" t="s">
        <v>103</v>
      </c>
      <c r="B22" s="2" t="s">
        <v>104</v>
      </c>
      <c r="D22" s="2" t="s">
        <v>18</v>
      </c>
      <c r="E22" s="2" t="s">
        <v>18</v>
      </c>
      <c r="F22" s="2" t="n">
        <v>3</v>
      </c>
      <c r="G22" s="2" t="s">
        <v>105</v>
      </c>
      <c r="H22" s="3" t="b">
        <f aca="false">TRUE()</f>
        <v>1</v>
      </c>
      <c r="I22" s="2" t="s">
        <v>21</v>
      </c>
      <c r="J22" s="2" t="s">
        <v>21</v>
      </c>
      <c r="K22" s="4" t="b">
        <f aca="false">TRUE()</f>
        <v>1</v>
      </c>
      <c r="L22" s="4" t="b">
        <f aca="false">TRUE()</f>
        <v>1</v>
      </c>
      <c r="M22" s="4" t="b">
        <f aca="false">FALSE()</f>
        <v>0</v>
      </c>
      <c r="N22" s="4" t="b">
        <f aca="false">FALSE()</f>
        <v>0</v>
      </c>
      <c r="O22" s="4" t="b">
        <f aca="false">FALSE()</f>
        <v>0</v>
      </c>
    </row>
    <row r="23" customFormat="false" ht="15" hidden="false" customHeight="false" outlineLevel="0" collapsed="false">
      <c r="A23" s="2" t="s">
        <v>106</v>
      </c>
      <c r="B23" s="2" t="s">
        <v>107</v>
      </c>
      <c r="C23" s="2" t="s">
        <v>108</v>
      </c>
      <c r="D23" s="2" t="s">
        <v>18</v>
      </c>
      <c r="E23" s="2" t="s">
        <v>18</v>
      </c>
      <c r="F23" s="2" t="n">
        <v>4</v>
      </c>
      <c r="G23" s="2" t="s">
        <v>109</v>
      </c>
      <c r="H23" s="4" t="b">
        <f aca="false">TRUE()</f>
        <v>1</v>
      </c>
      <c r="I23" s="2" t="s">
        <v>51</v>
      </c>
      <c r="J23" s="2" t="s">
        <v>51</v>
      </c>
      <c r="K23" s="4" t="b">
        <f aca="false">TRUE()</f>
        <v>1</v>
      </c>
      <c r="L23" s="4" t="b">
        <f aca="false">TRUE()</f>
        <v>1</v>
      </c>
      <c r="M23" s="4" t="b">
        <f aca="false">TRUE()</f>
        <v>1</v>
      </c>
      <c r="N23" s="4" t="b">
        <f aca="false">FALSE()</f>
        <v>0</v>
      </c>
      <c r="O23" s="4" t="b">
        <f aca="false">FALSE()</f>
        <v>0</v>
      </c>
    </row>
    <row r="24" customFormat="false" ht="15" hidden="false" customHeight="false" outlineLevel="0" collapsed="false">
      <c r="A24" s="2" t="s">
        <v>110</v>
      </c>
      <c r="B24" s="2" t="s">
        <v>111</v>
      </c>
      <c r="C24" s="2" t="s">
        <v>112</v>
      </c>
      <c r="D24" s="2" t="s">
        <v>18</v>
      </c>
      <c r="E24" s="2" t="s">
        <v>19</v>
      </c>
      <c r="F24" s="2" t="n">
        <v>2</v>
      </c>
      <c r="G24" s="2" t="s">
        <v>113</v>
      </c>
      <c r="H24" s="3" t="b">
        <f aca="false">FALSE()</f>
        <v>0</v>
      </c>
      <c r="I24" s="2" t="s">
        <v>21</v>
      </c>
      <c r="J24" s="2" t="s">
        <v>22</v>
      </c>
      <c r="K24" s="4" t="b">
        <f aca="false">FALSE()</f>
        <v>0</v>
      </c>
      <c r="L24" s="4" t="b">
        <f aca="false">FALSE()</f>
        <v>0</v>
      </c>
      <c r="M24" s="4" t="b">
        <f aca="false">FALSE()</f>
        <v>0</v>
      </c>
      <c r="N24" s="4" t="b">
        <f aca="false">FALSE()</f>
        <v>0</v>
      </c>
      <c r="O24" s="4" t="b">
        <f aca="false">FALSE()</f>
        <v>0</v>
      </c>
    </row>
    <row r="25" customFormat="false" ht="15" hidden="false" customHeight="false" outlineLevel="0" collapsed="false">
      <c r="A25" s="2" t="s">
        <v>114</v>
      </c>
      <c r="B25" s="2" t="s">
        <v>115</v>
      </c>
      <c r="C25" s="2" t="s">
        <v>116</v>
      </c>
      <c r="D25" s="2" t="s">
        <v>18</v>
      </c>
      <c r="E25" s="2" t="s">
        <v>18</v>
      </c>
      <c r="F25" s="2" t="n">
        <v>3</v>
      </c>
      <c r="G25" s="2" t="s">
        <v>117</v>
      </c>
      <c r="H25" s="4" t="b">
        <f aca="false">TRUE()</f>
        <v>1</v>
      </c>
      <c r="I25" s="2" t="s">
        <v>56</v>
      </c>
      <c r="J25" s="2" t="s">
        <v>56</v>
      </c>
      <c r="K25" s="4" t="b">
        <f aca="false">TRUE()</f>
        <v>1</v>
      </c>
      <c r="L25" s="4" t="b">
        <f aca="false">FALSE()</f>
        <v>0</v>
      </c>
      <c r="M25" s="4" t="b">
        <f aca="false">FALSE()</f>
        <v>0</v>
      </c>
      <c r="N25" s="4" t="b">
        <f aca="false">TRUE()</f>
        <v>1</v>
      </c>
      <c r="O25" s="4" t="b">
        <f aca="false">FALSE()</f>
        <v>0</v>
      </c>
    </row>
    <row r="26" customFormat="false" ht="15" hidden="false" customHeight="false" outlineLevel="0" collapsed="false">
      <c r="A26" s="2" t="s">
        <v>118</v>
      </c>
      <c r="B26" s="2" t="s">
        <v>119</v>
      </c>
      <c r="C26" s="2" t="s">
        <v>120</v>
      </c>
      <c r="D26" s="2" t="s">
        <v>18</v>
      </c>
      <c r="E26" s="2" t="s">
        <v>18</v>
      </c>
      <c r="F26" s="2" t="n">
        <v>3</v>
      </c>
      <c r="G26" s="2" t="s">
        <v>121</v>
      </c>
      <c r="H26" s="4" t="b">
        <f aca="false">TRUE()</f>
        <v>1</v>
      </c>
      <c r="I26" s="2" t="s">
        <v>56</v>
      </c>
      <c r="J26" s="2" t="s">
        <v>56</v>
      </c>
      <c r="K26" s="4" t="b">
        <f aca="false">TRUE()</f>
        <v>1</v>
      </c>
      <c r="L26" s="4" t="b">
        <f aca="false">FALSE()</f>
        <v>0</v>
      </c>
      <c r="M26" s="4" t="b">
        <f aca="false">FALSE()</f>
        <v>0</v>
      </c>
      <c r="N26" s="4" t="b">
        <f aca="false">TRUE()</f>
        <v>1</v>
      </c>
      <c r="O26" s="4" t="b">
        <f aca="false">FALSE()</f>
        <v>0</v>
      </c>
    </row>
    <row r="27" customFormat="false" ht="15" hidden="false" customHeight="false" outlineLevel="0" collapsed="false">
      <c r="A27" s="2" t="s">
        <v>122</v>
      </c>
      <c r="B27" s="2" t="s">
        <v>123</v>
      </c>
      <c r="C27" s="2" t="s">
        <v>124</v>
      </c>
      <c r="D27" s="2" t="s">
        <v>18</v>
      </c>
      <c r="E27" s="2" t="s">
        <v>18</v>
      </c>
      <c r="F27" s="2" t="n">
        <v>4</v>
      </c>
      <c r="G27" s="2" t="s">
        <v>125</v>
      </c>
      <c r="H27" s="4" t="b">
        <f aca="false">TRUE()</f>
        <v>1</v>
      </c>
      <c r="I27" s="2" t="s">
        <v>51</v>
      </c>
      <c r="J27" s="2" t="s">
        <v>51</v>
      </c>
      <c r="K27" s="4" t="b">
        <f aca="false">TRUE()</f>
        <v>1</v>
      </c>
      <c r="L27" s="4" t="b">
        <f aca="false">TRUE()</f>
        <v>1</v>
      </c>
      <c r="M27" s="4" t="b">
        <f aca="false">TRUE()</f>
        <v>1</v>
      </c>
      <c r="N27" s="4" t="b">
        <f aca="false">FALSE()</f>
        <v>0</v>
      </c>
      <c r="O27" s="4" t="b">
        <f aca="false">FALSE()</f>
        <v>0</v>
      </c>
    </row>
    <row r="28" customFormat="false" ht="15" hidden="false" customHeight="false" outlineLevel="0" collapsed="false">
      <c r="A28" s="2" t="s">
        <v>126</v>
      </c>
      <c r="B28" s="2" t="s">
        <v>127</v>
      </c>
      <c r="C28" s="2" t="s">
        <v>128</v>
      </c>
      <c r="D28" s="2" t="s">
        <v>18</v>
      </c>
      <c r="E28" s="2" t="s">
        <v>18</v>
      </c>
      <c r="F28" s="2" t="n">
        <v>3</v>
      </c>
      <c r="G28" s="2" t="s">
        <v>129</v>
      </c>
      <c r="H28" s="4" t="b">
        <f aca="false">TRUE()</f>
        <v>1</v>
      </c>
      <c r="I28" s="2" t="s">
        <v>66</v>
      </c>
      <c r="J28" s="2" t="s">
        <v>66</v>
      </c>
      <c r="K28" s="4" t="b">
        <f aca="false">TRUE()</f>
        <v>1</v>
      </c>
      <c r="L28" s="4" t="b">
        <f aca="false">FALSE()</f>
        <v>0</v>
      </c>
      <c r="M28" s="4" t="b">
        <f aca="false">TRUE()</f>
        <v>1</v>
      </c>
      <c r="N28" s="4" t="b">
        <f aca="false">FALSE()</f>
        <v>0</v>
      </c>
      <c r="O28" s="4" t="b">
        <f aca="false">FALSE()</f>
        <v>0</v>
      </c>
    </row>
    <row r="29" customFormat="false" ht="15" hidden="false" customHeight="false" outlineLevel="0" collapsed="false">
      <c r="A29" s="2" t="s">
        <v>130</v>
      </c>
      <c r="B29" s="2" t="s">
        <v>131</v>
      </c>
      <c r="C29" s="2" t="s">
        <v>132</v>
      </c>
      <c r="D29" s="2" t="s">
        <v>18</v>
      </c>
      <c r="E29" s="2" t="s">
        <v>18</v>
      </c>
      <c r="F29" s="2" t="n">
        <v>5</v>
      </c>
      <c r="G29" s="2" t="s">
        <v>133</v>
      </c>
      <c r="H29" s="4" t="b">
        <f aca="false">TRUE()</f>
        <v>1</v>
      </c>
      <c r="I29" s="2" t="s">
        <v>66</v>
      </c>
      <c r="J29" s="2" t="s">
        <v>51</v>
      </c>
      <c r="K29" s="6" t="b">
        <f aca="false">FALSE()</f>
        <v>0</v>
      </c>
      <c r="L29" s="4" t="b">
        <f aca="false">TRUE()</f>
        <v>1</v>
      </c>
      <c r="M29" s="4" t="b">
        <f aca="false">TRUE()</f>
        <v>1</v>
      </c>
      <c r="N29" s="4" t="b">
        <f aca="false">FALSE()</f>
        <v>0</v>
      </c>
      <c r="O29" s="4" t="b">
        <f aca="false">FALSE()</f>
        <v>0</v>
      </c>
    </row>
    <row r="30" customFormat="false" ht="15" hidden="false" customHeight="false" outlineLevel="0" collapsed="false">
      <c r="A30" s="2" t="s">
        <v>134</v>
      </c>
      <c r="B30" s="2" t="s">
        <v>135</v>
      </c>
      <c r="C30" s="2" t="s">
        <v>136</v>
      </c>
      <c r="D30" s="2" t="s">
        <v>18</v>
      </c>
      <c r="E30" s="2" t="s">
        <v>18</v>
      </c>
      <c r="F30" s="2" t="n">
        <v>4</v>
      </c>
      <c r="G30" s="2" t="s">
        <v>137</v>
      </c>
      <c r="H30" s="4" t="b">
        <f aca="false">TRUE()</f>
        <v>1</v>
      </c>
      <c r="I30" s="2" t="s">
        <v>21</v>
      </c>
      <c r="J30" s="2" t="s">
        <v>21</v>
      </c>
      <c r="K30" s="4" t="b">
        <f aca="false">TRUE()</f>
        <v>1</v>
      </c>
      <c r="L30" s="4" t="b">
        <f aca="false">TRUE()</f>
        <v>1</v>
      </c>
      <c r="M30" s="4" t="b">
        <f aca="false">FALSE()</f>
        <v>0</v>
      </c>
      <c r="N30" s="4" t="b">
        <f aca="false">FALSE()</f>
        <v>0</v>
      </c>
      <c r="O30" s="4" t="b">
        <f aca="false">FALSE()</f>
        <v>0</v>
      </c>
    </row>
    <row r="31" customFormat="false" ht="15" hidden="false" customHeight="false" outlineLevel="0" collapsed="false">
      <c r="A31" s="2" t="s">
        <v>138</v>
      </c>
      <c r="B31" s="2" t="s">
        <v>139</v>
      </c>
      <c r="C31" s="2" t="s">
        <v>140</v>
      </c>
      <c r="D31" s="2" t="s">
        <v>18</v>
      </c>
      <c r="E31" s="2" t="s">
        <v>18</v>
      </c>
      <c r="F31" s="2" t="n">
        <v>3</v>
      </c>
      <c r="G31" s="2" t="s">
        <v>141</v>
      </c>
      <c r="H31" s="4" t="b">
        <f aca="false">TRUE()</f>
        <v>1</v>
      </c>
      <c r="I31" s="2" t="s">
        <v>51</v>
      </c>
      <c r="J31" s="2" t="s">
        <v>51</v>
      </c>
      <c r="K31" s="4" t="b">
        <f aca="false">TRUE()</f>
        <v>1</v>
      </c>
      <c r="L31" s="4" t="b">
        <f aca="false">FALSE()</f>
        <v>0</v>
      </c>
      <c r="M31" s="4" t="b">
        <f aca="false">FALSE()</f>
        <v>0</v>
      </c>
      <c r="N31" s="4" t="b">
        <f aca="false">FALSE()</f>
        <v>0</v>
      </c>
      <c r="O31" s="4" t="b">
        <f aca="false">TRUE()</f>
        <v>1</v>
      </c>
    </row>
    <row r="35" customFormat="false" ht="15" hidden="false" customHeight="false" outlineLevel="0" collapsed="false">
      <c r="K35" s="2" t="s">
        <v>142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2" t="s">
        <v>143</v>
      </c>
      <c r="B1" s="2" t="s">
        <v>144</v>
      </c>
      <c r="C1" s="2" t="s">
        <v>145</v>
      </c>
    </row>
    <row r="2" customFormat="false" ht="15" hidden="false" customHeight="false" outlineLevel="0" collapsed="false">
      <c r="A2" s="2" t="s">
        <v>146</v>
      </c>
      <c r="B2" s="2" t="s">
        <v>147</v>
      </c>
      <c r="C2" s="2" t="n">
        <v>30</v>
      </c>
    </row>
    <row r="3" customFormat="false" ht="15" hidden="false" customHeight="false" outlineLevel="0" collapsed="false">
      <c r="A3" s="2" t="s">
        <v>148</v>
      </c>
      <c r="B3" s="2" t="s">
        <v>149</v>
      </c>
      <c r="C3" s="2" t="n">
        <v>30</v>
      </c>
    </row>
    <row r="4" customFormat="false" ht="15" hidden="false" customHeight="false" outlineLevel="0" collapsed="false">
      <c r="A4" s="2" t="s">
        <v>150</v>
      </c>
      <c r="B4" s="2" t="s">
        <v>151</v>
      </c>
      <c r="C4" s="2" t="n">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21</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2026-06-12T12:48:47Z</dcterms:created>
  <dc:creator>openpyxl</dc:creator>
  <dc:description/>
  <dc:language>en-GB</dc:language>
  <cp:lastModifiedBy/>
  <dcterms:modified xsi:type="dcterms:W3CDTF">2026-06-12T16:01:56Z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