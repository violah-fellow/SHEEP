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definedNames>
    <definedName function="false" hidden="true" localSheetId="0" name="_xlnm._FilterDatabase" vbProcedure="false">comparison!$O$1:$O$111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<sst xmlns="http://schemas.openxmlformats.org/spreadsheetml/2006/main" count="933" uniqueCount="499">
  <si>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</si>
  <si>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</si>
  <si>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</si>
  <si>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</si>
  <si>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</si>
  <si>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</si>
  <si>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</si>
  <si>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</si>
  <si>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</si>
  <si>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</si>
  <si>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</si>
  <si>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</si>
  <si>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</si>
  <si>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</si>
  <si>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</si>
  <si>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Scope notes</t>
  </si>
  <si>
    <t xml:space="preserve">Pillar notes</t>
  </si>
  <si>
    <t xml:space="preserve">pub.1193443783</t>
  </si>
  <si>
    <t xml:space="preserve">Proliferation and metabolic activity of the Atlantic sturgeon cell line AOXlar7y under short-term serum-reduced conditions, and the effect of stimulation with growth factors and cytokines</t>
  </si>
  <si>
    <t xml:space="preserve">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</si>
  <si>
    <t xml:space="preserve">in</t>
  </si>
  <si>
    <t xml:space="preserve">This study investigates serum reduction and growth factor supplementation for a fish cell line with the stated goal of developing animal-free, chemically defined culture media, which is directly relevant to cultivated seafood production.</t>
  </si>
  <si>
    <t xml:space="preserve">CM</t>
  </si>
  <si>
    <t xml:space="preserve">Colour codes for manual vs LLM conflicts</t>
  </si>
  <si>
    <t xml:space="preserve">pub.1189767013</t>
  </si>
  <si>
    <t xml:space="preserve">Keeping an eye on alginate: innovations and opportunities for sustainable production and diverse applications</t>
  </si>
  <si>
    <t xml:space="preserve">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</si>
  <si>
    <t xml:space="preserve">The review covers alginate extraction and functional properties with cultivated meat explicitly identified as a novel and promising application direction, making it in scope as an enabling technology for cultivated meat scaffolding.</t>
  </si>
  <si>
    <t xml:space="preserve">Conflict, but LLM is correct, so no issues (original label is incorrect).</t>
  </si>
  <si>
    <t xml:space="preserve">pub.1187346550</t>
  </si>
  <si>
    <t xml:space="preserve">Unfamiliar familiarity: A scoping review on the role of familiarity in consumer acceptance of cultivated meat</t>
  </si>
  <si>
    <t xml:space="preserve">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</si>
  <si>
    <t xml:space="preserve">This scoping review directly examines consumer acceptance of cultivated meat, focusing on familiarity as a psychological factor influencing acceptance, which is clearly within scope as consumer acceptance research on cultivated meat.</t>
  </si>
  <si>
    <t xml:space="preserve">Borderline case. Could be argued either way.</t>
  </si>
  <si>
    <t xml:space="preserve">pub.1189916353</t>
  </si>
  <si>
    <t xml:space="preserve">“It's not bad, but it's not chicken”: Sensorial drivers of liking and their correlates for plant-based chicken analogues in Sweden</t>
  </si>
  <si>
    <t xml:space="preserve">Development of satisfying plant based (PB) meat analogues could be expedited through better understanding of the sensorial drivers of hedonic (dis)liking. To address this, here six commercially available PB chicken analogues and a chicken breast reference are evaluated. Consumers (N = 105) report hedonic liking (appearance, aroma, taste/flavour, texture, and overall), sensorially profile the samples with rate-all-that-apply (RATA) and just-about-right (JAR) scales and describe what they like and dislike about the tasted samples in their own words (free-text responses). The samples are also characterized instrumentally: microscopy to visualize the microstructure and cyclic compression testing to quantify key mechanical properties (maximum true stress, Young's modulus, and compressive energy). The sensory space is explored with principal component analysis and penalty analysis; associations between the modalities of liking and how these may determine overall liking is assessed using Bayesian network analysis; and multiple regression with Bayesian inference is used to contrast liking across samples and identify the drivers of (dis)liking within each hedonic modality. Chicken is preferred across all hedonic modalities, while samples made of mycoprotein are liked most of the PB samples. Drivers of liking are detected for all modalities except appearance. The drivers of texture liking include higher perceived tenderness and juiciness, the latter of which is also inversely correlated with Young's modulus on the first compression cycle. The free-text responses suggest that consumers readily recognized the chicken sample. That sensory responses reflect both the intrinsic properties of products (bottom-up) and cognitive (top-down) aspects, including familiarity, is thus discussed.</t>
  </si>
  <si>
    <t xml:space="preserve">This study evaluates plant-based chicken analogues (including mycoprotein-based products) through consumer sensory testing and instrumental characterization, directly advancing understanding of alternative protein product development and acceptance.</t>
  </si>
  <si>
    <t xml:space="preserve">PB</t>
  </si>
  <si>
    <t xml:space="preserve">CC</t>
  </si>
  <si>
    <t xml:space="preserve">Agreed, CC label is correct. Covers PB chicken (PB) and mycoprotein chicken (F).</t>
  </si>
  <si>
    <t xml:space="preserve">Incorrect decision by LLM.</t>
  </si>
  <si>
    <t xml:space="preserve">pub.1186482404</t>
  </si>
  <si>
    <t xml:space="preserve">High-moisture extruded pea balls exhibit lower (glyc)oxidative stability than pork balls following barbecuing and simulated gastrointestinal digestion</t>
  </si>
  <si>
    <t xml:space="preserve">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</si>
  <si>
    <t xml:space="preserve">This study directly investigates high-moisture extruded pea isolate balls as plant-based meat analogues, comparing their (glyc)oxidative stability to pork counterparts during barbecuing and digestion, which is clearly in scope as research advancing the characterisation of plant-based meat alternatives.</t>
  </si>
  <si>
    <t xml:space="preserve">pub.1192893776</t>
  </si>
  <si>
    <t xml:space="preserve">Novel Hybrid ANN-Interpolation Techniques for Predicting Mean Residence Time in Wet Twin Screw Granulation Application: A Critical Review</t>
  </si>
  <si>
    <t xml:space="preserve">In twin-screw granulation (TSG), the mean residence time (MRT) of materials significantly influences granule properties, such as size distribution and density, impacting the quality of the final product. Accurately estimating MRT is crucial because deviations can lead to overwetting, compaction issues, or insufficient granulation. This study presents a hybrid approach that combines machine learning and data interpolation techniques to model MRT as a function of process parameters, including feed flow rate, screw speed, screw configuration, and liquid-to-solid ratio. Our goal is to develop a predictive tool capable of handling coarse datasets for precise MRT estimation. By optimising the MRT, process control, efficiency, and batch-to-batch consistency can be improved, ensuring adherence to product specifications and facilitating cost-effective scale-up. This study explores the integration of various univariate and multivariate spline interpolation techniques with the nonlinear autoregressive with exogenous inputs (NARX) and multilayer perceptron (MLP) machine learning methods to enhance the accuracy of MRT. While numerous studies have utilised large datasets, this study examines a coarse dataset, applying various interpolation techniques to enhance data resolution and consequently improve the performance of the NARX machine learning model. This study examined training and testing datasets of different sizes, demonstrating the versatility and applicability of the coupled methodology. Our findings demonstrate the advantages of multivariate cubic spline interpolation with the NARX approach over MLP and Kriging with univariate interpolation methods. This paper presents a comprehensive review of existing interpolation techniques and their impact on modeling performance, addressing a critical gap in the current literature. The results show that the multivariate cubic spline interpolation with the NARX approach achieved a 72% reduction in the root mean square error (RMSE) and an 85% increase in the adjusted $$R^2$$ compared to the existing Kriging interpolation technique (Ismail et al. in Powder Technol 343:568–577, 2019). In terms of computational efficiency, the NARX approach with univariate and multivariate spline interpolations are 16 times more efficient than the Kriging interpolation technique.</t>
  </si>
  <si>
    <t xml:space="preserve">out</t>
  </si>
  <si>
    <t xml:space="preserve">This publication concerns machine learning and interpolation techniques for modeling residence time in twin-screw granulation, a pharmaceutical/chemical engineering process with no connection to alternative proteins or food science.</t>
  </si>
  <si>
    <t xml:space="preserve">NA</t>
  </si>
  <si>
    <t xml:space="preserve">Incorrect label, but fixable (coding fix, not LLM).</t>
  </si>
  <si>
    <t xml:space="preserve">pub.1184804992</t>
  </si>
  <si>
    <t xml:space="preserve">The power and pitfalls of amino acid carbon stable isotopes for tracing origin and use of basal resources in food webs</t>
  </si>
  <si>
    <t xml:space="preserve">Abstract  Natural and anthropogenic stressors alter the composition, biomass, and nutritional quality of primary producers and microorganisms, the basal organisms that synthesize the biomolecules essential for metazoan growth and survival (i.e., basal resources). Traditional biomarkers have provided valuable insight into the spatiotemporal dynamics of basal resource use, but lack specificity in identifying multiple basal organisms, can be confounded by environmental and physiological processes, and do not always preserve in tissues over long timescales. Carbon stable isotope ratios of essential amino acids (δ 13 C‐EAA) show remarkable promise in identifying and distinguishing clades of basal organisms with unique δ 13 C‐EAA fingerprints that are independent of trophic processing and environmental variability, providing unparalleled potential in their application. Understanding the biochemical processes that underpin δ 13 C‐AA data is crucial, however, for holistic and robust inferences in ecological applications. This comprehensive methodological review, for the first time, conceptualizes these mechanistic underpinnings that drive δ 13 C‐EAA fingerprints among basal organisms and incorporates δ 13 C values of non‐essential amino acids that are generally overlooked in ecological studies, despite the gain of metabolic information. We conduct meta‐analyses of published data to test hypothesized AA‐specific isotope fractionations among basal organism clades, demonstrating that phenylalanine separates vascular plant δ 13 C‐EAA fingerprints, which strongly covaries with their phylogeny. We further explore the utility of non‐essential AAs in separating dietary protein sources of archaeological humans, showing the differences in metabolic information contained within different NEAAs. By scrutinizing the many methodologies that are applied in the field, we highlight the absence of standardized analytical protocols, particularly in sample pretreatments leading to biases, inappropriate use of statistical methods, and reliance on unsuitable training data. To unlock the full potential of δ 13 C‐EAA fingerprints, we provide in‐depth explanations on knowledge gaps, pitfalls, and optimal practices in this complex but powerful approach for assessing ecosystem change across spatiotemporal scales.</t>
  </si>
  <si>
    <t xml:space="preserve">This publication is an ecological and biogeochemical methodology review on carbon stable isotope ratios of amino acids for tracing food web dynamics, with no relevance to alternative protein development or animal product substitution.</t>
  </si>
  <si>
    <t xml:space="preserve">pub.1189321110</t>
  </si>
  <si>
    <t xml:space="preserve">Formulation and Key Quality Attributes of a Plant‐Based Alternative to Cheese Prototype Prepared Using Zein and Chickpea Protein Ingredients</t>
  </si>
  <si>
    <t xml:space="preserve">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</si>
  <si>
    <t xml:space="preserve">This study directly concerns the formulation and characterisation of a plant-based cheese alternative using zein and chickpea protein ingredients, which is clearly within the scope of plant-based alternative proteins substituting dairy products.</t>
  </si>
  <si>
    <t xml:space="preserve">pub.1194004313</t>
  </si>
  <si>
    <t xml:space="preserve">Food group intake and Mediterranean Diet adherence among a representative sample of Spanish middle-aged and older adults. Are we still on track? The HERMEX study.</t>
  </si>
  <si>
    <t xml:space="preserve">BACKGROUND AND AIM: To explore food group intake and adherence to the Mediterranean Diet (MD) in a representative sample of 2833 middle-aged and older adults from the HERMEX study.
METHODS AND RESULTS: This cross-sectional study utilized a food frequency questionnaire to assess food group intake and measured MD adherence using the MD Score. Sociodemographic, anthropometric, and clinical characteristics were also analyzed. Among participants, 74 % were living with overweight or obesity, 69.9 % were non-smokers, and 88 % showed medium-high adherence to the MD. Compared to the national dietary recommendations issued by the Spanish Agency for Food Safety and Nutrition (AESAN), 76 % had carbohydrate intake below recommended levels (average intake: 35.4 %), whereas 73.5 % consumed protein at 16.6 % of total energy intake. Only 2 % of participants adhered to the fat intake recommendation (&lt;35 % of total energy). Consumption of fruits, vegetables, cereals, potatoes, and eggs was below recommendations, while intake of legumes, nuts, fish, seafood, and dairy met or nearly met the recommendations. Meat consumption exceeded recommendations. Macronutrient intake (carbohydrates, protein, fat, and fiber) was similar across BMI groups. However, participants with obesity consumed fewer nuts, whereas those with normal weight had a higher intake of red wine compared to individuals with overweight (p &lt; 0.05). MD adherence was similar across BMI groups (34 points on a 0-55 scale).
CONCLUSIONS: Prevalence of overweight and obesity was high despite medium-high adherence to the MD. Overall, caloric intake and food consumption patterns were consistent across BMI groups, with notable differences in nut and red wine intake.</t>
  </si>
  <si>
    <t xml:space="preserve">This is a dietary epidemiology study on Mediterranean Diet adherence in a general population, with no focus on alternative proteins or substitutes for animal-derived foods.</t>
  </si>
  <si>
    <t xml:space="preserve">pub.1194240340</t>
  </si>
  <si>
    <t xml:space="preserve">Associations between exposure to metals, chlorinated pesticides, and PCBs and differential leukocyte profiles in Flemish adolescents</t>
  </si>
  <si>
    <t xml:space="preserve">Although environmental pollutants are known to affect the immune system, the impact of chemical mixtures on adolescent immune function remains understudied. Adolescence is a critical period for immune maturation, and disruptions during this stage may have implications for long-term health. Leukocytes, key components of the immune system, serve as indicators of immune status, with altered levels reflecting potential inflammation or immunosuppression. The present study examined the associations of 14 chemical exposure biomarkers measured in blood with counts of total leukocytes and leukocyte subtypes in 980 adolescents (13-16 years old) from the Flemish Environment and Health Studies 2012-2020 (FLEHS III and IV). The exposure biomarkers included 5 metals, 3 chlorinated pesticides, and 6 polychlorinated biphenyls (PCBs). We used four different statistical approaches: multiple linear regression, elastic net, Bayesian model averaging, and Bayesian kernel machine regression. Total leukocyte and neutrophil counts were negatively associated with PCBs and manganese (Mn), and positively associated with copper (Cu), whereas lymphocyte count was negatively associated with thallium (Tl). The neutrophil-lymphocyte ratio (NLR) was also negatively associated with Mn. An analysis excluding smokers additionally showed that higher cadmium (Cd) concentrations were associated with lower leukocyte count. Our study suggests immunosuppressive effects of PCBs, non-essentials metals Tl and Cd, and the essential metal Mn. Due to the cross-sectional design, we cannot rule out the possibility of reverse causation. The current study provides epidemiological evidence that exposure to metals and PCBs may have adverse effects on the immune system at concentrations detected in a general population of adolescents.</t>
  </si>
  <si>
    <t xml:space="preserve">This study concerns environmental pollutant exposure and immune function in adolescents, with no connection to alternative proteins or food systems.</t>
  </si>
  <si>
    <t xml:space="preserve">pub.1191159240</t>
  </si>
  <si>
    <t xml:space="preserve">Understanding foodscapes for sustainable diets in rural localities in Tunisia: Integrating multiple methods and tools in a mixed-methods design</t>
  </si>
  <si>
    <t xml:space="preserve">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</si>
  <si>
    <t xml:space="preserve">This study examines foodscapes and dietary patterns in rural Tunisia without naming or studying specific alternative protein products or ingredients; while legumes are briefly mentioned as potential meat alternatives, the research focus is on general dietary quality, food systems, and socio-cultural factors rather than alternative protein development or characterisation.</t>
  </si>
  <si>
    <t xml:space="preserve">pub.1185271226</t>
  </si>
  <si>
    <t xml:space="preserve">Construction of a CRISPR‐Cas9‐Based Genetic Editing Tool for Serratia marcescens Using a Stationary Phase Promoter and Its Application in Putrescine Production</t>
  </si>
  <si>
    <t xml:space="preserve">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</si>
  <si>
    <t xml:space="preserve">This study concerns CRISPR-Cas9 gene editing in Serratia marcescens for putrescine production as a plant growth promoter in agriculture, not as an alternative protein ingredient or food product for human consumption.</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</si>
  <si>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</si>
  <si>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</si>
  <si>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</si>
  <si>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This paper analyzes European regulatory frameworks and policy gaps for microbial biomass value chains, which directly concerns fermentation-derived alternative proteins (biomass fermentation) intended for human food applications.</t>
  </si>
  <si>
    <t xml:space="preserve">F</t>
  </si>
  <si>
    <t xml:space="preserve">pub.1185056158</t>
  </si>
  <si>
    <t xml:space="preserve">Lactic acid fermentation improves nutritional and functional properties of chickpea flours</t>
  </si>
  <si>
    <t xml:space="preserve">Consumption of healthy diets with low environmental impact is crucial for improving global health. Legumes, like chickpeas, serve as valuable meat alternatives due to their nutritional profile, which may be improved through fermentation. This study aimed to develop innovative fermented chickpea flours using lactic acid bacteria (LAB) strains from diverse ecosystems and evaluate their nutritional and functional properties in vitro. Fourteen batches of 20% chickpea-based puree were produced and fermented with 14 LAB isolated from different ecosystems. After fermentation, flours were obtained by freeze-drying. Most LAB grew well and reduced the pH of chickpea purees below 5 within 48 h. The flours were characterized for the content of polyphenols, bioactive peptides (BAPs), free amino groups (FAG), and phytic acid along with the total antioxidant capacity (TAC). Results showed that flours fermented by four LAB strains, including Enterococcus hirae and Enterococcus faecium had higher FAG and BAPs, including inhibitors of Dipeptidyl peptidase-IV and Angiotensin-converting enzyme. Flours fermented by Leuconostoc mesenteroides OM94, Lactiplantibacillus plantarum 299v, Lactiplantibacillus plantarum E75, Lactiplantibacillus plantarum LPPB, and Lacticaseibacillus casei LBC491 contained higher amounts of polyphenols, had soluble TAC that was 10-fold and direct TAC 3-fold higher, and lower phytic acid content than the control flour. Pyrogallol was detected in fermented products for the first time, and protocatechuic 4-O-glucoside increased three times in chickpea flours fermented by Leuconostoc mesenteroides OM94 compared to the control. In conclusion, fermentation improved the nutritional and functional qualities of chickpea flour, identifying promising LAB strains to enhance antioxidant capacity and polyphenols availability.</t>
  </si>
  <si>
    <t xml:space="preserve">This study uses lactic acid fermentation as a processing method to improve the nutritional and functional properties of chickpea flour, a high-protein legume used as a meat alternative, classifying it as plant-based alternative protein research.</t>
  </si>
  <si>
    <t xml:space="preserve">pub.1184066957</t>
  </si>
  <si>
    <t xml:space="preserve">Screening of Plant UDP-Glycosyltransferases for Betanin Production in Yeast</t>
  </si>
  <si>
    <t xml:space="preserve">To cover the rising demand for natural food dyes, new sources and production methods are needed. Microbial fermentation of nature-identical colours, such as the red pigment betanin, has the potential to be a cost-efficient alternative to plant extraction. The last step of betanin production is catalysed by a UDP-glycosyltransferase (UGT). To find a high-performing UGT, we screened 27 UGTs from different plant species and tested their ability to produce betanin in vivo in Saccharomyces cerevisiae. We identified two new UGTs likely involved in the betanin synthesis in the plant they derive from: CqGT2 (UGT73A37) from Chenopodium quinoa and BgGT2 (UGT92X1) from Bougainvillea glabra. The betanin-producing UGTs were also tested in Yarrowia lipolytica, where CqGT2 was the best-performing glycosyltransferase for betanin production. While it has previously been shown that the UGTs can glycosylate either betanidin or cyclo-DOPA to ultimately form betanin, the molecular mechanism behind the preference for the acceptor molecule has not been elucidated. Therefore, we performed in silico structural analysis to characterise the betanin-producing UGTs further, particularly by looking into their binding mechanism. The docking model suggested that a smaller binding site found in some UGTs only allows glycosylation of cDOPA, while a wider binding site allows glycosylation of both cyclo-DOPA and betanidin.</t>
  </si>
  <si>
    <t xml:space="preserve">This research concerns microbial fermentation of betanin as a natural food dye/colorant, not as an alternative protein source or protein-rich food ingredient substituting animal products, so it falls outside the scope of alternative proteins.</t>
  </si>
  <si>
    <t xml:space="preserve">pub.1195483976</t>
  </si>
  <si>
    <t xml:space="preserve">Emulsifying behavior of plant proteins investigated via surface hydrophobicity and molecular weight distribution</t>
  </si>
  <si>
    <t xml:space="preserve">Plant proteins exhibit wide variability in emulsifying behavior due to differences in composition, molecular structure, and processing history. This study investigated the relationship between intrinsic physicochemical properties and emulsifying behavior of eleven commercial protein isolates and concentrates derived from bovine milk, soy, canola, faba bean and pea. Key properties including solubility, surface hydrophobicity (SH), molecular weight distribution (MWD), and zeta-potential of the protein ingredients were characterized and evaluated in relation to emulsion droplet size. Among these parameters, MWD showed a moderate correlation with emulsion droplet size (R² = 0.64), while SH and zeta potential exhibited no meaningful correlation (R² &lt; 0.1). When MWD and SH were evaluated together, a clearer trend and separation emerged. Plant proteins with both high molecular weight and low surface hydrophobicity showed a tendency to form heavily flocculated emulsions. This flocculation likely resulted from slower interfacial adsorption and incomplete surface coverage, leading to droplet flocculation at early stages of emulsification. Under a specific set of formulation and processing conditions, emulsions prepared with alkaline-extracted pea and faba protein had smaller droplet size than their air-classified counterparts, likely due to their lower MWD and modified interfacial behavior induced by alkaline treatment. These findings show that the combination of MWD and SH could be useful in understanding the emulsifying behavior of commercial plant protein ingredients and helping in the screening and formulation of plant protein ingredients for food and beverage applications.</t>
  </si>
  <si>
    <t xml:space="preserve">This study investigates the emulsifying properties of plant protein isolates and concentrates (soy, canola, faba bean, pea) for food applications, directly advancing the characterisation and formulation of plant-based protein ingredients.</t>
  </si>
  <si>
    <t xml:space="preserve">pub.1194872857</t>
  </si>
  <si>
    <t xml:space="preserve">Cultured meat: advances in stem cell biology, tissue engineering, and bioprocess optimisation for scalable and sustainable production—a review</t>
  </si>
  <si>
    <t xml:space="preserve">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</si>
  <si>
    <t xml:space="preserve">This review directly concerns cultivated meat technology, covering cell line development, scaffold engineering, bioreactor design, media optimisation, and consumer acceptance for in vitro meat production.</t>
  </si>
  <si>
    <t xml:space="preserve">pub.1192633950</t>
  </si>
  <si>
    <t xml:space="preserve">Bioaccessible compounds from bean (Phaseolus vulgaris L.) landraces activate PPARγ in transiently transfected HepG2 cells</t>
  </si>
  <si>
    <t xml:space="preserve">Common beans (Phaseolus vulgaris L.) are a nutrient-dense staple food associated with a reduced risk of noncommunicable chronic diseases. One proposed mechanism involves the modulation of nuclear receptors, particularly peroxisome proliferator-activated receptors (PPARs), which are key regulators of lipid and carbohydrate metabolism. In this study, we evaluated the effects of in vitro digested flours, secondary metabolite-enriched extracts (SMEEs), their fractions, and selected representative phytochemicals from 14 landraces and 2 commercial P. vulgaris samples to directly activate PPARs and other nuclear receptors using a luciferase reporter assay in transiently transfected HepG2 cells. We hypothesized that bioaccessible compounds from the digested landraces would directly activate PPARγ in HepG2 cells. Digested flours from landraces such as Magnum and Peumo significantly activated both PPARγ1 and PPARγ2, reaching values up to 1.54-fold higher than the controls (P &lt; .05). Corresponding SMEEs showed stronger activities, with up to 2.32-fold activation compared to the controls (P &lt; .05). In contrast, none of the polarity-based fractions or the major identified phytochemicals (kaempferol-3-O-glycoside, sojasaponin Ba and Bb) showed significant effects. These findings demonstrate that digested P. vulgaris matrices contain bioaccessible compounds capable of directly activating PPARγ in HepG2 cells, likely through synergistic interactions or unidentified constituents. This mechanistic evidence supports the functional relevance of traditional bean landraces in precision nutrition strategies targeting metabolic health.</t>
  </si>
  <si>
    <t xml:space="preserve">This study investigates the bioactive/nutraceutical properties of bean compounds activating nuclear receptors (PPARγ) in liver cells, which is a medical nutrition/nutraceutical application targeting metabolic disease mechanisms rather than research on alternative protein development or animal product substitution.</t>
  </si>
  <si>
    <t xml:space="preserve">pub.1191456334</t>
  </si>
  <si>
    <t xml:space="preserve">Comparative Analysis of Composition, Texture, and Sensory Attributes of Commercial Forms of Plant-Based Cheese Analogue Products Available on the Irish Market</t>
  </si>
  <si>
    <t xml:space="preserve">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</si>
  <si>
    <t xml:space="preserve">This study directly benchmarks plant-based cheese analogue products against conventional dairy cheeses, analysing composition, texture, and sensory attributes to identify formulation gaps and guide next-generation plant-based cheese development.</t>
  </si>
  <si>
    <t xml:space="preserve">pub.1192499872</t>
  </si>
  <si>
    <t xml:space="preserve">Microalgal biomass in the European food industry: navigating regulation, technological innovation, and consumer acceptance</t>
  </si>
  <si>
    <t xml:space="preserve">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</si>
  <si>
    <t xml:space="preserve">This publication focuses on microalgal biomass as a protein-rich ingredient for human food, covering regulatory, technological, and consumer acceptance aspects of microalgae as a fermentation-derived alternative protein source, including applications in meat analogues.</t>
  </si>
  <si>
    <t xml:space="preserve">pub.1195186564</t>
  </si>
  <si>
    <t xml:space="preserve">Dual enhancement of mycoprotein nutrition and sustainability via CRISPR-mediated metabolic engineering of Fusarium venenatum</t>
  </si>
  <si>
    <t xml:space="preserve">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</si>
  <si>
    <t xml:space="preserve">This study directly concerns mycoprotein production via CRISPR-mediated metabolic engineering of Fusarium venenatum, a fungal biomass fermentation platform for alternative protein, including nutritional enhancement and life cycle assessment.</t>
  </si>
  <si>
    <t xml:space="preserve">pub.1185123960</t>
  </si>
  <si>
    <t xml:space="preserve">Recent advances and challenges in mechanistic modelling of photosynthetic processes for wastewater treatment</t>
  </si>
  <si>
    <t xml:space="preserve">Phototrophy-based wastewater treatment has the potential to reduce wastewater bioremediation costs, improving environmental impacts and allowing for enhanced resource recovery. Microbial interactions occurring in phototrophic-chemotrophic consortia treating wastewater are particularly complex, and with varying impact on each microbial clade by different chemical, biological and physical factors, including light-related aspects. For this reason, mechanistic mathematical modelling of these systems is challenging, and the resulting models are especially complex. The present study focuses particularly on the extension of microalgae-focused models to the simulation of phototrophic-chemotrophic systems, especially as for (i) microalgae-bacteria consortia and (ii) purple bacteria-enriched communities. The review identifies model structures and typical modelling choices, as well as the potential applications and limitations of available experimental protocols for model calibration, identifying relevant research needs and requirements. Simplified models have been proposed, which allow assessment of dominant mechanisms, but may not represent more complex behaviour, including nutrient removal and response to light cycling. These models have been largely applied to simple (oxygen and carbon dioxide) exchange between algae and aerobic heterotrophs. More comprehensive models, including all relevant microbial clades, have been recently published, which consider nutrient cycling, competitive uptake, and other features, including temperature, pH, and gas transfer. These models have comparable structures, but a quantitative comparison between these models is often challenging due to different fundamental stoichiometry (e.g., in the assumed algae composition), or in differing approaches to storage compounds. Particularly for models with a high complexity, it is often difficult to properly estimate biokinetic species-specific parameters for the different phototrophic and chemotrophic populations involved. Several methods have been proposed for model calibration, among which photo-respirometry has shown considerable potential. However, photo-respirometric methods do not follow a standardised approach, which has limited their application and comparability between studies. Finally, the validation of models on long-term data sets, demonstrating the impact of seasonality, as well as long-term population adaptation, is rare.</t>
  </si>
  <si>
    <t xml:space="preserve">This publication concerns mechanistic modelling of phototrophic-chemotrophic systems for wastewater treatment, with no relevance to alternative proteins or human food applications.</t>
  </si>
  <si>
    <t xml:space="preserve">pub.1189404105</t>
  </si>
  <si>
    <t xml:space="preserve">Multi-Reflectance-Spectroscopy, Part II: Optical Sensor for In-Line Monitoring of Fat and Protein in Milk-Based Products</t>
  </si>
  <si>
    <t xml:space="preserve">This study presents an optical sensor system utilizing multi-reflectance spectroscopy (MRS), specifically designed for in-line applications to enable the real-time determination of fat and protein content in milk products, simultaneously. This method employs multiple light wavelengths and various illumination-detection geometries. A field study was conducted in a milk mixing plant, where measurements were obtained from milk products with varying fat and protein concentrations, with a particular focus on recombined milk samples and a brief comparison to conventional milk products. In a first step the experimental data are compared with simulation data obtained from an analytical MRS formula. The fundamental spectroscopic characteristics, particularly the dependence of reflectance values on fat concentrations, as well as the relationship between wavelength and reflectance, remained consistent. However, some experimental bias was observed in the absolute values when comparing the analytical and experimental results. Secondly, to get reflectance models multi-linear regressions (MLR) were carried out based on the experimental and analytical data as well fat and protein content obtained from traditional wet chemical methods. To estimate the model accuracy the root mean square error (RMSE) has been used yielding around 0.1 wt% for fat and protein. A validation procedure using recombined milk results in approximately 0.1 wt% for fat and around 0.2 wt% for protein. Finally, it is shown that the process sample temperature has only a small influence on the reflectance. In contrast the homogenization pressure significantly influences the reflectance and should be considered to ensure accurate monitoring.</t>
  </si>
  <si>
    <t xml:space="preserve">This study concerns an optical sensor for monitoring fat and protein in conventional milk products, with no connection to alternative protein development or plant-based, fermentation-derived, or cultivated alternatives.</t>
  </si>
  <si>
    <t xml:space="preserve">pub.1184361111</t>
  </si>
  <si>
    <t xml:space="preserve">Evolving Appetites: Current Evidence and Future Perspectives in Terms of Meat Substitutes in Europe</t>
  </si>
  <si>
    <t xml:space="preserve">Consumers are increasingly aware of the environmental and health impacts of their food choices, leading to changes in consumption behavior. This study examines the consumption patterns and behaviors of European consumers regarding meat substitutes and identifies factors influencing their acceptance as alternative protein sources. The study involved 5000 participants from four European countries-France, Germany, Italy, and Spain with data extracted from the Mintel consumer database in 2024. Results indicate that over 50% of consumers in these countries have reduced their intake of red meat, with a notable portion of German consumers adhering to a vegan diet. Across the sample, females significantly differ from males, as they consume less meat, tend to limit their meat intake, and show a greater interest in reducing meat consumption. Baby Boomers predominantly consume more meat and show less interest in reducing their meat intake compared to younger generations. Economic and sustainability aspects are key perceptions driving the perceived benefits of reducing meat consumption. Additionally, preferences for locally sourced products, meat-like taste and texture, and natural ingredients are primary considerations when purchasing meat substitutes. Fish substitutes were rated as popular meat substitutes in France, Italy, and Spain, while breaded or battered meat/poultry substitutes were the most popular choice in Germany. Insights from this study are valuable for market researchers and the food industry, offering guidance on supplying appealing and sustainable protein alternatives that encourage a shift toward healthier and more sustainable consumption behavior.</t>
  </si>
  <si>
    <t xml:space="preserve">This study examines European consumer acceptance, consumption patterns, and factors influencing the adoption of meat substitutes as alternative protein sources, which is clearly in-scope cross-cutting consumer and market research on alternative proteins.</t>
  </si>
  <si>
    <t xml:space="preserve">pub.1196106517</t>
  </si>
  <si>
    <t xml:space="preserve">Plant-Based vs. Pork Sausages: Protein Nutritional Quality and Antioxidant Potential in the Bioaccessible Fraction</t>
  </si>
  <si>
    <t xml:space="preserve">The sales volume and consumption of plant-based meat substitutes is steadily increasing. Since meat and meat products are an important protein source, this study focused on the nutritional protein quality (Digestible Indispensable Amino Acid Score (DIAAS)) of alternative sausages based on soy, wheat, and a wheat-soy blend in comparison to a pork-based sausage using the tiny-TIMsg gastrointestinal model. The protein digestibility of all products ranged from 80.8% (soy sausage) and 87.1 to 89.0% (other sausages). The highest DIAAS values were obtained for pork sausage limited by leucine (116%). Soy sausage was limited in sulfur-containing amino acids (86%). Wheat and wheat-soy sausages were limited by lysine (33% and 41%, respectively). The antioxidant activity of the bioaccessible fractions revealed a higher antioxidative potential of the plant-based sausages. While plant-based sausages offer comparable protein digestibility and superior antioxidant capacity, their significantly lower DIAAS values underscore the potential for formulation strategies that consider nutritional aspects.</t>
  </si>
  <si>
    <t xml:space="preserve">This study directly compares plant-based meat substitutes (soy, wheat, and wheat-soy sausages) to pork sausages in terms of protein nutritional quality and antioxidant potential, which is clearly in scope as research advancing the characterisation and understanding of plant-based alternative protein products.</t>
  </si>
  <si>
    <t xml:space="preserve">pub.1192912562</t>
  </si>
  <si>
    <t xml:space="preserve">Cake fortification with dietary fibre: Impact of fibre ingredients in a cake model system</t>
  </si>
  <si>
    <t xml:space="preserve">Despite its various health benefits, dietary fibre (DF) remains under-consumed, and many individuals fail to meet the recommended daily intake. Incorporating DF into wildly consumed foods while maintaining product quality is a significant challenge due to the negative impact on texture and sensory characteristics. Pound cake is a popular dessert in the Western world, however it is high in refined flour, sugar and fat; increasing the risk of type 2 diabetes, obesity, and cardiovascular disease. This study demonstrates the effect of different DF ingredients on the quality of cake and further investigates the concentrations at which resistant starch, pectin, β -glucan, cellulose and arabinoxylan can coexist. Response surface methodology resulted in the replacement of 38.45% flour by a optimal mixture of fibre ingredients. Evaluation of physicochemical characteristics including shelf life and sensory attributes showed that cake fortified with DF had a similar specific volume (-1.6%), a slightly harder crumb (+7.7%), but a prolonged shelf life (14 days) and an improved in vitro starch digestion profile than the control cake. Sensory results did not show a difference in the taste and hedonic attributes. This study provides information to progress in closing the fibre gap of foods without compromising consumer acceptability.</t>
  </si>
  <si>
    <t xml:space="preserve">This study focuses on dietary fibre fortification of cake, which is not an alternative protein product or animal product substitute, and does not involve alternative protein ingredients or processes.</t>
  </si>
  <si>
    <t xml:space="preserve">pub.1194557209</t>
  </si>
  <si>
    <t xml:space="preserve">Natural Deep Eutectic Solvents for Agro-Industrial By-Product Valorization: Emerging Strategies for the Development of Functional Foods Targeting Diabetes</t>
  </si>
  <si>
    <t xml:space="preserve">Natural deep eutectic solvents (NaDESs) have emerged as green and sustainable alternative solvents for extracting valuable bioactive compounds from agro-industrial by-products. NaDESs are stable, soluble, and biodegradable with low melting points and a wide range of applications. These characteristics align closely with the principles of green chemistry, making NaDESs promising for use in the food industry. Recent studies demonstrate that NaDESs can effectively extract proteins, polysaccharides, polyphenols, carotenoids, alkaloids, and other bioactives from sources such as vegetable waste, cereal by-products, and fruit pomace, often performing better than traditional solvents such as methanol and ethanol. The bioactive components of these extracts may exhibit antioxidant, anti-inflammatory, antihypertensive, anticancer, or antimicrobial activity and can be used as functional ingredients, nutraceuticals, or preservatives. Furthermore, NaDES-derived extracts have been shown to have hypoglycemic effects by inhibiting enzymes involved in the metabolism of carbohydrates and reducing oxidative stress. As a result, they may find use as functional food ingredients in diabetes management. This review presents the recent research on the extraction of bioactive compounds from agro-industrial by-products using NaDESs and an evaluation of their antidiabetic potential.</t>
  </si>
  <si>
    <t xml:space="preserve">This review focuses on natural deep eutectic solvents for extracting bioactive compounds (polyphenols, carotenoids, etc.) targeting diabetes management as nutraceuticals/functional foods, which falls outside the alternative protein scope as it does not concern protein sources substituting animal products.</t>
  </si>
  <si>
    <t xml:space="preserve">pub.1193123540</t>
  </si>
  <si>
    <t xml:space="preserve">Intercropping traditional pea varieties with faba bean produces grain yields similar to pure stands of modern varieties in organic agriculture</t>
  </si>
  <si>
    <t xml:space="preserve">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</si>
  <si>
    <t xml:space="preserve">This agronomic study focuses on pea and faba bean — high-protein crops used as alternative protein feedstocks — examining intercropping practices to optimise grain yield, which is directly relevant to alternative protein ingredient production.</t>
  </si>
  <si>
    <t xml:space="preserve">pub.1192695772</t>
  </si>
  <si>
    <t xml:space="preserve">LP-40 Launch of the DIM testing project: when animal testing is difficult, impossible and meaningless (DIM) and implications for REACH regulation</t>
  </si>
  <si>
    <t xml:space="preserve">The EU's REACH Regulation Article 25 mandates that animal testing should be used only as a last resort. Adaptations of this standard (i.e. using animal test models) testing regime are described primarily through Annex XI. However, traditional in vivo testing remains common, often due to procedural rigidity and/or lack of understanding or proper application of regulatory framework, rather than scientific necessity. Approximately 5–7 million animals have been used or are in use for new in vivo toxicological and ecotoxicological studies under REACH [1] . The AFSA Collaboration launched a multi-phase project to address persistent misalignments between regulatory expectations and scientific best practices regarding non-animal approaches, with a focus on animal tests that are Difficult, Impossible, or Meaningless (DIM). DIM testing refers to cases where in vivo studies have been performed or requested when they are scientifically unfit, unjustified, technically infeasible, or irrelevant to real-world safety outcomes. Such tests often yield redundant, unreliable or unusable results, particularly for sub-stances with properties that compromise standard protocols, such as volatility, insolubility, or rapid degradation. Moreover, these unnecessary tests might subject animals to distressing and painful procedures without generating meaningful scientific data. The AFSA DIM Testing Project is systematically reviewing registration dossiers and compliance decisions to quantify the prevalence of DIM tests and identify missed opportunities for scientifically sound, non-animal alternatives. The multidisciplinary expert group defined objective DIM criteria for substances (to be) tested and applied them to case studies across sectors, revealing recurring gaps in guidance clarity, methodological relevance, and procedural flexibility. Preliminary findings suggest reliance on animal testing in scenarios where adaptations or modern methods would have been sufficient. Initial evidence suggests that ecotoxicological endpoints seem to be most affected, with high animal use and limited regulatory value. Based on these insights, the project has formulated preliminary recommendations to improve the implementation of the last resort requirement, increase regulatory acceptance of novel methods, and clarify when standard animal tests are inappropriate. As the European Commission prepares the REACH revision, this work highlights a timely opportunity to strengthen enforcement of Article 25, modernise testing frameworks, and uphold REACH's ethical and scientific commitments. A regulatory shift toward relevance-based, exposure-led safety assessment, rooted in robust non-animal methods, is essential for reducing unnecessary testing while maintaining high standards for human and environmental protection. On behalf of the Animal-Free Safety Assessment (AFSA) Collaboration</t>
  </si>
  <si>
    <t xml:space="preserve">This publication concerns animal testing regulations under REACH for chemical safety assessment and has no relevance to alternative proteins or food science.</t>
  </si>
  <si>
    <t xml:space="preserve">pub.1191057504</t>
  </si>
  <si>
    <t xml:space="preserve">Lysozyme/Alginate Interactions: Structural and Thermodynamic Insights through ITC and SAXS</t>
  </si>
  <si>
    <t xml:space="preserve">Coacervation and aggregation are distinct phase separation phenomena influenced by molecular properties and physicochemical conditions, such as pH and ionic strength. We investigate lysozyme (LYS)-alginate (ALG) mixtures at pH 7, focusing on the role of ionic strength in determining whether liquid-liquid phase separation (LLPS) or liquid-solid phase separation (LSPS) occurs. Using Isothermal Titration Calorimetry (ITC) and Small-Angle X-ray Scattering (SAXS), we find that a low salt (0-50 mM NaCl) induces compact fractal aggregates, while the intermediate salt (100-150 mM) yields coexisting or pure coacervates composed of larger swollen primary globules. At 200 mM NaCl, soluble complexes form instead of phase separation. ITC data reveal that both LSPS and LLPS are electrostatically driven, with the binding strength decreasing ∼50-fold from LSPS to LLPS conditions. These results demonstrate that phase behavior is tunable via ionic strength and that stronger interactions correlate with denser structures, highlighting distinct structural and energetic signatures for LSPS and LLPS.</t>
  </si>
  <si>
    <t xml:space="preserve">This study investigates lysozyme-alginate interactions for phase separation phenomena, but there is no stated application in alternative protein development or substitution of animal-derived foods; lysozyme is an animal-derived protein and the research appears to be fundamental biophysical chemistry without an alternative protein context.</t>
  </si>
  <si>
    <t xml:space="preserve">pub.1190905692</t>
  </si>
  <si>
    <t xml:space="preserve">A global comprehensive review on cultured seafood</t>
  </si>
  <si>
    <t xml:space="preserve">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</si>
  <si>
    <t xml:space="preserve">This review directly covers cultivated seafood across technology, consumer acceptance, environmental impact, and legislation, which are all in-scope aspects of cultivated alternative proteins.</t>
  </si>
  <si>
    <t xml:space="preserve">pub.1184315367</t>
  </si>
  <si>
    <t xml:space="preserve">In vitro and in vivo investigations on the use of yellow mealworm (Tenebrio molitor) as a novel protein feed ingredient for fattening lambs</t>
  </si>
  <si>
    <t xml:space="preserve">The quest for novel, alternative, and sustainable protein feed sources, including insects, has gained attraction by the feed industry. Here, two experiments (Exp.) explored the impacts of Tenebrio molitor meal (TMM) as a protein feed ingredient for fattening lambs, as compared to conventional plant-based and animal-based protein sources, namely soybean meal (SBM) and fish meal (FM), respectively. In Exp. 1, in vitro rumen gas kinetics and fermentation profile of three experimental diets [1- SBM at 150 g/kg dry matter (DM); 2- FM at 50 g/kg DM; and 3- TMM at 60 g/kg DM] were assessed using three fistulated lambs. In Exp. 2, twenty-four male Suffolk lambs [3 months of age; 24 ± 1.3 kg body weight (BW)] were randomly assigned for 30 days to one of the three experimental diets. Feed intake, digestibility, and nitrogen balance were assessed. At the end of the trial, the lambs were slaughtered, and samples of rumen (dorsal and ventral sacs), proximal intestine, and liver were collected and subjected to histomorphometric and histopathological evaluations. Data were analyzed using a general linear model and mixed models for the in vitro and in vivo trials, respectively; histopathological data were analyzed by a Kruskal-Wallis test. Results of Exp. 1 showed that total gas production was lower (P = 0.021; η2 = 0.359), while DM disappearance (P = 0.021; η2 = 0.233) and microbial crude protein production (P = 0.015; η2 = 0.347) were higher, for the TMM diet when compared to the FM diet, while the SBM diet showed intermediate values. Results of Exp. 2 revealed that the DM intake of TMM-fed lambs was comparable to that of FM-fed lambs, but lower than that of SBM-fed lambs (P = 0.035; η2 = 0.407). The average daily gain was the lowest in the TMM-fed lambs (P = 0.033; η2 = 0.373), while the final BW remained unaffected by diet. Higher total tract apparent digestibility of DM and organic matter was obtained with the TMM and FM diets than with the SBM diet (P &lt; 0.001; η2 = 0.411 and 0.408, respectively). Nitrogen balance ranked in the following order: FM &gt; TMM &gt; SBM (P &lt; 0.001; η2 = 0.385). Ruminal morphometric indexes (i.e., papillae length and width, absorption area, and thickness of mucosa, submucosa and muscular layers) were not affected by diet. When compared to SBM-fed lambs, the TMM- and FM-fed ones exhibited significantly lower severity of epithelial keratinization in the ruminal dorsal sac (P = 0.034; ε2 = 0.299). Intestinal inflammation was predominantly characterized by mononuclear cells and eosinophils in the TMM and SBM groups, respectively. No differences among the experimental groups were observed for other histopathological features at rumen, intestine, and liver levels. Overall, our results suggest that TMM can be used as a protein source for fattening lambs, but further studies should explore its use in combination with conventional protein sources to optimize the performance of lambs.</t>
  </si>
  <si>
    <t xml:space="preserve">This study investigates insect-based protein (Tenebrio molitor/yellow mealworm) as an animal feed ingredient for fattening lambs, both of which are explicitly out-of-scope topics (insect proteins and non-human food/animal feed applications).</t>
  </si>
  <si>
    <t xml:space="preserve">pub.1193037256</t>
  </si>
  <si>
    <t xml:space="preserve">Bacterial cellulose scaffolds derived from brewing waste for cultivated meat applications</t>
  </si>
  <si>
    <t xml:space="preserve">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</si>
  <si>
    <t xml:space="preserve">This publication directly concerns the development of bacterial cellulose scaffolds derived from brewing waste for cultivated meat applications, including cell attachment and biocompatibility assays, which is core cultivated meat enabling technology research.</t>
  </si>
  <si>
    <t xml:space="preserve">pub.1193882396</t>
  </si>
  <si>
    <t xml:space="preserve">Comparative Proteomic Analysis Provides Insight into the Effect of Monochromatic Light Wavelength on Metabolic Pathways Regulation of the Edible Mushroom Pleurotus ostreatus Grown in Submerged Fermentation</t>
  </si>
  <si>
    <t xml:space="preserve">Light plays an essential role in regulating the growth, development, and metabolic activities of the edible mushroom Pleurotus ostreatus. In this research, the influence of white, blue, green, yellow, and red light, and darkness, on the global protein expression of P. ostreatus LGAM 1123 grown in submerged culture was explored. The growth of the fungus was not inhibited by light in any of the conditions tested compared with the dark. However, the mycelial protein content was reduced by 10% under blue and white light. Proteomic analysis revealed distinct proteomes for each light wavelength, with red and blue light presenting the most distinctive proteome profiles. (Data are available via ProteomeXchange with identifier PXD065402.) Blue light activates pathways such as the citrate cycle (TCA cycle), glycolysis/gluconeogenesis, and amino acid biosynthesis, while red light stimulates mRNA-related pathways. GC-MS analysis of the biomass revealed differences in the amino acids, sugars, and lipids produced. The distinct regulation of proteins and bioactive compounds under different light wavelengths suggests that specific wavelengths can direct the metabolism of P. ostreatus into biochemical pathways. These strategies could be beneficial for the food industry because particular nutrients can be increased during the fermentation of edible fungi without the need for genetic engineering of the strain.</t>
  </si>
  <si>
    <t xml:space="preserve">This study investigates submerged fermentation of Pleurotus ostreatus (an edible mushroom) as a biomass protein source, examining how light wavelengths regulate protein expression and metabolic pathways, which is relevant to optimising biomass fermentation processes for alternative protein production.</t>
  </si>
  <si>
    <t xml:space="preserve">pub.1193000535</t>
  </si>
  <si>
    <t xml:space="preserve">Developing the Sus-Health Index: a combined measure for describing environmental impact and nutritive value of foods and meals</t>
  </si>
  <si>
    <t xml:space="preserve">There is a need to develop a commonly agreed approach that describes a food's nutritive value and environmental impact that can be used to inform consumer choice. A new single index, the 'Sus-Health Index', is presented. The index was co-created in conjunction with a range of stakeholders drawn from policy, industry and consumer representation groups. The index is a product of existing nutrition and environmental indices, using a composite indicator methodology, and can be presented quantitatively as a numeric value or qualitatively on a categorized, colour coded, scale 'A (best)-E (worst)'. The index was applied to a dataset of food products and meals, and its sensitivity and applicability were assessed using a Monte-Carlo simulation. The results indicate that the Sus-Health scale represents a pragmatic indicator of a food or meal's combined nutritional and environmental value and could be used to help inform consumer food choices.This article is part of the theme issue 'Transforming terrestrial food systems for human and planetary health'.</t>
  </si>
  <si>
    <t xml:space="preserve">This paper develops a general sustainability-health index for foods and meals broadly, without specifically naming or meaningfully discussing alternative proteins as a category.</t>
  </si>
  <si>
    <t xml:space="preserve">pub.1191737823</t>
  </si>
  <si>
    <t xml:space="preserve">Tempeh and Fermentation—Innovative Substrates in a Classical Microbial Process</t>
  </si>
  <si>
    <t xml:space="preserve">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</si>
  <si>
    <t xml:space="preserve">This review examines tempeh fermentation of diverse plant-based substrates (legumes, cereals, algae, seeds) as alternative protein sources with enhanced nutritional properties, directly relevant to plant-based alternative protein development; traditional fermentation here is used as a processing method for plant materials, classifying it as plant-based.</t>
  </si>
  <si>
    <t xml:space="preserve">pub.1186250605</t>
  </si>
  <si>
    <t xml:space="preserve">Changing Food in a Changing World: Assessing Compliance to Insects, Cultivated Meat, and Soil-Less Products Among Italian Undergraduates</t>
  </si>
  <si>
    <t xml:space="preserve">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</si>
  <si>
    <t xml:space="preserve">This consumer acceptance study explicitly covers cultivated meat as an alternative protein, making it in scope; insects are out of scope but the cultivated meat focus and cross-cutting consumer behaviour framing keep it in scope.</t>
  </si>
  <si>
    <t xml:space="preserve">Label is incorrect. However, LLM did only find CM TRUE of the pillars, and it may be an issue with the CC TRUE override.</t>
  </si>
  <si>
    <t xml:space="preserve">pub.1196060665</t>
  </si>
  <si>
    <t xml:space="preserve">Nutrient Equivalence of Plant-Based and Cultured Meat: Gaps, Bioavailability, and Health Perspectives</t>
  </si>
  <si>
    <t xml:space="preserve">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</si>
  <si>
    <t xml:space="preserve">This review explicitly examines nutrient equivalence, bioavailability, and health implications of plant-based meat analogues and cultured meat prototypes as alternatives to conventional meat, directly advancing understanding of alternative protein products.</t>
  </si>
  <si>
    <t xml:space="preserve">pub.1193813897</t>
  </si>
  <si>
    <t xml:space="preserve">The Potential of Fermentation-Based Processing on Protein Modification: A Review</t>
  </si>
  <si>
    <t xml:space="preserve">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</si>
  <si>
    <t xml:space="preserve">This review covers fermentation as a processing method to modify proteins from diverse sources for food applications, including nutritional enhancement, functionality, and sensory properties, which is relevant to both plant-based and fermentation-derived alternative protein development.</t>
  </si>
  <si>
    <t xml:space="preserve">pub.1185503350</t>
  </si>
  <si>
    <t xml:space="preserve">From a Coriander Mayonnaise to a Vegan Analogue: Assessing pH and Salt Influence in a Saccharomyces cerevisiae Yeast Protein Extract and Chlorella vulgaris Mixed System</t>
  </si>
  <si>
    <t xml:space="preserve">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</si>
  <si>
    <t xml:space="preserve">This study develops a vegan mayonnaise analogue using yeast protein extract (Saccharomyces cerevisiae, a biomass fermentation-derived protein source) and Chlorella vulgaris (microalgae biomass) as functional emulsifying ingredients to replace egg-based mayonnaise, directly relevant to fermentation-derived alternative proteins for human food.</t>
  </si>
  <si>
    <t xml:space="preserve">pub.1186860412</t>
  </si>
  <si>
    <t xml:space="preserve">Fusarium-based mycoprotein: Advancements in the production of sustainable meat substitutes</t>
  </si>
  <si>
    <t xml:space="preserve">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</si>
  <si>
    <t xml:space="preserve">This review directly concerns Fusarium-based mycoprotein production via biomass fermentation as a sustainable meat substitute, covering fermentation technologies, metabolic engineering, process optimisation, regulatory, and consumer acceptance aspects.</t>
  </si>
  <si>
    <t xml:space="preserve">pub.1184676351</t>
  </si>
  <si>
    <t xml:space="preserve">Fermentation of a wine pomace and microalgae blend to synergistically enhance the functional value of protein- and polyphenol-rich matrices</t>
  </si>
  <si>
    <t xml:space="preserve">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</si>
  <si>
    <t xml:space="preserve">This study uses fermentation (LAB and yeasts) to process microalgae (Chlorella vulgaris) and wine pomace to generate protein-rich functional food ingredients, directly relevant to both fermentation-derived and plant-based alternative protein development.</t>
  </si>
  <si>
    <t xml:space="preserve">pub.1186933420</t>
  </si>
  <si>
    <t xml:space="preserve">Microfiltration of microalgae biomolecules: Impact of pulsed electric fields and high-pressure homogenization on single-cell protein recovery and membrane fouling</t>
  </si>
  <si>
    <t xml:space="preserve">This study investigated the separation of single-cell proteins from disrupted Auxenochlorella protothecoides microalgae using microfiltration. The microalgae were heterotrophically cultivated and subjected to two cell disruption methods, high-pressure homogenization (HPH) and pulsed electric field with incubation (PEF + inc), and stored at −20 °C. The impact of HPH and PEF + inc on the microfiltration performance of thawed samples was assessed. HPH treatment resulted in complete cell lysis, releasing a heterogeneous mixture of intracellular compounds. This, potentially combined with freezing effects, led to rapid membrane fouling and a 70 % decline in the permeate flux, finally stabilizing at 15 L m−2 h−1. In contrast, PEF + inc preserved cell integrity and particle size even after freezing, liberating mainly soluble compounds. This resulted in a more porous cake layer and a limited decline in the permeate flux, which stabilized at 24 L m−2 h−1. Additionally, higher protein transmission rates were achieved with PEF + inc (141.75 g m−2 h−1) than with HPH (54.53 g m−2 h−1) and it was 5.6 times more energy efficient. The cake layer formed by the HPH-treated samples had a higher resistance owing to smaller apparent pores and increased interaction with permeating proteins, which hindered protein transmission. These findings demonstrate that cell disruption methods can significantly influence downstream protein recovery efficiency and energy consumption. PEF + inc shows great potential as an energy-efficient bioprocessing method for microalgae biorefineries.</t>
  </si>
  <si>
    <t xml:space="preserve">This study focuses on recovering single-cell proteins from microalgae (Auxenochlorella protothecoides) using bioprocessing methods, which falls under biomass fermentation/microalgae as an alternative protein source.</t>
  </si>
  <si>
    <t xml:space="preserve">pub.1185035217</t>
  </si>
  <si>
    <t xml:space="preserve">People’s perception of biodiversity loss: Validation of a scale in Germany</t>
  </si>
  <si>
    <t xml:space="preserve">The rapid global loss of biodiversity is one of the most urgent crises threatening people and the environment. Yet, biodiversity loss is far less prevalent in public discourse than other environmental problems, such as climate change. How do people perceive this urgent but hidden crisis, and what determines their perceptions? To address this question, we developed and validated the Biodiversity Loss Perception Scale (BiLoPS), which measures people’s perceptions of the reality, causes, and consequences of biodiversity loss. The BiLoPS demonstrated a robust factor structure, excellent reliability, convergent validity, predictive validity, and discriminant validity, as well as measurement invariance among members of the German public (n = 404). Using the BiLoPS, as an accessible and reliable tool, offers the potential to measure the perception of biodiversity loss in different countries and contexts. We anticipate that this scale will be valuable for researchers who intend to investigate individuals’ perceptions of biodiversity loss and how those perceptions relate to other relevant concepts. Further research on BiLoPS can provide valuable scientific insights, and guiding strategies for public awareness, biodiversity education campaigns, and conservation actions.</t>
  </si>
  <si>
    <t xml:space="preserve">This publication concerns public perception of biodiversity loss and scale validation, with no connection to alternative proteins or food systems.</t>
  </si>
  <si>
    <t xml:space="preserve">pub.1191086704</t>
  </si>
  <si>
    <t xml:space="preserve">Benthic trophic status and spatiotemporal variability of macrobenthic assemblages in S'Ena Arrubia Lagoon (Sardinia, Italy)</t>
  </si>
  <si>
    <t xml:space="preserve">Quantity and nutritional availability of sedimentary organic matter (OM) are among the most important factors affecting benthic fauna dynamics. Despite this, the relative importance of food sources with different nutritional quality on the macrobenthos dynamics has been poorly investigated, especially in naturally eutrophic coastal lagoons. We investigated the spatiotemporal variations in the relationship between the macrobenthic assemblages and the quantity and nutritional quality of OM in a Mediterranean coastal lagoon (S'Ena Arrubia lagoon, Sardinia, Italy). Sampling was carried out at six stations selected at different distances from the sea inlet and with a different degree of confinement, in two dates in winter (February and March) and two dates in summer (June and July) 2021. The PERMANOVA tests showed significant differences among stations, seasons and sampling dates in the benthic assemblages, and the quantity and quality of OM. The DistLM analyses revealed that the photosynthetically produced OM (as total phytopigment contents) and OM freshness (as the protein-to-carbohydrate ratio), as well as the nutritional quality of OM (as the algal fraction of biopolymeric C), played a crucial role in influencing the spatiotemporal distribution of the macrobenthic abundance, taxonomic richness and composition, with the most significant correlations being detected for the deposit-feeders and detritivores, such as Streblospio shrubsolii, Microdeutopus gryllotalpa, Malacoceros fuliginosus and Polydora ciliata. These results suggest that a thorough assessment of the environmental quality of coastal lagoon's sediments should consider jointly macrobenthic metrics and the benthic trophic status, as assessed using complementary biochemical descriptors.</t>
  </si>
  <si>
    <t xml:space="preserve">This publication concerns marine ecology and benthic fauna dynamics in a coastal lagoon, with no relevance to alternative proteins or human food applications.</t>
  </si>
  <si>
    <t xml:space="preserve">pub.1188180860</t>
  </si>
  <si>
    <t xml:space="preserve">Bibliometric insights into the science of lab-grown meat as alternative protein</t>
  </si>
  <si>
    <t xml:space="preserve">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</si>
  <si>
    <t xml:space="preserve">This bibliometric analysis explicitly focuses on cultured/lab-grown meat as an alternative protein source, covering research trends, regulatory implications, and sustainability aspects of cultivated meat.</t>
  </si>
  <si>
    <t xml:space="preserve">pub.1195978789</t>
  </si>
  <si>
    <t xml:space="preserve">Diets for Dual Cardiovascular and Planetary Health: A Scoping Review</t>
  </si>
  <si>
    <t xml:space="preserve">Purpose of ReviewMost observational studies quantify the relationship between diet, cardiovascular disease (CVD), and environmental impacts independently, resulting in a fragmented understanding of sustainable diets. This review summarizes findings from observational studies assessing eating patterns and their simultaneous associations with environmental and CVD outcomes.Recent FindingsPlant-based diets, primarily those low in red meat, added sugars, and sodium, are associated with lower CVD risks. Environmental studies suggest that whole-food diets low in animal proteins typically have a lesser impact on greenhouse gas emissions (GHGe) and land use than diets high in animal proteins; however, they may increase water use.SummaryPredominantly plant-based diets were consistently associated with lower cardiovascular risk and reduced environmental impacts, though trade-offs were observed between healthiness and environmental sustainability, as well as across different environmental indicators. Further research is needed to determine how dietary patterns, cardiovascular health, and environmental outcomes align.</t>
  </si>
  <si>
    <t xml:space="preserve">This scoping review discusses plant-based diets in the context of cardiovascular health and environmental sustainability, but does not name or study specific alternative protein products or ingredients — it covers general dietary patterns (e.g. low red meat, plant-based diets broadly), which falls under the excluded category of dietary/health studies not naming specific alternative protein products.</t>
  </si>
  <si>
    <t xml:space="preserve">pub.1189508336</t>
  </si>
  <si>
    <t xml:space="preserve">Technofunctional characterisation of a protein concentrate from the red seaweed, Palmaria palmata</t>
  </si>
  <si>
    <t xml:space="preserve">The technofunctional properties of a Palmaria palmata protein concentrate (PPPC, 47 % (w/w) protein) generated at semi-pilot scale were assessed. The overall solubility, nitrogen solubility index (NSI), colour, electrophoretic profile, water and oil binding capacity (WBC and OBC), foam capacity and stability, emulsifying properties, particle size distribution, heat stability and apparent viscosity at pH 3.0–9.0 of the PPPC was characterised. Whey protein concentrate (WPC, 56 % (w/w) protein) was used as a reference protein ingredient. The highest overall solubility was obtained at pH 9.0 for both PPPC (64.06 ± 4.80 %) and for WPC (89.34 ± 4.66 %). The NSI, WBC, foam and emulsifying, particle size distribution, heat stability and apparent viscosity properties for PPPC and WPC were dependent of the reconstitution pH. The PPPC had a significantly (p &lt; 0.05) higher OBC (3.70 ± 0.04 g of oil/g of protein) than WPC (1.73 ± 0.03 g of oil/g of protein). These findings indicated that PPPC has potential as an alternative protein ingredient in products where WBC and OBC properties are required.</t>
  </si>
  <si>
    <t xml:space="preserve">This study characterises the technofunctional properties of a red macroalgae (Palmaria palmata) protein concentrate as an alternative protein ingredient to replace whey protein, directly relevant to plant-based alternative protein development.</t>
  </si>
  <si>
    <t xml:space="preserve">pub.1190449797</t>
  </si>
  <si>
    <t xml:space="preserve">Modeling sorghum yield response to climate change in the semi-arid environment of Ethiopia</t>
  </si>
  <si>
    <t xml:space="preserve">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</si>
  <si>
    <t xml:space="preserve">This study focuses on agronomic/climate modeling of sorghum yield in Ethiopia without framing sorghum as an alternative protein feedstock or addressing protein content, functionality, or food product development relevant to alternative proteins.</t>
  </si>
  <si>
    <t xml:space="preserve">pub.1185271743</t>
  </si>
  <si>
    <t xml:space="preserve">Toward consumer-focused food policies: a toolbox for encouraging the protein transition</t>
  </si>
  <si>
    <t xml:space="preserve">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</si>
  <si>
    <t xml:space="preserve">This publication explicitly addresses policy instruments for the protein transition, focusing on shifting consumption from animal-based to plant-based proteins, which is directly relevant to alternative proteins as a cross-cutting societal and policy topic.</t>
  </si>
  <si>
    <t xml:space="preserve">pub.1184322523</t>
  </si>
  <si>
    <t xml:space="preserve">The Dynamics of Self-Esteem and Depressive Symptoms Across Days, Months, and Years</t>
  </si>
  <si>
    <t xml:space="preserve">Self-esteem and depressive symptoms are important predictors of a range of societally relevant outcomes and are theorized to influence each other reciprocally over time. However, existing research offers only a limited understanding of how their dynamics unfold across different timescales. Using three data sets with different temporal resolutions, we aimed to advance our understanding of the temporal unfolding of the reciprocal dynamics between self-esteem and depressive symptoms. Across these data sets, participants (Ntotal = 6,210) rated their self-esteem and depressive symptoms between 6 and 14 times across days, months, and years, respectively. Using continuous time dynamic models, we found limited evidence for significant within-person cross-lagged effects between self-esteem and depressive symptoms. Only in the yearly data set, a cross-lagged effect from depressive symptoms to self-esteem emerged quite consistently. However, in all data sets, cross-lagged effects were small in size (-0.04 ≤ β ≤ -0.01). These findings suggest that the reciprocal dynamics between self-esteem and depressive symptoms may be less robust than commonly thought. Furthermore, exploratory analyses indicated that these effects depended on people's overall levels of depressive symptoms, suggesting that theoretical frameworks that highlight transactions between self-esteem and depression may not generalize across all levels of depressive symptoms. Finally, self-esteem and depressive symptoms were strongly correlated within measurements, similarly stable over time, and changed similarly in response to negative life events, provoking questions as to their conceptual distinctiveness and measurement approaches. (PsycInfo Database Record (c) 2025 APA, all rights reserved).</t>
  </si>
  <si>
    <t xml:space="preserve">This publication is about psychology research on self-esteem and depressive symptoms, with no relevance to alternative proteins or food science.</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</si>
  <si>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</si>
  <si>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</si>
  <si>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</si>
  <si>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The report is primarily a general consumer food attitudes survey, but it explicitly includes consumer awareness data on lab-grown/cell-cultivated meat, making it marginally in scope for alternative proteins under consumer acceptance and cross-cutting themes.</t>
  </si>
  <si>
    <t xml:space="preserve">pub.1192751374</t>
  </si>
  <si>
    <t xml:space="preserve">Processing a maize germ side stream: de-oiling as key to dry fractionation and foam stability</t>
  </si>
  <si>
    <t xml:space="preserve">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</si>
  <si>
    <t xml:space="preserve">This publication concerns the extraction and functional characterisation of maize germ protein fractions as potential plant-based protein ingredients, with foam stability compared to whey protein indicating an intended application as an animal protein substitute.</t>
  </si>
  <si>
    <t xml:space="preserve">pub.1186125851</t>
  </si>
  <si>
    <t xml:space="preserve">Ethylated phosphorylcholine – a new marker for ethanol consumption: A proof of concept</t>
  </si>
  <si>
    <t xml:space="preserve">Aim During in vitro exposure of HepaRG liver cells to ethanol, untargeted metabolomics revealed the formation of ethylated phosphorylcholine (EtOChoP), a metabolite which was not reported before [1,2]. To determine its role as a potential new biomarker for alcohol use and its detection window, a single alcohol exposure study was performed on a teetotaler. Whole blood, plasma, and serum were analysed for EtOChoP and compared with levels of established alcohol use biomarkers, such as phosphatidylethanol 16: 0/18: 1 (PEth), ethyl glucuronide (EtG), ethyl sulphate (EtS), and ethanol (EtOH) in the same samples. Method For the analysis of EtOChoP in whole blood, serum, and plasma, a 96-well microplate liquid-liquid extraction was developed and validated. Briefly, 100μL sample and 250μL of ice cold (−80°C) methanol were added, and subsequently spiked with EtOChoP-D5, internal standard. After vortexing, the 96-well plate was placed on ice, sonicated briefly and left to equilibrate for 20min. After centrifugation, the supernatant was filtered through a 96-well filtration plate and further evaporated to dryness using nitrogen. The dried extract was reconstituted in 100μL MeOH: H2O(1: 1) and 5μL was injected in an Agilent 1290 Infinity LC/6495C triple quadrupole MS using a Restek Force Biphenyl column set at 60°C. The mobile phase was a mixture of water and 0.1% formic acid as solvent A, and methanol and 0.1% formic acid, as solvent B. The total run time was 8min. The MS/MS source was operated in positive mode. The monitored m/z transitions were 212.1 &gt;126.0 (quantifier) and 86.1, 98.1(qualifiers) for EtOChoP, and 217.1 &gt;126.0 (quantifier) and 86.1(qualifier) for EtOChoP-D5. Single alcohol exposure study design: after being abstinent for five months, a female volunteer was instructed to abstain from food and beverages (including water) for 12hours prior to the experiment. The volunteer consumed a dose of 0.5g ethanol per kilogram body weight in one minute as a 20% (w/v) ethanol solution in water. Whole blood, plasma, and serum were collected at point T0 (before the drinking), T30, T60, T80, T100, T120, T140, T160, T180, T240min and day 1, 2, 5 and 8 after the drinking experiment. Results EtOH, PEth, EtG and EtS, EtOChoP were not detected at T0 in all matrices. EtOH in whole blood showed an increase to 0.76g/L (T100), followed by a decrease to 0.32g/L at T240. EtOChoP in whole blood showed an increase in concentration from 0.73ng/mL (T30) to 1.57ng/mL (T80) followed by a decrease to 0.55ng/mL (T240). Even though, serum samples showed a higher concentration, it followed the same pattern as whole blood and plasma samples, an increase from T30 to T80 followed by a decrease until T240. The following days (D1, D2, D5 and D8), EtOH, EtG, EtS and EtOChoP were not detected in any of the matrices. PEth showed an increase in concentration from 6.6ng/mL (T30) to 18ng/mL (D1), followed by a decrease in D2, D5 and D8. Nevertheless, the concentrations of PEth did not exceed the 20ng/mL cutoff value, compatible with abstinence/low alcohol consumption [3]. Conclusion This proof of concept study shows that EtOChoP is detectable in different matrices after a single alcohol consumption, which demonstrates EtOChoP can be a promising new alcohol biomarker. The presence of EtOChoP up to 240min and its absence in the following day(s) shows that it could be a short-term alcohol biomarker, together with EtOH, EtG and EtS. Nevertheless, future studies are needed to determine its true potential as an alcohol biomarker, as this study looked only at a controlled single alcohol exposure.</t>
  </si>
  <si>
    <t xml:space="preserve">This publication concerns the development of a biomarker for alcohol consumption using liver cells and human blood samples, with no relevance to alternative proteins or food science.</t>
  </si>
  <si>
    <t xml:space="preserve">pub.1184367118</t>
  </si>
  <si>
    <t xml:space="preserve">We are a family! Exploring flexitarian households’ meat reduction practices</t>
  </si>
  <si>
    <t xml:space="preserve">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</si>
  <si>
    <t xml:space="preserve">This study examines consumer practices around meat reduction and the use of plant-based meat analogues in flexitarian households, which is directly relevant to alternative protein acceptance and adoption research.</t>
  </si>
  <si>
    <t xml:space="preserve">Label is incorrect. However, LLM did only find PB TRUE of the pillars, and it may be an issue with the CC TRUE override.</t>
  </si>
  <si>
    <t xml:space="preserve">pub.1195404644</t>
  </si>
  <si>
    <t xml:space="preserve">Bioactive, Functional, and Technological Properties of Gluten-Free Pasta Enriched with Mango (Mangifera indica L.) Leaf Powder</t>
  </si>
  <si>
    <t xml:space="preserve">Mango (Mangifera indica L.) leaves represent an underutilised plant resource rich in phenolic compounds and dietary fibre with potential applications in functional foods. This study evaluated the effects of incorporating mango leaf powder (MLP) from five cultivars (Nam Dok Maï, Julie, DLO, Irwin, and Keitt) into gluten-free chestnut flour-based pasta, focusing on techno-functional, rheological, and bioactive properties. Among the formulations tested, Nam Dok Mai and Julie cultivars at 10% substitution demonstrated the most favourable pasting behaviour and were selected for spaghetti production. Both variants exhibited acceptable texture and cooking quality; however, Nam Dok Mai spaghetti showed superior colour stability after cooking and storage. Although Julie exhibited higher setback viscosity, which indicates greater starch retrogradation potential, cutting force measurements showed no significant differences between cultivars. Antioxidant analyses (DPPH, ABTS, FRAP) and total polyphenol content revealed that Nam Dok Mai retained a higher level of bioactive compounds following thermal processing, particularly in aqueous extracts. These findings indicate that mango leaf incorporation can enhance the functional value of gluten-free pasta without compromising technological quality, and that Nam Dok Mai represents the most promising cultivar for such applications.</t>
  </si>
  <si>
    <t xml:space="preserve">This study concerns gluten-free pasta enriched with mango leaf powder for functional food purposes, but pasta does not substitute animal products and is explicitly listed as a non-alternative-protein food category.</t>
  </si>
  <si>
    <t xml:space="preserve">pub.1190303165</t>
  </si>
  <si>
    <t xml:space="preserve">Present and future of Al, open science, and transparency in regulatory science</t>
  </si>
  <si>
    <t xml:space="preserve">At the 13th Global Summit on Regulatory Science (GSRS23), a pre-summit workshop organized by EBTC and EFSA explored the integration of artificial intelligence (AI), big data, and new approach methodologies (NAMs) into regulatory science. Experts Presentations highlighted how AI can enhance toxicological assessments by improving data processing, enabling predictive modeling, and supporting systematic evidence synthesis. Emphasis was placed on the need for high-quality, interoperable data and FAIR principles to ensure reliable AI outputs. Case studies, such as the ONTOX project, demonstrated practical progress toward animal-free, AI-supported toxicity prediction. Key challenges discussed included data quality and data gaps, legal and ethical considerations, and the need for trust building, standards, and the regulatory readiness for AI. The workshop concluded that while AI holds transformative promise, responsible implementation requires coordinated efforts across science, policy, and regulation.</t>
  </si>
  <si>
    <t xml:space="preserve">This publication concerns AI and regulatory science broadly, with no mention of alternative proteins, plant-based foods, fermentation, or cultivated meat applications.</t>
  </si>
  <si>
    <t xml:space="preserve">pub.1186555843</t>
  </si>
  <si>
    <t xml:space="preserve">Lactic acid fermentation of non-conventional plant-based protein extract</t>
  </si>
  <si>
    <t xml:space="preserve">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</si>
  <si>
    <t xml:space="preserve">This study investigates lactic acid bacteria fermentation as a processing method applied to plant-based protein extracts (pea, faba, soy, hemp, etc.) to improve preservation and organoleptic properties, which is classified as plant-based research per the definitions.</t>
  </si>
  <si>
    <t xml:space="preserve">pub.1188506728</t>
  </si>
  <si>
    <t xml:space="preserve">Starter culture design for the development of a novel lupin-based quark with in situ vitamin B12 fortification</t>
  </si>
  <si>
    <t xml:space="preserve">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</si>
  <si>
    <t xml:space="preserve">This study develops a lupin-based fermented dairy alternative (quark) using starter cultures, directly advancing plant-based and fermentation-derived alternative protein product development.</t>
  </si>
  <si>
    <t xml:space="preserve">Incorrect. Challenge of PB v F boundary.</t>
  </si>
  <si>
    <t xml:space="preserve">pub.1196722647</t>
  </si>
  <si>
    <t xml:space="preserve">Functional Herbal Yogurt with Moringa oleifera Flower Extract: RSM-Based Optimization, and Quality Evaluation</t>
  </si>
  <si>
    <t xml:space="preserve">ABSTRACT Moringa oleifera has a greater nutritional value due to the different parts of this tree being used as rich sources of vitamins, minerals, and amino acids. At the same time, yogurt is considered to have healthful properties because of its probiotic ability, helping to maintain the balance of gut microbiota. The aim of the present investigation is to assess the influence of the addition of MOFE on the fermentation behavior and product quality of yogurts made by standard yogurt starter cultures, consisting of Lactobacillus delbrueckii subsp. bulgaricus and Streptococcus thermophilus. It was also done to study the physicochemical characteristics and storage stability of the enriched yogurt. Incubation time and extract concentration were optimized using Response Surface Methodology (RSM), based on multiple responses of titratable acidity, pH, protein, antioxidant activity, total phenolic content, and total flavonoid content. Sensory evaluation revealed that there is no significant difference in the enriched and control yogurts in terms of appearance and texture, but the enriched yogurt had a better flavor and overall acceptability.</t>
  </si>
  <si>
    <t xml:space="preserve">This study investigates the addition of Moringa oleifera flower extract (a plant-derived ingredient) to yogurt, evaluating its effects on fermentation, quality, and sensory properties, making it relevant to plant-based functional ingredients used in dairy-analogous or enriched dairy products.</t>
  </si>
  <si>
    <t xml:space="preserve">Out of scope. First time this has been included. INVESTIGATE</t>
  </si>
  <si>
    <t xml:space="preserve">pub.1193249719</t>
  </si>
  <si>
    <t xml:space="preserve">Evaluating Scale-Up Cultivation Modes for Aspergillus oryzae Biomass Production Using VFA-Rich Effluents from Agro-Industrial Residues</t>
  </si>
  <si>
    <t xml:space="preserve">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</si>
  <si>
    <t xml:space="preserve">Although Aspergillus oryzae biomass fermentation could be relevant to alternative proteins, this study explicitly targets animal feed formulations as the intended application, placing it outside the scope of human food alternative proteins.</t>
  </si>
  <si>
    <t xml:space="preserve">Agreed, out of scope. Focus on feed only, not food.</t>
  </si>
  <si>
    <t xml:space="preserve">pub.1191549883</t>
  </si>
  <si>
    <t xml:space="preserve">Valorising feather keratin: antioxidant activity, cytotoxicity and mutagenicity during processing and gastrointestinal digestion</t>
  </si>
  <si>
    <t xml:space="preserve">Chicken feathers are an underutilized resource with high potential for bioactive peptide production. In this study, the valorisation of feather keratin through a three-step processing approach, i.e., keratin extraction with L-cysteine, followed by its enzymatic hydrolysis with pepsin, trypsin, chymotrypsin or subtilisin, and finally Maillard reaction with glucose or xylose of resulting hydrolysates was proposed. Representative preparations were subjected to simulated gastrointestinal digestion to evaluate their behaviour under physiological-like conditions. Subtilisin hydrolysate showed the strongest radical scavenging, iron-chelating and reducing activity. Its glycation with xylose yielded a preparation with enhanced radical scavenging and reducing activity, diminished iron chelation pre-digestion but the highest overall antioxidant capacity post-digestion. Neither processing nor digestion compromised the safety of the keratin preparation, as the absence of acute cytotoxicity or mutagenicity indicated. All digests showed high digestibility and retained antioxidant properties. These findings support the potential of feather keratin preparations as antioxidant ingredients in nutraceutical applications.</t>
  </si>
  <si>
    <t xml:space="preserve">This study concerns feather keratin hydrolysates for nutraceutical/bioactive peptide applications, which are not alternative protein products substituting animal-derived foods, and the stated application is nutraceutical rather than food protein substitution.</t>
  </si>
  <si>
    <t xml:space="preserve">pub.1194404883</t>
  </si>
  <si>
    <t xml:space="preserve">A pangenome and pantranscriptome of hexaploid oat</t>
  </si>
  <si>
    <t xml:space="preserve">Oat grain is a traditional human food that is rich in dietary fibre and contributes to improved human health1,2. Interest in the crop has surged in recent years owing to its use as the basis for plant-based milk analogues3. Oat is an allohexaploid with a large, repeat-rich genome that was shaped by subgenome exchanges over evolutionary timescales4. In contrast to many other cereal species, genomic research in oat is still at an early stage, and surveys of structural genome diversity and gene expression variability are scarce. Here we present annotated chromosome-scale sequence assemblies of 33 wild and domesticated oat lines, along with an atlas of gene expression across 6 tissues of different developmental stages in 23 of these lines. We construct an atlas of gene-expression diversity across subgenomes, accessions and tissues. Gene loss in the hexaploid is accompanied by compensatory upregulation of the remaining homeologues, but this process is constrained by subgenome divergence. Chromosomal rearrangements have substantially affected recent oat breeding. A large pericentric inversion associated with early flowering explains distorted segregation on chromosome 7D and a homeologous sequence exchange between chromosomes 2A and 2C in a semi-dwarf mutant has risen to prominence in Australian elite varieties. The oat pangenome will promote the adoption of genomic approaches to understanding the evolution and adaptation of domesticated oats and will accelerate their improvement.</t>
  </si>
  <si>
    <t xml:space="preserve">The abstract explicitly links oat genomic research to its use as the basis for plant-based milk analogues, making this agronomic/genomic research on a high-protein crop relevant to alternative protein development.</t>
  </si>
  <si>
    <t xml:space="preserve">pub.1192827486</t>
  </si>
  <si>
    <t xml:space="preserve">Transcriptome profiles for defining avian primordial germ cell development</t>
  </si>
  <si>
    <t xml:space="preserve">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</si>
  <si>
    <t xml:space="preserve">This publication concerns avian primordial germ cell biology and genetic conservation, with no connection to alternative protein development or food applications.</t>
  </si>
  <si>
    <t xml:space="preserve">Agreed, out of scope. Germ cell development is not relevant to CM.</t>
  </si>
  <si>
    <t xml:space="preserve">pub.1186661415</t>
  </si>
  <si>
    <t xml:space="preserve">Environmental mitigation potential of waste-to-nutrition pathways</t>
  </si>
  <si>
    <t xml:space="preserve">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</si>
  <si>
    <t xml:space="preserve">The publication includes life-cycle assessment of fungi-based and microbial proteins (fermentation/biomass fermentation) as novel food ingredients from bioresidues, which are alternative protein pathways, alongside cross-cutting environmental and food systems analysis; insect proteins are also covered but do not negate the in-scope content.</t>
  </si>
  <si>
    <t xml:space="preserve">Agreed, CC label is correct. Protein extraction would be PB.</t>
  </si>
  <si>
    <t xml:space="preserve">pub.1191268831</t>
  </si>
  <si>
    <t xml:space="preserve">The Role of Sex in the Impact of Sleep Restriction on Appetite- and Weight-Regulating Hormones in Healthy Adults: A Systematic Review of Human Studies</t>
  </si>
  <si>
    <t xml:space="preserve">Short sleep has been linked to overweight, possibly via alterations in appetite-regulating hormones, but findings are inconsistent. Sex differences may contribute to this variability. This systematic review examines whether sex modifies the hormonal response to sleep curtailment. PubMed, Embase, Cochrane, CINAHL, and PsycINFO were searched for English-language experimental studies published before December 2024. Included studies assessed at least one appetite-regulating hormone and presented sex-specific analyses. Studies involving health conditions affecting sleep, circadian misalignment, or additional interventions were excluded. Risk of bias was assessed using the Revised Cochrane Risk-of-Bias tool (RoB 2). Eight studies (n = 302 participants) met inclusion criteria. A narrative synthesis of the findings was conducted for each hormone separately to explore potential differences in their response to sleep restriction. Some sex-related variations in hormonal response to sleep restriction have been observed for leptin (four studies, n = 232), insulin (three studies, n = 56), glucagon-like peptide-1 (one study, n = 27), ghrelin (three studies, n = 87), adiponectin (two studies, n = 71) and thyroxine (two studies, n = 41). However, findings were inconsistent with no clear patterns. No sex-related differences were found for glucagon or PYY, though data were limited. Findings suggest sex may influence hormonal responses to sleep restriction, but inconsistencies highlight the need to consider factors such as BMI and energy balance. Well-controlled, adequately powered studies are needed to clarify these effects.</t>
  </si>
  <si>
    <t xml:space="preserve">This systematic review examines sex differences in hormonal responses to sleep restriction and has no connection to alternative proteins or plant-based, fermented, or cultivated food products.</t>
  </si>
  <si>
    <t xml:space="preserve">pub.1186164240</t>
  </si>
  <si>
    <t xml:space="preserve">Exploring the Potential of Lactic Acid Bacteria Fermentation as a Clean Label Alternative for Use in Yogurt Production</t>
  </si>
  <si>
    <t xml:space="preserve">The demand for healthier, more natural, and sustainable foods has increased, which drives the development of clean label food products. The clean label trend is associated with developing food products with as few ingredients as possible, free of synthetic additives, and with ingredients that customers understand and consider healthy. Yogurt is a fermented food with numerous health benefits, and is an excellent source of proteins, vitamins, and minerals. However, yogurt may contain chemical additives (including preservatives) that concern consumers as they are associated with potential health risks. Lactic acid bacteria (LAB) are Gram-positive, non-spore-forming, catalase-negative, and non-motile, with antimicrobial activity due to metabolites produced during fermentation. These metabolites include bacteriocins, organic acids, and exopolysaccharides, among others. Thus, in addition to its use in several technological and industrial processes in the food field, LAB present good potential for application as a clean label component for preserving foods, including yogurts. This review article provides an overview of the potential use of LAB and its compounds obtained from fermentation to act as a clean label ingredient in the preservation of yogurts.</t>
  </si>
  <si>
    <t xml:space="preserve">This review focuses on lactic acid bacteria fermentation as a preservation/clean label strategy for conventional dairy yogurt, not as an alternative protein product or ingredient substituting animal-derived foods.</t>
  </si>
  <si>
    <t xml:space="preserve">pub.1193941651</t>
  </si>
  <si>
    <t xml:space="preserve">An Alternative Safety Profiling Algorithm (ASPA) to transform next generation risk assessment into a structured and transparent process.</t>
  </si>
  <si>
    <t xml:space="preserve">Next generation risk assessment (NGRA) strategies use animal-free new approach methodologies (NAMs) to generate information concerning chemical hazard, toxicokinetics (ADME), and exposure. The information from these major pillars of data gathering is used to inform risk assessment and classification decisions. While the required types of data are widely agreed upon, the processes for data collection, integration and reporting, as well as several decisions on the depth and granularity of required data, are poorly standardized. Here, we present the Alternative Safety Profiling Algorithm (ASPA), a broad-purpose, transparent, and reproducible risk assessment workflow that allows documentation and integration of all types of information required for NGRA. ASPA aims to make safety assessments fully traceable for the recipient (e.g., a regulator), delineating which steps and decisions have led to the final outcome, and why certain decisions were made. An overarching objective of ASPA is to ensure that identical data input yields identical outcomes in the hands of independent assessors. Therefore, ASPA is not just a data gathering workflow; it also considers data interdependencies and requires precise justification of intermediate decisions. This includes the monitoring and assessment of uncertainties. To assist users, the ASPA-assist software was developed. It formalizes the reporting process in a reproducible and standardized fashion. By guiding an operator step-by-step through the ASPA workflow, a complete and comprehensive report is assembled, whereby all data, methods, operator activities and intermediate decisions are recorded. Practical examples illustrating the broader applicability of ASPA across various regulations and problem formulations are provided through case studies.</t>
  </si>
  <si>
    <t xml:space="preserve">This publication concerns a chemical risk assessment algorithm (ASPA) for toxicological safety profiling using animal-free methodologies, with no relevance to alternative proteins or food science.</t>
  </si>
  <si>
    <t xml:space="preserve">pub.1187661745</t>
  </si>
  <si>
    <t xml:space="preserve">Biotechnology-enhanced immunoassay for accurate determination of HT-2 toxin in edible insect samples</t>
  </si>
  <si>
    <t xml:space="preserve">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</si>
  <si>
    <t xml:space="preserve">Run error</t>
  </si>
  <si>
    <t xml:space="preserve">pub.1184587474</t>
  </si>
  <si>
    <t xml:space="preserve">Comparison of granulometric and textural characteristics of in vitro food bolus of beef- and plant-based patties</t>
  </si>
  <si>
    <t xml:space="preserve">For some years now, consumers are progressively switching their diet to a more plant-based (PB) one for various reasons such as climate, environmental, and/or health concerns. One path is the one-on-one replacement of meat by PB analogues and hereto the latter need to give a similar sensory perception as traditional meat. However, current PB analogues do not yet have a comparable texture as their meat counterparts nor are they the same in terms of food oral processing (FOP). The food industry is currently working to overcome this challenge by developing new ingredients and/or processing techniques. In this study a method is developed to quantify and understand the textural and oral processing differences between beef and PB patties. This method will increase the knowledge on food bolus characteristics of plant-based products during mastication and this can be expected to provide new approaches in the development of products intended to generate similar oral sensation as that produced during consumption of meat products. Hereto, samples of three commercially available plant-based (Beyond B, Sensational S, Ereburger E) and one beef patties (Albert Heijn's Ultimate beef burger) were masticated in the AM2 masticator apparatus, which was programmed to mimic the in vivo patty bolus characteristics. For that, the AM2 parameters were finetuned per patty type so that in vitro particle size distribution simulated the in vivo one. Then, the in vitro boluses of all burgers collected after 1/3rd, 2/3rd and at the end of masticatory sequences were characterised in terms of granulometry and for textural features acquired with the texture profile analysis test. Results demonstrated that to imitate the in vivo bolus characteristics, specific AM2 programming parameters were required per patty, with the Beef Burger requiring more shear deformation to be disrupted. Depending on the type of patty, the boluses displayed granulometry and textural differences. Progress of fragmentation along mastication depended on the patty type. Burger S was the most fragmented and Burger B bolus contained more large particles than others. All PB patties produced softer and less chewy boluses as compared to the Beef Burger. This method to quantify the FOP of PB patties throughout the masticatory sequence and the insights that were produced are undoubtedly interesting to help in the further development of PB meat substitutes intended to simulate organoleptic characteristics of traditional meat products.</t>
  </si>
  <si>
    <t xml:space="preserve">The study directly compares food oral processing and textural characteristics of plant-based meat patties versus beef patties, with the explicit aim of advancing the development of plant-based meat analogues that better simulate the sensory properties of conventional meat.</t>
  </si>
  <si>
    <t xml:space="preserve">pub.1185591975</t>
  </si>
  <si>
    <t xml:space="preserve">Covalent organic frameworks supported geminal-atom catalysts for upcycling nitrate into single-cell protein</t>
  </si>
  <si>
    <t xml:space="preserve">Coupling electrocatalytic nitrate reduction reaction (NITRR) with biotransformation can improve the efficiency of conversion and utilization of NO3 –, effectively alleviating NO3 – pollution and promoting global nitrogen cycle. In this study, geminal-Co catalysts have been fabricated via predesigning the geminal coordination sites in covalent organic frameworks, where the distance can be precisely controlled at 6.5, 9.6, and 13.4 Å. Aberration-corrected electron microscopy confirms the consistency between the actual distances and the theoretical values. The geminal-Co catalysts, with a Co-Co distance of 9.6 Å, displays the best NITRR performance, achieving a maximum NH3 Faradaic efficiency and yield of 95.7 % and 30 mg h−1 mgcat −1, respectively. Density functional theory calculations reveal that distance adjustment of geminal-Co catalysts can optimize the adsorption energy for NO3 – and the adsorption/desorption of various intermediates. The electrocatalytic NITRR coupled with microbial system showed a 2.48 g/L single-cell protein (SCP) yield at 48 h, and the 49.8 % protein content in SCP. This work presents an attractive strategy for achieving precise distance control of geminal-atom catalysts, as well as a new approach to promote the global nitrogen cycle and relieve food crises.</t>
  </si>
  <si>
    <t xml:space="preserve">The study produces single-cell protein (SCP) via microbial biotransformation coupled with electrocatalytic nitrate reduction, which falls under biomass fermentation as an alternative protein source for addressing food crises.</t>
  </si>
  <si>
    <t xml:space="preserve">pub.1195460961</t>
  </si>
  <si>
    <t xml:space="preserve">Rheological and Textural Properties of Plant‐Based Gel Derived From Pulsed Electric Field‐Treated Oat Flour and Pea Protein</t>
  </si>
  <si>
    <t xml:space="preserve">ABSTRACT Composite gels produced from plant‐based ingredients, especially when their textural attributes are engineered through the application of emerging technology, show promise for new food product development. However, there is limited data on the gelation mechanism and the contribution of individual ingredients in these composite gels. This research investigated the effect of varying starch and protein concentrations on the rheological and textural properties of a plant‐based gel formulated from oat flour (5%–15% w/w) and pea protein (5%–10% w/w) under the influence of pulsed electric field (PEF) treatment applied at varying electric field strengths (2–4 kV/cm) and specific energies (300–445 kJ/kg). The application of higher specific energy levels increased the textural (firmness, cohesiveness, consistency, and index viscosity) and rheological (, , crossover moduli, A′, A″, B′, B″, viscosity and shear stress) parameters of the oat‐pea composite gels. The starch component of the oat flour had a greater contribution to the gel strength, suggesting that the gel formation mechanism was attributed to starch gelatinization due to Joule heating. In contrast, electric field strength had only a minor contribution to the gel strength. Gels made from oat flour mixed with pea protein fit within levels 2–5 of the International Dysphagia Diet Standardization Initiative (IDDSI) classification. This study demonstrated that PEF treatment can be a rapid method for producing plant‐based gels from oat flour mixed with pea protein, yielding varying textural profiles and rheological properties.</t>
  </si>
  <si>
    <t xml:space="preserve">This study investigates the rheological and textural properties of plant-based composite gels made from oat flour and pea protein, directly relevant to alternative protein ingredient development and plant-based food product formulation.</t>
  </si>
  <si>
    <t xml:space="preserve">pub.1191677996</t>
  </si>
  <si>
    <t xml:space="preserve">An in vitro study exploring the role of mucin in the protein-flavor binding mechanism</t>
  </si>
  <si>
    <t xml:space="preserve">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</si>
  <si>
    <t xml:space="preserve">While the study uses commercial food protein isolates and examines flavor-protein binding relevant to food design, it focuses on mucin's role in flavor binding as a general food science mechanism without any stated application to alternative protein products or animal product substitution.</t>
  </si>
  <si>
    <t xml:space="preserve">Borderline. It could be relevant to alt protein development, but it does not target AP specifically in any way.</t>
  </si>
  <si>
    <t xml:space="preserve">pub.1187071484</t>
  </si>
  <si>
    <t xml:space="preserve">Characterization and quantification of anisotropy in mozzarella cheese: Exploring the impact of structural anisotropy on functional properties using complementary analytical technologies</t>
  </si>
  <si>
    <t xml:space="preserve">Mozzarella cheese is a key ingredient in many cuisines, valued for its creamy texture and its exceptional popularity as a pizza topping. The unique melting and stretching behavior is closely linked to its structural anisotropy, which can be modulated by production conditions. The textural anisotropy of the cheese significantly influences its viscoelastic and thermodynamic properties when heated. This paper explores how process parameters influence mozzarella structure, utilizing Fluorescence Anisotropy (FA) and Oblique Incidence Reflectometry (OIR) for anisotropy quantification. To corroborate the results, our study incorporates detailed microstructural analysis via X-ray computed tomography (CT). The ultimate product functionality of the mozzarella cheese is evaluated from both a consumer and quality perspective by assessing its performance in pizza baking. The key findings of our study indicate that the determinations of anisotropy by FA and OIR are highly correlated with each other and with important functional properties and process parameters. Functional parameters associated with blisters negatively correlate with anisotropy, while oiling and meltability exhibit a positive correlation with anisotropy values. The anisotropy values observed through FA and OIR further align closely with CT images, as well as with pizza functionality and consumer tests.</t>
  </si>
  <si>
    <t xml:space="preserve">This publication concerns conventional dairy mozzarella cheese characterization and its functional properties in pizza baking, with no relevance to alternative proteins or plant-based, fermentation-derived, or cultivated alternatives.</t>
  </si>
  <si>
    <t xml:space="preserve">pub.1196236950</t>
  </si>
  <si>
    <t xml:space="preserve">The influence of phytase on the solubility of storage proteins in rapeseed press cake</t>
  </si>
  <si>
    <t xml:space="preserve">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</si>
  <si>
    <t xml:space="preserve">This study investigates enzymatic treatment to improve rapeseed protein solubility and functionality, explicitly positioning it as an alternative protein ingredient for plant-based food formulations.</t>
  </si>
  <si>
    <t xml:space="preserve">pub.1187600268</t>
  </si>
  <si>
    <t xml:space="preserve">Prediction of black soldier fly larval sex and morphological traits using computer vision and deep learning</t>
  </si>
  <si>
    <t xml:space="preserve">The growing interest in insect farming as a sustainable protein alternative has given rise to the commercial production of key species like the Black Soldier Fly (BSF), primarily for use in livestock, fish, and pet nutrition. Despite the heightened interest in BSF production, there is a need for increased efficiency, particularly in the context of large-scale measurement of various traits for selective breeding as well as management optimization. The unique insect production systems, coupled with the challenges posed by their small size, fragility, and metamorphic life cycle underscores the necessity for innovative approaches to streamline production. This study explores the potential of computer vision (CV) in predicting the larval sex and morphological traits of BSF, offering a non-invasive, rapid, and automated method for trait measurement. The study explores algorithms utilizing You-Only-Look-Once (YOLOv8) in detection and segmentation, ResNet for feature extraction and classification, and regression analysis mechanisms. We assess the ability of our models to predict larval weight from images through morphometric weight prediction and CNN-regression approaches. A notable contribution of this study is the pioneering effort to classify BSF larval sex using CV and deep learning (DL). In the analysis of larval weight prediction, a coefficient determination (R2) of up to 0.80 between measured and predicted weight was achieved using the morphometric weight prediction approach, along with an R2 of 0.71 through the CNN-regression approach. Additionally, the sex prediction module demonstrated an F1 score of 0.75 and a prediction accuracy of 74 %. These results underscore the feasibility of leveraging CV techniques for predicting the sex and body traits of BSF larvae, representing a significant advancement toward the automation of selective breeding in the context of insect farming.</t>
  </si>
  <si>
    <t xml:space="preserve">This publication concerns Black Soldier Fly larvae used for livestock, fish, and pet nutrition — explicitly insect-based protein for non-human food applications, both of which are out-of-scope topics.</t>
  </si>
  <si>
    <t xml:space="preserve">pub.1190652749</t>
  </si>
  <si>
    <t xml:space="preserve">Evidence on the parameters of oculomotor skills and normative values: A systematic review</t>
  </si>
  <si>
    <t xml:space="preserve">PURPOSE: To evaluate the current evidence on oculomotor measurement parameters and their normative values through a systematic review.
METHODS: A search of primary studies was conducted using a search equation with free language. Original articles analyzing normal oculomotor function parameters in healthy populations of any age, studies that included a clearly differentiated healthy control group, and articles using any oculomotor measurement test were included. The QUADAS-2 tool was used to assess the risk of bias, applicability, and quality of the studies. The review was conducted independently by the authors and then pooled to determine the final inclusion.
RESULTS: A total of 915 articles were identified, of which 750 were excluded after the first review of the title and abstract. In the second step, 133 out of 165 investigations were discarded. Ultimately, 32 articles from the initial search were included, along with 10 additional articles identified through a manual search. The findings revealed variations in how oculomotor skills are measured, including differences in stimuli, measurement distances, and parameters assessed. A high risk of bias was observed (≥50 % in the areas of "flow and timing", "reference standard" and "patient selection") along with poor applicability (≥50 % in all aspects).
CONCLUSIONS: There is no clear evidence on normative values for oculomotor skills, nor is there a consensus on the measurement methods, stimulus used, or working distance. Furthermore, there is no agreement on which aspects of oculomotor skills should be assessed. To enhance reliability and applicability, measurement criteria should be standardized, and normative values should be established.</t>
  </si>
  <si>
    <t xml:space="preserve">This publication is about oculomotor skills and normative values in healthy populations, which has no relevance to alternative proteins or food science.</t>
  </si>
  <si>
    <t xml:space="preserve">pub.1191293711</t>
  </si>
  <si>
    <t xml:space="preserve">Functionalizing walnut protein via consecutive purification and ultrasound modification: Self-assembled structure and interfacial properties</t>
  </si>
  <si>
    <t xml:space="preserve">The preparation of plant proteins generally involves three independent steps, which is time-consuming. Here, we integrated these three steps into one consecutive process (one-step preparation), which involved alkali extraction, membrane purification, and ultrasound modification. The obtained walnut protein was evaluated in terms of self-assembled structure, interfacial behaviors, and emulsifying properties. Compared with the traditional preparation method, our one-step preparation regulated the aggregation of walnut protein from a dissolved state to a well-organized assembly. When the ultrasound modification was conducted at 10 W/mL for 30 min, the walnut protein (WP-U2) showed the highest surface hydrophobicity (H0 = 36704), the smallest particle size (205 nm), and highest solubility (58.70 %) at pH 7.0. These well-assembled proteins rapidly diffused, anchored, and rearranged at the oil-water interface, resulting in an increase of the interfacial pressure to 19 mN/m. The adsorbed proteins formed a dense and stiff solid-like interfacial film with a storage modulus of 64 mN/m at an amplitude of 5 %. These enhanced interfacial properties endow WP-U2 with superior emulsifying properties (EAI ∼ 12 m2/g, ESI &gt; 150 min) compared to other groups. This study provides a simple and environmentally friendly way to produce functionalized walnut protein, which shows great potential as an effective food emulsifier.</t>
  </si>
  <si>
    <t xml:space="preserve">This study focuses on the extraction, modification, and functional characterization of walnut protein as a plant-based food ingredient (emulsifier), directly relevant to alternative protein development.</t>
  </si>
  <si>
    <t xml:space="preserve">pub.1188675732</t>
  </si>
  <si>
    <t xml:space="preserve">Metabolomic profiling of Iberian dry-cured ham: Preliminary approach to discriminate between hams from different commercial categories</t>
  </si>
  <si>
    <t xml:space="preserve">For more than 25 years, profuse research has aimed to discriminate Iberian-dry-cured hams produced from pigs differing in genetics (pure Iberian vs. crosses) and feeding background (natural resources vs. commercial feeds). Certain advanced MS-based analytical tools have been found useful to characterise and authenticate a variety of meat products. Here, for the first time, the metabolome (more than 3000 identified compounds) of Iberian dry-cured hams from the three most valuable categories, labeled as BLACK, RED and GREEN, is analysed using a Q-Exactive Orbitrap mass-spectrometry (MS) equipment. The chemical structure, plausible origin and role played by the 35 most abundant chemical species in Iberian dry-cured hams, are reported. Additionally, Iberian hams differing in genetic background namely, BLACK (100 % Iberian) and RED (50 % Iberian) were found to differ in 142 discriminating metabolites. Sixty-six distinctive metabolites were found in RED hams, produced from pigs fed on natural resources, while seventy discriminating metabolites were identified in GREEN hams, produced from pigs fed on concentrate. The method applied provided a preliminary metabolic fingerprinting of Iberian dry-cured hams, which may be helpful for authentication purposes.</t>
  </si>
  <si>
    <t xml:space="preserve">This publication concerns metabolomic profiling and authentication of conventional Iberian dry-cured ham from pigs, with no relevance to alternative proteins or plant-based, fermentation-derived, or cultivated meat products.</t>
  </si>
  <si>
    <t xml:space="preserve">pub.1188263459</t>
  </si>
  <si>
    <t xml:space="preserve">Textural properties of faba bean-based Camembert analogue</t>
  </si>
  <si>
    <t xml:space="preserve">As global food systems evolve toward sustainability, the demand for plant-based alternatives to traditional animal-derived products is growing. Faba beans (Vicia faba), known for their versatility and agricultural benefits, offer a promising solution in the development of vegan cheese analogues. This study explores the potential of using faba beans to produce a Camembert-like cheese. The Camembert analogues were formulated with fat contents of 15% and 30% and varying proportions of coconut and rapeseed oils in triplicate. The proportions of coconut and rapeseed oils were 40:60, 50:50, and 60:40. Generally, the Camembert analogues with the higher fat content (30%) resulted in higher hardness, springiness, chewiness, and dry matter content compared to the analogues with 15% fat. This suggests that fat content is more important for these parameters than proportions of coconut and rapeseed oil. Future research should focus on optimising texture to more closely replicate traditional dairy Camembert and meet consumer sensory expectations. Incorporating sensory evaluations and consumer feedback is essential to validate instrumental findings and ensure the product meets consumer expectations.</t>
  </si>
  <si>
    <t xml:space="preserve">This study directly concerns the development of a plant-based (faba bean) dairy analogue (Camembert-style vegan cheese), which is clearly within the scope of alternative proteins and plant-based food research.</t>
  </si>
  <si>
    <t xml:space="preserve">pub.1189862049</t>
  </si>
  <si>
    <t xml:space="preserve">Plant-based milk alternatives: can they replace the iodine from UK cow's milk?</t>
  </si>
  <si>
    <t xml:space="preserve">Current food systems pose risks to both population and environmental health. Reducing the intake of animal-based foods, such as dairy products, and increasing consumption of plant-based foods align with priorities for addressing climate change and promoting overall health. Plant-based alternatives to cow's milk can be readily substituted for cow's milk without altering meal patterns and food habits, making them a popular choice among those reducing animal-product consumption. However, plant-based milk alternatives do not necessarily provide the same nutrients as cow's milk, particularly essential micronutrients like iodine. While national data indicate that the UK is iodine-replete, certain population subgroups (such as pregnant women, women of reproductive age, and vegans) remain at risk of iodine deficiency. Young women are more likely than other age groups to consume plant-based milk alternatives, heightening public health concerns about iodine insufficiency in this demographic. Current consumers of plant-based milk alternatives in the UK have lower iodine intake and status compared to consumers of cow's milk. Population-level effects of replacing milk with plant-based alternatives vary and depend on factors such as the role of plant-based milk alternatives in the diet (i.e. in addition to, or as a replacement for milk), the presence of other iodine sources in the diet, the consumer's life stage, and whether the alternatives are fortified with iodine. This review examines the literature on plant-based milk alternatives and iodine intake, focusing on implications of this dietary shift and strategies to improve iodine intake in those opting for plant-based milk alternatives in the UK population.</t>
  </si>
  <si>
    <t xml:space="preserve">This review explicitly examines plant-based milk alternatives as substitutes for cow's milk, focusing on nutritional implications (iodine intake) for consumers who replace dairy with plant-based options, which is directly in scope as a comparison of alternative protein/dairy products with animal-derived counterparts.</t>
  </si>
  <si>
    <t xml:space="preserve">pub.1184597489</t>
  </si>
  <si>
    <t xml:space="preserve">Nutritional and Sensory Properties of Meat Analogues: A Current Overview and Future Considerations</t>
  </si>
  <si>
    <t xml:space="preserve">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</si>
  <si>
    <t xml:space="preserve">This review covers nutritional and sensory properties of meat analogues broadly across plant-based, fungal/algae (fermentation), and cultivated meat categories, making it clearly in scope and cross-cutting across multiple alternative protein pillars.</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</si>
  <si>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</si>
  <si>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</si>
  <si>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</si>
  <si>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The publication covers alternative proteins from legumes, microalgae, and fermentation for food applications, which are in scope, even though insect proteins (out of scope) are also included alongside feed applications.</t>
  </si>
  <si>
    <t xml:space="preserve">pub.1195444487</t>
  </si>
  <si>
    <t xml:space="preserve">Eating Rate has Sustained Effects on Energy Intake from Ultra-Processed Diets: A Two-Week Ad Libitum Dietary Randomized Controlled Cross-over Trial</t>
  </si>
  <si>
    <t xml:space="preserve">BACKGROUND: Previous research has shown that diets dominated by ultraprocessed foods (UPF) are associated with higher dietary energy intakes. This association may be attributable in part to meal texture and associated eating rate (ER). Experimental studies are needed to clarify the underlying mechanisms.
OBJECTIVES: The objective was to compare daily energy intake (kcal/d) from diets with different meal texture-derived ER (g/min) (UPF Slow-ER compared to UPF Fast-ER) across a 14-day period. Two UPF diets comprised of foods selected to have textures known to lead to a slower or faster ER.
METHODS: Forty-one participants [n = 21 male, mean (± standard deviation) age 27 ± 5; weight 70 ± 10 kg; body mass index 23.4 ± 1.9] completed a single-blind, block-randomized crossover study including 2 14-day diets; UPF Slow-ER and UPF Fast-ER, with a 2-wk washout. Diets were served ad libitum and matched for palatability, portion size served, total energy served, non-beverage energy density, and meal variety.
RESULTS: Daily energy intake was 369 kcal/d (95% confidence interval: 221, 517) lower on the UPF Slow-ER diet compared with the UPF Fast-ER diet [main effect; F (1, 1051) = 23.98, P &lt; 0.001]. The effect on energy intake was consistent across participants and the number of days on the diet [diet∗time: F (13, 1051) = 0.96, P = 0.486], and was not attributable to meal liking or macronutrient intake (all, P &gt; 0.05). There was no change in body weight pre-diets to post-diets, and no differences in body weight between the 2 diets. Body fat mass decreased on the UPF Slow-ER diet by 0.43 kg [main effect; F (1, 119) = 14.68, P = 0.0002].
CONCLUSIONS: Food texture-derived ER has a significant and sustained effect on energy intake of ultraprocessed diets over a 2-wk period. This finding highlights the importance of food texture in guiding ER and the central role of sensory cues in regulating meal size. This trial was registered at clinicaltrials.gov as NCT06113146.</t>
  </si>
  <si>
    <t xml:space="preserve">This study investigates eating rate and energy intake from ultra-processed food diets, with no connection to alternative proteins or substitutes for animal-derived foods.</t>
  </si>
  <si>
    <t xml:space="preserve">pub.1189551191</t>
  </si>
  <si>
    <t xml:space="preserve">Novel photo-chemoautotrophic system combining microalgae and hydrogen oxidizing bacteria for microbial protein production from carbon dioxide</t>
  </si>
  <si>
    <t xml:space="preserve">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</si>
  <si>
    <t xml:space="preserve">This study investigates microbial protein production from microalgae and hydrogen-oxidizing bacteria biomass, which falls under biomass fermentation as an alternative protein source for human food.</t>
  </si>
  <si>
    <t xml:space="preserve">pub.1189564490</t>
  </si>
  <si>
    <t xml:space="preserve">Does the use of Beef-on-Dairy lead to increased longevity in dairy herds?</t>
  </si>
  <si>
    <t xml:space="preserve">The genetic progress of longevity in Holsteins has been very strong over the last years; however, the phenotypic longevity only increases moderately. It is often argued that this discrepancy between genetic and phenotypic longevity can mainly be explained with the availability of too many replacement heifers on the farms. Following this hypothesis, a farmer would rather prematurely cull a cow from the herd than the freshly calved heifer. The availability of dairy replacements on the other side depends on other management decisions: rate of born female dairy calves, rate of losses, sales and purchases of female dairy calves. The rate of born female dairy calves is influenced largely by (a) the use of sexed semen and (b) the use of beef semen on dairy cows (BoD). In our study, we analysed, whether herds with a lower rate of born female dairy calves (and therefore less available replacement heifers) have higher average longevity of cows. The data set comprised 2 784 880 calving records and 1 025 203 disposals, resulting in data of 10 627 German herds. These herds were clustered into groups based on (1) the proportion of BoD use and (2) the proportion of female dairy calves born in 2020/2021. The average longevity of cows culled in 2022/2023 (replaced by calves born in 2020/2021) was compared. The genetic level (Estimated breeding value of longevity) did not differ significantly between the categories of farms nor did the average production level (milk yield) per herd. A significant association was found between BoD use and phenotypic longevity: herds with high BoD use (&gt; 20%) had an average longevity that was 147 days longer than that of herds with no BoD use (&lt; 2%). Similarly, herds with a lower proportion of female dairy calves born had a significantly higher average longevity: herds with &gt; 55% female dairy calves (thus, a high number of possible replacement heifers) had an average longevity of 1 197 days, whereas herds with &lt; 40% female dairy calves had an average longevity of 1 335 days. This strong increase in average longevity related to the reduction of possible replacements indicates that many cows are culled early due to management decisions rather than due to health issues and other functional reasons.</t>
  </si>
  <si>
    <t xml:space="preserve">This study concerns dairy herd management and cattle longevity, with no relevance to alternative proteins or plant-based, fermentation-derived, or cultivated food products.</t>
  </si>
  <si>
    <t xml:space="preserve">pub.1188136018</t>
  </si>
  <si>
    <t xml:space="preserve">Particle size and morphological features of lupin protein-pectin complexes affect the oil-water interfacial properties and emulsion stabilization</t>
  </si>
  <si>
    <t xml:space="preserve">Lupin proteins are novel plant-based stabilizers, but their solubility and functionality are dramatically reduced at acidic pH, which can be improved by forming protein-polysaccharide complexes. The physicochemical properties of protein-polysaccharide complexes can affect the properties of oil-water interfaces stabilized by them. Here, we prepared lupin protein-pectin complexes at ratios 1:1, 0.5:1, and 0.25:1, with different particle sizes and morphological features, to elucidate the role of these properties in the oil-water interface and emulsion stabilization, and compare the behavior of the complexes to that at air-water interfaces. The molecular properties of complexes were analyzed with DLS and surface hydrophobicity measurement. Morphological features of the complexes were imaged by AFM. Mechanical properties of the oil-water interfaces were investigated using large amplitude oscillatory shear (LAOS) and dilatation (LAOD). The LAOD data were analyzed by general stress decomposition (GSD). The emulsifying properties of the complexes were studied by measuring droplet size and testing emulsion stability under flow. Complexes with a 0.25:1 ratio had the largest size (∼580.4 nm) with highly cross-linked structures and formed the stiffest oil-water interface (Ed’ = 67.5 mN/m) and the most stable emulsion against flow-induced coalescence. Complexes with a 1:1 ratio had the smallest size (∼275.6 nm) with a less cross-linked structure, formed the weakest oil-water interface (Ed’ = 35.0 mN/m), and had lower stability in flow. This study reveals the role of particle size and morphology of complexes in fluid-fluid multiphase systems and shows that the behavior of complexes is remarkably different at oil-water interfaces compared to air-water interfaces.</t>
  </si>
  <si>
    <t xml:space="preserve">This study investigates lupin protein-pectin complexes as plant-based stabilizers for emulsions, directly advancing the development and characterisation of plant-based protein ingredients for food applications.</t>
  </si>
  <si>
    <t xml:space="preserve">pub.1189507463</t>
  </si>
  <si>
    <t xml:space="preserve">Plant vs Dairy protein stabilised cappuccino foams: how protein and hydrocolloid conformational changes affect foam stability</t>
  </si>
  <si>
    <t xml:space="preserve">Plant based dairy alternative milks are seen as to have low foam appeal due to the dry, stiff texture and sometime rapid collapse. The current study sought to understand the factors affecting the formation and stability of foams made with plant and dairy proteins. Two different aeration processes were studied, steam injection and whisking, to be representative of coffee shop and in-home foam applications. These two aeration processes were found to have a significant impact on total air volume fraction and final foam bubble size. Whisking produced foams with higher air volume fraction and coarser bubbles compared to steam injection. Further, the effect of bulk viscosity on foam drainage and coalescence was investigated by adding high acetyl gellan as viscosifier. Bulk solution viscosity played a dominant role in foam stability, with higher viscosity leading to slower liquid drainage and reduced bubble coarsening. Conformational changes to high acetyl gellan viscosifier upon heating explained why steam injected foams underwent faster drainage compared to whisked foams at equivalent gellan content. Importantly only minor change in protein secondary structure and aggregation state was observed after foaming. This work shows that the main driver of the difference in dryness between plant and dairy cappuccino foams arises from the aeration process and the speed of liquid drainage. The inability to resist foam drainage, a key weakness of plant-based cappuccinos, can readily be overcome using a shear thinning hydrocolloid such as gellan to boost bulk viscosity. These findings help to understand the factors affecting the stability of cappuccino foams and contributes to the development of plant-based alternatives with improved foam quality.</t>
  </si>
  <si>
    <t xml:space="preserve">This study directly investigates plant-based dairy alternative milks as substitutes for dairy in cappuccino foam applications, examining protein functionality and foam stability relevant to plant-based dairy analogue development.</t>
  </si>
  <si>
    <t xml:space="preserve">pub.1184344359</t>
  </si>
  <si>
    <t xml:space="preserve">Chitosan-zinc oxide thyme oil-based edible antimicrobial hydrogel coatings: application on pork and tofu sausages</t>
  </si>
  <si>
    <t xml:space="preserve">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</si>
  <si>
    <t xml:space="preserve">The study includes tofu sausages, which are plant-based (soy-derived) products, and examines antimicrobial coatings applied to them for shelf-life extension, making it marginally in scope as a food preservation technology relevant to plant-based protein products, though the primary focus is on the coating technology rather than alternative protein development.</t>
  </si>
  <si>
    <t xml:space="preserve">pub.1184383349</t>
  </si>
  <si>
    <t xml:space="preserve">Digestive fate of emulsions formulated with pea and lupin protein ingredients: Modulation of lipid digestibility and bioaccessibility by the interfacial composition?</t>
  </si>
  <si>
    <t xml:space="preserve">Pea and lupin protein ingredients are suitable sources to promote the transition towards more plant proteins in foods, as they display promising nutritional and emulsifying properties. Oil-in-water emulsions (10 wt% oil, 2.5 g proteins/L) were prepared with pea and lupin protein isolates and concentrates. The homogenization pressure was adapted to obtain droplets with an average diameter around 2.2 µm. The digestive fate of emulsions was examined using the INFOGEST in vitro static protocol to elucidate how the microstructure and interfacial composition influenced lipid digestibility and bioaccessibility. Lipolysis was evaluated through lipid class analysis via HPLC. During the oral phase, the microstructure of the emulsions prepared with protein isolates was altered, as the introduction of α-amylase led to the loss of the proteinaceous network bridging the droplets, without inducing coalescence. Comparable lipolysis extent was reached for all four emulsions at the end of the gastric phase (from 11 to 17 % mol/total mol), and after the intestinal phase (from 72 to 81 % mol/total mol). However, lipid bioaccessibility varied depending on the protein source, with approximately 85 wt% of bioaccessible lipids measured for pea protein-based emulsions, against 49 to 63 wt% for lupin ingredients-based ones. These results suggest a marked role of the components present in plant-based ingredients on the digestive fate of the emulsions. As food systems increasingly focus on plant-based innovations, understanding how the composition of these ingredients-particularly their often-overlooked endogenous components-affects their processing and nutritional properties can help the development of more sustainable and nutritious foods.</t>
  </si>
  <si>
    <t xml:space="preserve">This study investigates pea and lupin protein ingredients as plant-based protein sources for food emulsions, examining their nutritional and functional properties in the context of transitioning towards more plant proteins in foods, which is directly relevant to alternative protein development.</t>
  </si>
  <si>
    <t xml:space="preserve">pub.1196193258</t>
  </si>
  <si>
    <t xml:space="preserve">The potential of mycelium from mushroom-producing fungi in alternative protein production: a focus on fungal growth, metabolism, and nutrition</t>
  </si>
  <si>
    <t xml:space="preserve">The growing need for high-quality protein with minimal environmental impact necessitates the expansion of alternative proteins on the market. One area with great opportunity for expansion lies in the phylogenetic diversity of the fungal kingdom. Diversifying the use of fungal species, by assessing species from the phylum of mushroom-producing fungi (Basidiomycota) in solid-state fermentation, could open new avenues to foods with improved nutritional and sensorial properties. To assess these properties, we first determined the potential of basidiomycetes to ferment and colonize cereals and legumes. A phylogenetically diverse selection of eight species of basidiomycetes was analyzed on their radial growth speed and biomass yield. The best performing species were successfully fermented on brown rice (high starch), brewer’s spent grain (high fiber, high protein), and lupin (high protein, high fiber and high fat), and compared to Rhizopus microsporus var. oligosporus. Large variation in performance was observed between the different basidiomycetes on the three substrates in terms of biomass formation and metabolic behavior. The presence of an easily accessible carbon source, such as starch was needed to prevent deamination and thereby loss of valuable protein. With the correct formulation, basidiomycetes could fully ferment and colonize the substrate, thereby increasing the overall protein content and degrading the anti-nutritional factor phytic acid up to 80%. These results provide a methodology for screening of fungal species and substrates and demonstrate that basidiomycetous mycelia represent a promising source of phylogenetic diversity for novel food fermentations.</t>
  </si>
  <si>
    <t xml:space="preserve">This study investigates basidiomycete mycelium grown via solid-state fermentation as a novel alternative protein source for human food, directly advancing fermentation-based (biomass fermentation/mycoprotein) alternative protein development.</t>
  </si>
  <si>
    <t xml:space="preserve">pub.1194826734</t>
  </si>
  <si>
    <t xml:space="preserve">Transcriptional Regulation of Salt Stress Tolerance in Triticum aestivum (Wheat): NAC Transcription Factors and Their Target Genes</t>
  </si>
  <si>
    <t xml:space="preserve">Salinity is one of the key threats to food security and sustainability. To make saline soils productive again, we need to develop salt-tolerant crop varieties. Developing salt-tolerant wheat requires a detailed understanding of the molecular mechanisms underlying salt stress responses. In this study, we analyzed the Chinese Spring genome and identified 559 putative NAC transcription factors (TFs), which are recognized as key regulators of both abiotic and biotic stress. Protein family analysis revealed four distinct domain architectures, with more than 95% of the proteins containing a single NAC domain, consistent with their conserved regulatory role. Through in silico analyses, four salt stress-responsive TFs, NAC_1D, NAC_2D, NAC_4A, and NAC_5A, were highlighted, sharing nine of 13 DNA-binding residues. Promoter analysis of their putative target genes identified seven candidates, which, together with the NAC TFs, were subjected to RT-qPCR expression analysis in BARI Gom-25 plants exposed to 100 mM NaCl. The expression data revealed contrasting regulatory patterns between NAC TFs and their target genes. For example, Hsp70 was strongly upregulated in both shoots and roots, despite opposite patterns of NAC_1D expression between tissues. Similarly, bZIP expression mirrored the downregulation of NAC_2D, whereas HKT8 expression remained stable under salt stress. NAC_4A showed a root-specific pattern suggestive of positive regulation of a Non-specific serine/threonine protein kinase, while NAC_5A upregulation corresponded with downregulation of Plant cadmium resistance 2. Collectively, these results provide functional insights into four NAC TFs and identify potential molecular targets for improving wheat salt tolerance. By targeting key tolerance genes at the DNA level offers greater precision and can significantly reduce breeding time.</t>
  </si>
  <si>
    <t xml:space="preserve">This study concerns molecular mechanisms of salt stress tolerance in wheat via NAC transcription factors, which is general agronomic/crop science research where protein is not the primary value and has no connection to alternative protein development.</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</si>
  <si>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</si>
  <si>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</si>
  <si>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</si>
  <si>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The study uses filamentous fungus Aspergillus oryzae biomass (mycoprotein) as a protein source for food product development, which falls under biomass fermentation, and the research advances the development and characterisation of a mycoprotein-based food product.</t>
  </si>
  <si>
    <t xml:space="preserve">pub.1189656211</t>
  </si>
  <si>
    <t xml:space="preserve">Changes in meat consumption can improve groundwater quality</t>
  </si>
  <si>
    <t xml:space="preserve">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</si>
  <si>
    <t xml:space="preserve">This study evaluates the environmental impact of substituting conventional meat with alternative meat options on groundwater quality, explicitly discussing alternative proteins in a cross-cutting environmental/sustainability context.</t>
  </si>
  <si>
    <t xml:space="preserve">pub.1194108208</t>
  </si>
  <si>
    <t xml:space="preserve">Homeostatic Counter‐Regulation Mediates Spermidine‐Induced Triacylglyceride Reduction in Drosophila melanogaster—From Phenotype to Molecular Mechanism</t>
  </si>
  <si>
    <t xml:space="preserve">The polyamines putrescine, spermidine (Spd), and spermine have essential functions in cell growth and proliferation. Previous research has unveiled a potential link between polyamine metabolism and triacylglyceride (TAG) homeostasis. In this study, we utilized Drosophila melanogaster as a model to study the impact of dietary (Spd) on body TAG stores. We found that food supplementation with 1.0 mM and 2.5 mM Spd prevented the build-up of TAG stores in female fruit flies monitored for up to 14 days post-eclosion in a dose- and time-dependent manner, without affecting their total protein content. Notably, a 7-day treatment with 2.5 mM Spd also counteracted high-sugar diet-induced obesity and accelerated the breakdown of existing TAG reserves in obese females. Mechanistic analysis revealed that the adipokinetic hormone (Akh) pathway but not the TAG lipase Brummer (Bmm) was required for the TAG-lowering bioactivity of Spd. Remarkably, this TAG-reducing activity was completely abolished when flies were fed a high-yeast diet, which increases dietary protein. Analyses of the polyamine pattern of flies and their excreta revealed that under low dietary yeast conditions, the administered Spd did not result in a rise in the endogenous Spd level. Instead, the Spd metabolites putrescine and N1-acetylated Spd were increased, which provides evidence for the induction of the catabolic arm of the polyamine pathway. Together, our data suggest that the administration of Spd at lower mM concentrations, if combined with a low-protein diet, stimulates Akh-dependent catabolic processes that facilitate the reduction of fat stores in D. melanogaster. This work uncovers a diet-dependent metabolic role of Spd in fat storage regulation, which awaits confirmation in mammals and humans, and highlights the importance of nutrient context in modulating polyamine-mediated metabolic outcomes.</t>
  </si>
  <si>
    <t xml:space="preserve">This study investigates the metabolic effects of spermidine on fat storage in Drosophila melanogaster and has no connection to alternative proteins or plant-based, fermentation-derived, or cultivated food products.</t>
  </si>
  <si>
    <t xml:space="preserve">pub.1184385604</t>
  </si>
  <si>
    <t xml:space="preserve">Protein extraction from lupin (Lupinus angustifolius L.) using combined ultrasound and microwave techniques: Impact on protein recovery, structure, and functional properties</t>
  </si>
  <si>
    <t xml:space="preserve">This study presents the first application of combined ultrasound (US) and microwave (MW) techniques for the efficient extraction of lupin protein isolates (LPI) from Irish-grown narrow-leaved lupin grain, variety 'PRIMADONNA'. This variety was chosen due to its suitability for growth in the Irish temperate climate, which may influence protein extraction characteristics. By employing these emerging techniques, this research demonstrates a potential approach for improving protein recovery rates as well as enhancing the structural and functional properties of LPI. US and MW treatments significantly outperformed conventional extraction (CE), with combined US and MW treatments showing synergistic effects that significantly enhanced extraction yield and protein recovery rates of LPI (P &lt; 0.05) within a shorter processing time (10 min) compared to 1 h CE. SDS-PAGE analyses revealed that US and MW treatment preserved the primary structure of LPI, while Fourier transform infrared spectrometer (FTIR) analyses showed that high-power MW induced significant changes in the secondary structure, transferring protein structures from highly ordered (β-sheet and α-helix) to disordered forms (random coil and β-turn). Lower power combinations (US50 + MW25) effectively improved protein solubility and reduced particle size, whereas higher power combinations (US50 + MW50, US100 + MW50) decreased solubility and increased particle size and viscosity significantly (p &lt; 0.05). These findings underscore the potential of US and MW combinations for efficient lupin protein extraction, providing a new approach to sustainable plant extraction.</t>
  </si>
  <si>
    <t xml:space="preserve">This study focuses on extracting and characterising protein isolates from lupin, a high-protein crop used as an alternative protein feedstock, with direct relevance to plant-based food ingredient development.</t>
  </si>
  <si>
    <t xml:space="preserve">pub.1194750416</t>
  </si>
  <si>
    <t xml:space="preserve">Recent Approaches for Bioactive Peptides Production from Pulses and Pseudocereals</t>
  </si>
  <si>
    <t xml:space="preserve">Pulses and pseudocereals are sustainable protein sources of bioactive peptides (BAPs) with potential antioxidant, antihypertensive, antidiabetic, antimicrobial, and immunomodulatory activities. BAPs are typically liberated during gastrointestinal digestion or through bio-based processes, among which enzymatic hydrolysis and microbial fermentation represent the most widely applied strategies. Enzymatic hydrolysis provides controlled and reproducible release of short peptide motifs; recent advances such as ultrasound- or high-pressure-assisted hydrolysis enhance yield and bioactivity. Fermentation exploits microbial proteolytic activity to generate complex peptide mixtures, while improving sensory quality, reducing antinutritional compounds, and responding to consumer demand for natural and "clean-label" products. In silico tools increasingly complement these approaches by accelerating peptide discovery, predicting interactions with molecular targets, and guiding process design. This review provides an updated overview of bio-based methods to produce BAPs from pulses and pseudocereals, emphasizing the comparative advantages of enzymatic and fermentation technologies and their integration with computational tools. Moreover, it examines regulatory frameworks in the European Union, the United States, Japan, and China, while discussing current challenges for industrial scale-up and application in functional foods and nutraceuticals. These combined strategies offer a promising pathway to unlock the health and sustainability potential of plant proteins.</t>
  </si>
  <si>
    <t xml:space="preserve">While this review covers plant proteins from pulses and pseudocereals using enzymatic hydrolysis and fermentation, the focus is on bioactive peptides for nutraceutical and functional food applications (antioxidant, antihypertensive, antidiabetic activities), which falls under medical nutrition/nutraceuticals rather than alternative protein development as a substitute for animal-derived foods.</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</si>
  <si>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</si>
  <si>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</si>
  <si>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</si>
  <si>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This publication directly concerns biomass fermentation (single-cell protein from hydrogen-oxidising bacteria) and precision fermentation (recombinant milk protein production), both of which are core alternative protein production methods for human food.</t>
  </si>
  <si>
    <t xml:space="preserve">pub.1186213546</t>
  </si>
  <si>
    <t xml:space="preserve">Impact of Vegan and Vegetarian Diets on Neurological Health: A Critical Review</t>
  </si>
  <si>
    <t xml:space="preserve">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</si>
  <si>
    <t xml:space="preserve">This review focuses on the health and neurological outcomes of vegan and vegetarian diets broadly, without naming or studying specific alternative protein products or ingredients, placing it outside the scope of alternative protein research.</t>
  </si>
  <si>
    <t xml:space="preserve">Agreed, out of scope. No specific coverage of alt proteins.</t>
  </si>
  <si>
    <t xml:space="preserve">pub.1192661487</t>
  </si>
  <si>
    <t xml:space="preserve">Lab-grown bites: What drives or stops the world from eating cultured meat? A global perspective on developed and developing countries</t>
  </si>
  <si>
    <t xml:space="preserve">Purpose This study examines consumer perception and acceptance of cultured meat, with a particular focus on the differences between developed and developing countries. The objective is to identify the key factors influencing consumer behavior, cultural barriers and economic and environmental motivations that either promote or hinder the adoption of this food innovation.   Design/methodology/approach This study employed a systematic literature review approach to analyze consumer drivers and inhibiting factors influencing the acceptance of cultured meat. This research follows the Preferred Reporting Items for Systematic Reviews and Meta-Analyses (PRISMA) reporting framework to ensure a transparent and replicable selection process. The dataset was compiled by identifying relevant peer-reviewed full-text articles published in English between 1st January 2014 and 30th April 2024, focusing on consumer perceptions of cultured meat within disciplines such as agriculture, environmental science, social sciences and economics.   Findings In developed countries, cultural values play a crucial role in shaping consumer perceptions of cultured meat: familiarity and neophobia are the most important inhibiting factors in these countries. In more traditional cultures, entrenched dietary habits and a preference for conventional meat contribute to resistance. In developing countries, environmental and food security concerns drive interest in cultured meat, as it is seen as a potential solution to global food supply challenges, whereas food security does not emerge as a driver in developed nations, where access to a stable food supply is generally not a concern.   Practical implications The aim is to provide a comprehensive mapping of the key findings related to the drivers and deterring factors influencing the consumption of cultivated meat, providing insight in order to shape public perception and market adoption of this revolutionary food technology.   Originality/value There are few comprehensive reviews of empirical findings on consumer behavior toward cultured meat, and there is a gap to fill about the distinctions in perceptions between developed and developing countries.</t>
  </si>
  <si>
    <t xml:space="preserve">This systematic literature review directly examines consumer perception and acceptance of cultivated meat across developed and developing countries, which is clearly within scope as cross-cutting consumer research on an alternative protein category.</t>
  </si>
  <si>
    <t xml:space="preserve">pub.1187537295</t>
  </si>
  <si>
    <t xml:space="preserve">Exploring the sustainability narratives of cultured meat</t>
  </si>
  <si>
    <t xml:space="preserve">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</si>
  <si>
    <t xml:space="preserve">This article directly concerns cultivated meat, conducting a systematic literature review on its sustainability narratives including economic, environmental, and social dimensions.</t>
  </si>
  <si>
    <t xml:space="preserve">pub.1192676912</t>
  </si>
  <si>
    <t xml:space="preserve">Consumer Trust in Emerging Food Technologies: A Comparative Analysis of Croatia and India</t>
  </si>
  <si>
    <t xml:space="preserve">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</si>
  <si>
    <t xml:space="preserve">The study explicitly includes lab-grown meat (cultivated meat) among the food technologies examined and addresses consumer trust and cross-national acceptance, which is in-scope consumer acceptance research for alternative proteins.</t>
  </si>
  <si>
    <t xml:space="preserve">pub.1187143498</t>
  </si>
  <si>
    <t xml:space="preserve">Effect of pH and ionic strength on heat-induced pea protein isolate aggregation and gel formation</t>
  </si>
  <si>
    <t xml:space="preserve">Heat-induced aggregation and gelation of salt extracted pea protein isolates (PPI) was studied as a function of NaCl concentration (0.0–0.4 M) and pH (3.5–8.5). It was hypothesized that an isolate extracted with NaCl, and subsequently dialyzed would show different composition and techno-functional properties depending on its ionic environment. Protein solubility of PPI was affected by NaCl concentrations and pH, with the lowest solubility measured at pH 4.5, regardless of NaCl concentrations. At pH 3.5, solubility was high at low ionic strengths and decreased with increasing salt. At pH between 4.5 and 7, protein solubility increased in solutions at higher NaCl concentrations. At alkaline pH, where proteins are highly charged, salt concentrations did not affect solubility. Heating induced extensive protein aggregation in the presence of NaCl. However, in the case of heated samples in deionized water at pH 3.5 and 8.5, limited aggregation was noticed. These results were confirmed using atomic force microscopy on water redispersed samples. Analysis of viscoelastic properties at the least gelation concentration showed that pH and ionic strength affected not only the stiffness but also the linear viscoelastic regime. This work clearly demonstrated that solubility and thermal stability of PPI are affected by charge properties and how the structure and properties of pea protein aggregates may be modulated through careful control of pH and ionic environment, ultimately affecting the bulk properties of pea protein heat-induced gels.</t>
  </si>
  <si>
    <t xml:space="preserve">This study investigates the functional properties (aggregation, gelation, solubility) of pea protein isolate, a key plant-based alternative protein ingredient, under varying pH and ionic conditions, directly relevant to alternative protein product development.</t>
  </si>
  <si>
    <t xml:space="preserve">pub.1196249843</t>
  </si>
  <si>
    <t xml:space="preserve">Pleurotus djamor Mycelium: Sustainable Production of a Promising Protein Source from Carrot Side Streams</t>
  </si>
  <si>
    <t xml:space="preserve">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</si>
  <si>
    <t xml:space="preserve">This study investigates the production of Pleurotus djamor mycelium as a protein source via submerged fermentation of carrot side streams, with direct application in meat analogues (burger patties and vegan sausages), clearly qualifying as biomass fermentation for alternative proteins.</t>
  </si>
  <si>
    <t xml:space="preserve">pub.1186603633</t>
  </si>
  <si>
    <t xml:space="preserve">Estimating the Burden of Common Mental Disorders Attributable to Lifestyle Factors: Protocol for the Global Burden of Disease Lifestyle and Mental Disorder (GLAD) Project.</t>
  </si>
  <si>
    <t xml:space="preserve">BACKGROUND: The Global Burden of Diseases, Injuries, and Risk Factors Study (GBD) collects and calculates risk-outcome data for modifiable lifestyle exposures (eg, dietary intake) and physical health outcomes (eg, cancers). These estimates form a critical digital resource tool, the GBD VizHub data visualization tool, for governments and policy makers to guide local, regional, and global health decisions. Despite evidence showing the contributions of lifestyle exposures to common mental disorders (CMDs), such as depression and anxiety, GBD does not currently generate these lifestyle exposure-mental disorder outcome pairings. This gap is due to a lack of uniformly collected and analyzed data about these exposures as they relate to CMDs. Such data are required to quantify whether, and to what degree, the global burden of CMDs could be reduced by targeting lifestyle factors at regional and global levels. We have established the Global burden of disease Lifestyle And mental Disorder (GLAD) Taskforce to address this gap.
OBJECTIVE: This study aims to generate the necessary estimates to afford the inclusion of lifestyle exposures as risk factors for CMDs in the GBD study and the GBD digital visualization tools, initially focusing on the relationship between dietary intake and CMDs.
METHODS: The GLAD project is a multicenter, collaborative effort to integrate lifestyle exposures as risk factors for CMDs in the GBD study. To achieve this aim, global epidemiological studies will be recruited to conduct harmonized data analyses estimating the risk, odds, or hazards of lifestyle exposures with CMD outcomes. Initially, these models will focus on the relationship between dietary intake, as defined by the GBD, and anxiety and depression.
RESULTS: As of August 2024, 18 longitudinal cohort studies from 9 countries (Australia: n=4; Brazil: n=1; France: n=1; Italy: n=3; The Netherlands: n=3; New Zealand: n=1; South Africa: n=1; Spain: n=1; and United Kingdom: n=3) have agreed to participate in the GLAD project.
CONCLUSIONS: Our comprehensive, collaborative approach allows for the concurrent execution of a harmonized statistical analysis protocol across multiple, internationally renowned epidemiological cohorts. These results will be used to inform the GBD study and incorporate lifestyle risk factors for CMD in the GBD digital platform. Consequently, given the worldwide influence of the GBD study, findings from the GLAD project can offer valuable insights to policy makers worldwide around lifestyle-based mental health care.
INTERNATIONAL REGISTERED REPORT IDENTIFIER (IRRID): DERR1-10.2196/65576.</t>
  </si>
  <si>
    <t xml:space="preserve">This publication concerns epidemiological research on lifestyle factors and mental health disorders, with no relevance to alternative proteins or animal product substitution.</t>
  </si>
  <si>
    <t xml:space="preserve">pub.1192719713</t>
  </si>
  <si>
    <t xml:space="preserve">An Online Experiment into the Effects of Masculine-Themed versus Neutral Meat Alternative Marketing on Men’s Perceived Association between Meat and Masculinity</t>
  </si>
  <si>
    <t xml:space="preserve">Men often associate meat with masculinity, making meat reduction challenging. This study tested whether masculine-themed marketing messages (based on colors, fonts and wordings) for meat alternatives can influence men’s perceived association between meat and masculinity. In an online experiment (N = 231men, Mage = 35.64), participants viewed either “manly” or neutral ads for plant-based pizza and vegan nuggets. Perceived masculinity of meat (MoM) was measured before and after exposure. The New Masculinity Inventory (NMI) was included to assess openness to non-traditional masculinity. Results indicate that the condition was unrelated to perceived MoM. NMI was related to the perceived MoM, meaning that men who are more open to alternative forms of masculinity expressed a weaker association between meat and masculinity. This variable also functioned as a moderator, indicating that men in the neutral condition showed a stronger decrease in their perceived MoM compared to men who saw the manly advertisements.</t>
  </si>
  <si>
    <t xml:space="preserve">This study examines consumer acceptance and marketing strategies for plant-based meat alternatives (plant-based pizza and vegan nuggets), which is directly relevant to alternative protein adoption research.</t>
  </si>
  <si>
    <t xml:space="preserve">Agreed, PB label is correct. The only examples used are plant-based.</t>
  </si>
  <si>
    <t xml:space="preserve">pub.1196356120</t>
  </si>
  <si>
    <t xml:space="preserve">Consumers' valuation for cultured meat: A multi‐city choice experiment in China</t>
  </si>
  <si>
    <t xml:space="preserve">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</si>
  <si>
    <t xml:space="preserve">This study directly examines consumer willingness-to-pay for cultured meat (cultured chicken) in China, which is clearly within the scope of cultivated meat alternative protein research.</t>
  </si>
  <si>
    <t xml:space="preserve">pub.1184995829</t>
  </si>
  <si>
    <t xml:space="preserve">Exploring aneuploidies in two-center isolated bovine embryonic stem cell lines: Implications for cultured meat production</t>
  </si>
  <si>
    <t xml:space="preserve">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</si>
  <si>
    <t xml:space="preserve">This study directly investigates bovine embryonic stem cell lines for cultivated meat production, examining chromosomal stability and genomic integrity relevant to cell line development for cultured meat.</t>
  </si>
  <si>
    <t xml:space="preserve">pub.1185304805</t>
  </si>
  <si>
    <t xml:space="preserve">Understanding the effect of aggregation temperature on molecular interactions in zein gels to tailor the matrix for plant-based cheese alternatives</t>
  </si>
  <si>
    <t xml:space="preserve">A common disadvantage of plant protein gels is their lack of techno-functional properties that are needed to mimic plant-based cheese alternatives (especially melting). This study explores the aggregation temperature (=ϑAggregation) of zein in an aqueous system to target the characteristics of traditional semi-hard or hard cheese. Zein gels were prepared at ϑAggregation = 20, 40, 60, and 90 °C and analyzed for dry matter, syneresis, uniaxial compression response, melting properties, and microstructure, comparing them with Emmental cheese, tofu, and α-casein gels. A modified Schreiber-test (180 °C, 10 min) was conducted and oscillatory rheology methods as well as confocal laser scanning microscopy (=CLSM) images were used. Our findings reveal that zein gels prepared at ϑAggregation = 20 °C were cohesive and firm, whereas gels prepared at ϑAggregation ≥ 40 °C (above glass transition temperature) exhibited increased syneresis, reduced firmness, and less cohesiveness due to enhanced hydrophobic interactions and disulfide bond formation. Additionally, temperature and frequency sweep data indicated that higher ϑAggregation (≥80 °C) strengthen hydrophobic interactions and impact melting behavior negatively. As application for plant-based cheese alternatives zein gels show a high protein content with 32 % (w/w) and thermo-reversibility was observed, but further research must be conducted to optimize firmness, cohesiveness, and melting behavior. The findings of this work recommend a ϑAggregation between 40 °C and 60 °C to overcome the glass transition temperature but to avoid highly cross-linked matrices that are not thermo-reversible.</t>
  </si>
  <si>
    <t xml:space="preserve">This study directly investigates zein (a plant protein) gel properties for use in plant-based cheese alternatives, advancing the development of plant-based dairy analogues.</t>
  </si>
  <si>
    <t xml:space="preserve">pub.1191993918</t>
  </si>
  <si>
    <t xml:space="preserve">Impact of implicit biases on consumer behavioural intention towards meat alternative proteins</t>
  </si>
  <si>
    <t xml:space="preserve">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</si>
  <si>
    <t xml:space="preserve">This study directly investigates consumer acceptance and behavioural intentions towards meat alternative proteins broadly, covering drivers, barriers, and implicit biases, making it clearly in scope as cross-cutting consumer research on alternative proteins.</t>
  </si>
  <si>
    <t xml:space="preserve">% 2&amp;3 for manual review</t>
  </si>
  <si>
    <t xml:space="preserve">The only instances where CC labels are assigned incorrectly are when the CC label is TRUE and there is only one AP pillar TRUE.</t>
  </si>
  <si>
    <t xml:space="preserve">Therefore, I should change the logic so that CC label not applied in cases where CC is true with only one AP pillar. That single AP pillar should win.</t>
  </si>
  <si>
    <t xml:space="preserve">This can be fixed by changing the logic:</t>
  </si>
  <si>
    <t xml:space="preserve">Currently: assign CC label if EITHER the LLM CC label is TRUE, OR more than one AP pillar is true.</t>
  </si>
  <si>
    <t xml:space="preserve">Update: assign CC label if</t>
  </si>
  <si>
    <t xml:space="preserve">- More than one AP pillar is true</t>
  </si>
  <si>
    <t xml:space="preserve">- The CC label is true AND all AP pillars are false</t>
  </si>
  <si>
    <t xml:space="preserve">- The CC label is true AND more than one AP pillar is true</t>
  </si>
  <si>
    <t xml:space="preserve">Then, it can assign the other individual AP labels as required.</t>
  </si>
  <si>
    <t xml:space="preserve">metric</t>
  </si>
  <si>
    <t xml:space="preserve">value</t>
  </si>
  <si>
    <t xml:space="preserve">n</t>
  </si>
  <si>
    <t xml:space="preserve">scope_accuracy</t>
  </si>
  <si>
    <t xml:space="preserve">95%</t>
  </si>
  <si>
    <t xml:space="preserve">pillar_accuracy</t>
  </si>
  <si>
    <t xml:space="preserve">87%</t>
  </si>
  <si>
    <t xml:space="preserve">pillar_accuracy_both_in_scope</t>
  </si>
  <si>
    <t xml:space="preserve">88%</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</si>
</sst>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7">
    <fill>
      <patternFill patternType="none"/>
    </fill>
    <fill>
      <patternFill patternType="gray125"/>
    </fill>
    <fill>
      <patternFill patternType="solid">
        <fgColor rgb="FF81D41A"/>
        <bgColor rgb="FF969696"/>
      </patternFill>
    </fill>
    <fill>
      <patternFill patternType="solid">
        <fgColor rgb="FFFFFF00"/>
        <bgColor rgb="FFFFFF00"/>
      </patternFill>
    </fill>
    <fill>
      <patternFill patternType="solid">
        <fgColor rgb="FFFF0000"/>
        <bgColor rgb="FF993300"/>
      </patternFill>
    </fill>
    <fill>
      <patternFill patternType="solid">
        <fgColor rgb="FFFF8000"/>
        <bgColor rgb="FFFF6600"/>
      </patternFill>
    </fill>
    <fill>
      <patternFill patternType="solid">
        <fgColor rgb="FFCCCCC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21"/>
  <sheetViews>
    <sheetView showFormulas="false" showGridLines="true" showRowColHeaders="true" showZeros="true" rightToLeft="false" tabSelected="true" showOutlineSymbols="true" defaultGridColor="true" view="normal" topLeftCell="A104" colorId="64" zoomScale="100" zoomScaleNormal="100" zoomScalePageLayoutView="100" workbookViewId="0">
      <selection pane="topLeft" activeCell="J114" activeCellId="0" sqref="J114"/>
    </sheetView>
  </sheetViews>
  <sheetFormatPr defaultColWidth="8.34375" defaultRowHeight="15" customHeight="false" zeroHeight="false" outlineLevelRow="0" outlineLevelCol="0"/>
  <cols>
    <col collapsed="false" customWidth="false" hidden="false" outlineLevel="0" max="15" min="1" style="1" width="8.34"/>
    <col collapsed="false" customWidth="true" hidden="false" outlineLevel="0" max="18" min="17" style="2" width="23.45"/>
  </cols>
  <sheetData>
    <row r="1" customFormat="false" ht="15"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3" t="s">
        <v>13</v>
      </c>
      <c r="O1" s="3" t="s">
        <v>14</v>
      </c>
      <c r="Q1" s="2" t="s">
        <v>15</v>
      </c>
      <c r="R1" s="2" t="s">
        <v>16</v>
      </c>
    </row>
    <row r="2" customFormat="false" ht="45.1" hidden="false" customHeight="false" outlineLevel="0" collapsed="false">
      <c r="A2" s="3" t="s">
        <v>17</v>
      </c>
      <c r="B2" s="3" t="s">
        <v>18</v>
      </c>
      <c r="C2" s="4" t="s">
        <v>19</v>
      </c>
      <c r="D2" s="3" t="s">
        <v>20</v>
      </c>
      <c r="E2" s="3" t="s">
        <v>20</v>
      </c>
      <c r="F2" s="3" t="n">
        <v>4</v>
      </c>
      <c r="G2" s="3" t="s">
        <v>21</v>
      </c>
      <c r="H2" s="1" t="b">
        <f aca="false">TRUE()</f>
        <v>1</v>
      </c>
      <c r="I2" s="3" t="s">
        <v>22</v>
      </c>
      <c r="J2" s="3" t="s">
        <v>22</v>
      </c>
      <c r="K2" s="1" t="b">
        <f aca="false">TRUE()</f>
        <v>1</v>
      </c>
      <c r="L2" s="1" t="b">
        <f aca="false">FALSE()</f>
        <v>0</v>
      </c>
      <c r="M2" s="1" t="b">
        <f aca="false">FALSE()</f>
        <v>0</v>
      </c>
      <c r="N2" s="1" t="b">
        <f aca="false">TRUE()</f>
        <v>1</v>
      </c>
      <c r="O2" s="1" t="b">
        <f aca="false">FALSE()</f>
        <v>0</v>
      </c>
      <c r="S2" s="5" t="s">
        <v>23</v>
      </c>
    </row>
    <row r="3" customFormat="false" ht="99.6" hidden="false" customHeight="false" outlineLevel="0" collapsed="false">
      <c r="A3" s="3" t="s">
        <v>24</v>
      </c>
      <c r="B3" s="3" t="s">
        <v>25</v>
      </c>
      <c r="C3" s="3" t="s">
        <v>26</v>
      </c>
      <c r="D3" s="3" t="s">
        <v>20</v>
      </c>
      <c r="E3" s="3" t="s">
        <v>20</v>
      </c>
      <c r="F3" s="3" t="n">
        <v>4</v>
      </c>
      <c r="G3" s="3" t="s">
        <v>27</v>
      </c>
      <c r="H3" s="1" t="b">
        <f aca="false">TRUE()</f>
        <v>1</v>
      </c>
      <c r="I3" s="3" t="s">
        <v>22</v>
      </c>
      <c r="J3" s="3" t="s">
        <v>22</v>
      </c>
      <c r="K3" s="1" t="b">
        <f aca="false">TRUE()</f>
        <v>1</v>
      </c>
      <c r="L3" s="1" t="b">
        <f aca="false">FALSE()</f>
        <v>0</v>
      </c>
      <c r="M3" s="1" t="b">
        <f aca="false">FALSE()</f>
        <v>0</v>
      </c>
      <c r="N3" s="1" t="b">
        <f aca="false">TRUE()</f>
        <v>1</v>
      </c>
      <c r="O3" s="1" t="b">
        <f aca="false">FALSE()</f>
        <v>0</v>
      </c>
      <c r="S3" s="6"/>
      <c r="T3" s="4" t="s">
        <v>28</v>
      </c>
    </row>
    <row r="4" customFormat="false" ht="66.9" hidden="false" customHeight="false" outlineLevel="0" collapsed="false">
      <c r="A4" s="3" t="s">
        <v>29</v>
      </c>
      <c r="B4" s="3" t="s">
        <v>30</v>
      </c>
      <c r="C4" s="3" t="s">
        <v>31</v>
      </c>
      <c r="D4" s="3" t="s">
        <v>20</v>
      </c>
      <c r="E4" s="3" t="s">
        <v>20</v>
      </c>
      <c r="F4" s="3" t="n">
        <v>5</v>
      </c>
      <c r="G4" s="3" t="s">
        <v>32</v>
      </c>
      <c r="H4" s="1" t="b">
        <f aca="false">TRUE()</f>
        <v>1</v>
      </c>
      <c r="I4" s="3" t="s">
        <v>22</v>
      </c>
      <c r="J4" s="3" t="s">
        <v>22</v>
      </c>
      <c r="K4" s="1" t="b">
        <f aca="false">TRUE()</f>
        <v>1</v>
      </c>
      <c r="L4" s="1" t="b">
        <f aca="false">FALSE()</f>
        <v>0</v>
      </c>
      <c r="M4" s="1" t="b">
        <f aca="false">FALSE()</f>
        <v>0</v>
      </c>
      <c r="N4" s="1" t="b">
        <f aca="false">TRUE()</f>
        <v>1</v>
      </c>
      <c r="O4" s="1" t="b">
        <f aca="false">FALSE()</f>
        <v>0</v>
      </c>
      <c r="S4" s="7"/>
      <c r="T4" s="4" t="s">
        <v>33</v>
      </c>
    </row>
    <row r="5" customFormat="false" ht="34.2" hidden="false" customHeight="false" outlineLevel="0" collapsed="false">
      <c r="A5" s="3" t="s">
        <v>34</v>
      </c>
      <c r="B5" s="3" t="s">
        <v>35</v>
      </c>
      <c r="C5" s="3" t="s">
        <v>36</v>
      </c>
      <c r="D5" s="3" t="s">
        <v>20</v>
      </c>
      <c r="E5" s="3" t="s">
        <v>20</v>
      </c>
      <c r="F5" s="3" t="n">
        <v>5</v>
      </c>
      <c r="G5" s="3" t="s">
        <v>37</v>
      </c>
      <c r="H5" s="1" t="b">
        <f aca="false">TRUE()</f>
        <v>1</v>
      </c>
      <c r="I5" s="3" t="s">
        <v>38</v>
      </c>
      <c r="J5" s="3" t="s">
        <v>39</v>
      </c>
      <c r="K5" s="6" t="b">
        <f aca="false">FALSE()</f>
        <v>0</v>
      </c>
      <c r="L5" s="1" t="b">
        <f aca="false">TRUE()</f>
        <v>1</v>
      </c>
      <c r="M5" s="1" t="b">
        <f aca="false">TRUE()</f>
        <v>1</v>
      </c>
      <c r="N5" s="1" t="b">
        <f aca="false">FALSE()</f>
        <v>0</v>
      </c>
      <c r="O5" s="1" t="b">
        <f aca="false">FALSE()</f>
        <v>0</v>
      </c>
      <c r="R5" s="2" t="s">
        <v>40</v>
      </c>
      <c r="S5" s="8"/>
      <c r="T5" s="3" t="s">
        <v>41</v>
      </c>
    </row>
    <row r="6" customFormat="false" ht="15" hidden="false" customHeight="false" outlineLevel="0" collapsed="false">
      <c r="A6" s="3" t="s">
        <v>42</v>
      </c>
      <c r="B6" s="3" t="s">
        <v>43</v>
      </c>
      <c r="C6" s="3" t="s">
        <v>44</v>
      </c>
      <c r="D6" s="3" t="s">
        <v>20</v>
      </c>
      <c r="E6" s="3" t="s">
        <v>20</v>
      </c>
      <c r="F6" s="3" t="n">
        <v>5</v>
      </c>
      <c r="G6" s="3" t="s">
        <v>45</v>
      </c>
      <c r="H6" s="1" t="b">
        <f aca="false">TRUE()</f>
        <v>1</v>
      </c>
      <c r="I6" s="3" t="s">
        <v>38</v>
      </c>
      <c r="J6" s="3" t="s">
        <v>38</v>
      </c>
      <c r="K6" s="1" t="b">
        <f aca="false">TRUE()</f>
        <v>1</v>
      </c>
      <c r="L6" s="1" t="b">
        <f aca="false">TRUE()</f>
        <v>1</v>
      </c>
      <c r="M6" s="1" t="b">
        <f aca="false">FALSE()</f>
        <v>0</v>
      </c>
      <c r="N6" s="1" t="b">
        <f aca="false">FALSE()</f>
        <v>0</v>
      </c>
      <c r="O6" s="1" t="b">
        <f aca="false">FALSE()</f>
        <v>0</v>
      </c>
    </row>
    <row r="7" customFormat="false" ht="15" hidden="false" customHeight="false" outlineLevel="0" collapsed="false">
      <c r="A7" s="3" t="s">
        <v>46</v>
      </c>
      <c r="B7" s="3" t="s">
        <v>47</v>
      </c>
      <c r="C7" s="3" t="s">
        <v>48</v>
      </c>
      <c r="D7" s="3" t="s">
        <v>49</v>
      </c>
      <c r="E7" s="3" t="s">
        <v>49</v>
      </c>
      <c r="F7" s="3" t="n">
        <v>1</v>
      </c>
      <c r="G7" s="3" t="s">
        <v>50</v>
      </c>
      <c r="H7" s="1" t="b">
        <f aca="false">TRUE()</f>
        <v>1</v>
      </c>
      <c r="I7" s="3" t="s">
        <v>51</v>
      </c>
      <c r="J7" s="3" t="s">
        <v>51</v>
      </c>
      <c r="K7" s="1" t="b">
        <f aca="false">TRUE()</f>
        <v>1</v>
      </c>
      <c r="L7" s="1" t="b">
        <f aca="false">FALSE()</f>
        <v>0</v>
      </c>
      <c r="M7" s="1" t="b">
        <f aca="false">FALSE()</f>
        <v>0</v>
      </c>
      <c r="N7" s="1" t="b">
        <f aca="false">FALSE()</f>
        <v>0</v>
      </c>
      <c r="O7" s="1" t="b">
        <f aca="false">FALSE()</f>
        <v>0</v>
      </c>
      <c r="S7" s="9"/>
      <c r="T7" s="3" t="s">
        <v>52</v>
      </c>
    </row>
    <row r="8" customFormat="false" ht="15" hidden="false" customHeight="false" outlineLevel="0" collapsed="false">
      <c r="A8" s="3" t="s">
        <v>53</v>
      </c>
      <c r="B8" s="3" t="s">
        <v>54</v>
      </c>
      <c r="C8" s="3" t="s">
        <v>55</v>
      </c>
      <c r="D8" s="3" t="s">
        <v>49</v>
      </c>
      <c r="E8" s="3" t="s">
        <v>49</v>
      </c>
      <c r="F8" s="3" t="n">
        <v>1</v>
      </c>
      <c r="G8" s="3" t="s">
        <v>56</v>
      </c>
      <c r="H8" s="1" t="b">
        <f aca="false">TRUE()</f>
        <v>1</v>
      </c>
      <c r="I8" s="3" t="s">
        <v>51</v>
      </c>
      <c r="J8" s="3" t="s">
        <v>51</v>
      </c>
      <c r="K8" s="1" t="b">
        <f aca="false">TRUE()</f>
        <v>1</v>
      </c>
      <c r="L8" s="1" t="b">
        <f aca="false">FALSE()</f>
        <v>0</v>
      </c>
      <c r="M8" s="1" t="b">
        <f aca="false">FALSE()</f>
        <v>0</v>
      </c>
      <c r="N8" s="1" t="b">
        <f aca="false">FALSE()</f>
        <v>0</v>
      </c>
      <c r="O8" s="1" t="b">
        <f aca="false">FALSE()</f>
        <v>0</v>
      </c>
    </row>
    <row r="9" customFormat="false" ht="15" hidden="false" customHeight="false" outlineLevel="0" collapsed="false">
      <c r="A9" s="3" t="s">
        <v>57</v>
      </c>
      <c r="B9" s="3" t="s">
        <v>58</v>
      </c>
      <c r="C9" s="3" t="s">
        <v>59</v>
      </c>
      <c r="D9" s="3" t="s">
        <v>20</v>
      </c>
      <c r="E9" s="3" t="s">
        <v>20</v>
      </c>
      <c r="F9" s="3" t="n">
        <v>5</v>
      </c>
      <c r="G9" s="3" t="s">
        <v>60</v>
      </c>
      <c r="H9" s="1" t="b">
        <f aca="false">TRUE()</f>
        <v>1</v>
      </c>
      <c r="I9" s="3" t="s">
        <v>38</v>
      </c>
      <c r="J9" s="3" t="s">
        <v>38</v>
      </c>
      <c r="K9" s="1" t="b">
        <f aca="false">TRUE()</f>
        <v>1</v>
      </c>
      <c r="L9" s="1" t="b">
        <f aca="false">TRUE()</f>
        <v>1</v>
      </c>
      <c r="M9" s="1" t="b">
        <f aca="false">FALSE()</f>
        <v>0</v>
      </c>
      <c r="N9" s="1" t="b">
        <f aca="false">FALSE()</f>
        <v>0</v>
      </c>
      <c r="O9" s="1" t="b">
        <f aca="false">FALSE()</f>
        <v>0</v>
      </c>
    </row>
    <row r="10" customFormat="false" ht="34.2" hidden="false" customHeight="false" outlineLevel="0" collapsed="false">
      <c r="A10" s="3" t="s">
        <v>61</v>
      </c>
      <c r="B10" s="3" t="s">
        <v>62</v>
      </c>
      <c r="C10" s="4" t="s">
        <v>63</v>
      </c>
      <c r="D10" s="3" t="s">
        <v>49</v>
      </c>
      <c r="E10" s="3" t="s">
        <v>49</v>
      </c>
      <c r="F10" s="3" t="n">
        <v>1</v>
      </c>
      <c r="G10" s="3" t="s">
        <v>64</v>
      </c>
      <c r="H10" s="1" t="b">
        <f aca="false">TRUE()</f>
        <v>1</v>
      </c>
      <c r="I10" s="3" t="s">
        <v>51</v>
      </c>
      <c r="J10" s="3" t="s">
        <v>51</v>
      </c>
      <c r="K10" s="1" t="b">
        <f aca="false">TRUE()</f>
        <v>1</v>
      </c>
      <c r="L10" s="1" t="b">
        <f aca="false">FALSE()</f>
        <v>0</v>
      </c>
      <c r="M10" s="1" t="b">
        <f aca="false">FALSE()</f>
        <v>0</v>
      </c>
      <c r="N10" s="1" t="b">
        <f aca="false">FALSE()</f>
        <v>0</v>
      </c>
      <c r="O10" s="1" t="b">
        <f aca="false">FALSE()</f>
        <v>0</v>
      </c>
    </row>
    <row r="11" customFormat="false" ht="15" hidden="false" customHeight="false" outlineLevel="0" collapsed="false">
      <c r="A11" s="3" t="s">
        <v>65</v>
      </c>
      <c r="B11" s="3" t="s">
        <v>66</v>
      </c>
      <c r="C11" s="3" t="s">
        <v>67</v>
      </c>
      <c r="D11" s="3" t="s">
        <v>49</v>
      </c>
      <c r="E11" s="3" t="s">
        <v>49</v>
      </c>
      <c r="F11" s="3" t="n">
        <v>1</v>
      </c>
      <c r="G11" s="3" t="s">
        <v>68</v>
      </c>
      <c r="H11" s="1" t="b">
        <f aca="false">TRUE()</f>
        <v>1</v>
      </c>
      <c r="I11" s="3" t="s">
        <v>51</v>
      </c>
      <c r="J11" s="3" t="s">
        <v>51</v>
      </c>
      <c r="K11" s="1" t="b">
        <f aca="false">TRUE()</f>
        <v>1</v>
      </c>
      <c r="L11" s="1" t="b">
        <f aca="false">FALSE()</f>
        <v>0</v>
      </c>
      <c r="M11" s="1" t="b">
        <f aca="false">FALSE()</f>
        <v>0</v>
      </c>
      <c r="N11" s="1" t="b">
        <f aca="false">FALSE()</f>
        <v>0</v>
      </c>
      <c r="O11" s="1" t="b">
        <f aca="false">FALSE()</f>
        <v>0</v>
      </c>
    </row>
    <row r="12" customFormat="false" ht="45.1" hidden="false" customHeight="false" outlineLevel="0" collapsed="false">
      <c r="A12" s="3" t="s">
        <v>69</v>
      </c>
      <c r="B12" s="3" t="s">
        <v>70</v>
      </c>
      <c r="C12" s="4" t="s">
        <v>71</v>
      </c>
      <c r="D12" s="3" t="s">
        <v>49</v>
      </c>
      <c r="E12" s="3" t="s">
        <v>49</v>
      </c>
      <c r="F12" s="3" t="n">
        <v>2</v>
      </c>
      <c r="G12" s="3" t="s">
        <v>72</v>
      </c>
      <c r="H12" s="1" t="b">
        <f aca="false">TRUE()</f>
        <v>1</v>
      </c>
      <c r="I12" s="3" t="s">
        <v>51</v>
      </c>
      <c r="J12" s="3" t="s">
        <v>51</v>
      </c>
      <c r="K12" s="1" t="b">
        <f aca="false">TRUE()</f>
        <v>1</v>
      </c>
      <c r="L12" s="1" t="b">
        <f aca="false">FALSE()</f>
        <v>0</v>
      </c>
      <c r="M12" s="1" t="b">
        <f aca="false">FALSE()</f>
        <v>0</v>
      </c>
      <c r="N12" s="1" t="b">
        <f aca="false">FALSE()</f>
        <v>0</v>
      </c>
      <c r="O12" s="1" t="b">
        <f aca="false">FALSE()</f>
        <v>0</v>
      </c>
    </row>
    <row r="13" customFormat="false" ht="15" hidden="false" customHeight="false" outlineLevel="0" collapsed="false">
      <c r="A13" s="3" t="s">
        <v>73</v>
      </c>
      <c r="B13" s="3" t="s">
        <v>74</v>
      </c>
      <c r="C13" s="3" t="s">
        <v>75</v>
      </c>
      <c r="D13" s="3" t="s">
        <v>49</v>
      </c>
      <c r="E13" s="3" t="s">
        <v>49</v>
      </c>
      <c r="F13" s="3" t="n">
        <v>2</v>
      </c>
      <c r="G13" s="3" t="s">
        <v>76</v>
      </c>
      <c r="H13" s="1" t="b">
        <f aca="false">TRUE()</f>
        <v>1</v>
      </c>
      <c r="I13" s="3" t="s">
        <v>51</v>
      </c>
      <c r="J13" s="3" t="s">
        <v>51</v>
      </c>
      <c r="K13" s="1" t="b">
        <f aca="false">TRUE()</f>
        <v>1</v>
      </c>
      <c r="L13" s="1" t="b">
        <f aca="false">FALSE()</f>
        <v>0</v>
      </c>
      <c r="M13" s="1" t="b">
        <f aca="false">FALSE()</f>
        <v>0</v>
      </c>
      <c r="N13" s="1" t="b">
        <f aca="false">FALSE()</f>
        <v>0</v>
      </c>
      <c r="O13" s="1" t="b">
        <f aca="false">FALSE()</f>
        <v>0</v>
      </c>
    </row>
    <row r="14" customFormat="false" ht="15" hidden="false" customHeight="false" outlineLevel="0" collapsed="false">
      <c r="A14" s="3" t="s">
        <v>77</v>
      </c>
      <c r="B14" s="3" t="s">
        <v>78</v>
      </c>
      <c r="C14" s="3" t="s">
        <v>79</v>
      </c>
      <c r="D14" s="3" t="s">
        <v>20</v>
      </c>
      <c r="E14" s="3" t="s">
        <v>20</v>
      </c>
      <c r="F14" s="3" t="n">
        <v>4</v>
      </c>
      <c r="G14" s="3" t="s">
        <v>80</v>
      </c>
      <c r="H14" s="1" t="b">
        <f aca="false">TRUE()</f>
        <v>1</v>
      </c>
      <c r="I14" s="3" t="s">
        <v>81</v>
      </c>
      <c r="J14" s="3" t="s">
        <v>81</v>
      </c>
      <c r="K14" s="1" t="b">
        <f aca="false">TRUE()</f>
        <v>1</v>
      </c>
      <c r="L14" s="1" t="b">
        <f aca="false">FALSE()</f>
        <v>0</v>
      </c>
      <c r="M14" s="1" t="b">
        <f aca="false">TRUE()</f>
        <v>1</v>
      </c>
      <c r="N14" s="1" t="b">
        <f aca="false">FALSE()</f>
        <v>0</v>
      </c>
      <c r="O14" s="1" t="b">
        <f aca="false">FALSE()</f>
        <v>0</v>
      </c>
    </row>
    <row r="15" customFormat="false" ht="15" hidden="false" customHeight="false" outlineLevel="0" collapsed="false">
      <c r="A15" s="3" t="s">
        <v>82</v>
      </c>
      <c r="B15" s="3" t="s">
        <v>83</v>
      </c>
      <c r="C15" s="3" t="s">
        <v>84</v>
      </c>
      <c r="D15" s="3" t="s">
        <v>20</v>
      </c>
      <c r="E15" s="3" t="s">
        <v>20</v>
      </c>
      <c r="F15" s="3" t="n">
        <v>4</v>
      </c>
      <c r="G15" s="3" t="s">
        <v>85</v>
      </c>
      <c r="H15" s="1" t="b">
        <f aca="false">TRUE()</f>
        <v>1</v>
      </c>
      <c r="I15" s="3" t="s">
        <v>38</v>
      </c>
      <c r="J15" s="3" t="s">
        <v>38</v>
      </c>
      <c r="K15" s="1" t="b">
        <f aca="false">TRUE()</f>
        <v>1</v>
      </c>
      <c r="L15" s="1" t="b">
        <f aca="false">TRUE()</f>
        <v>1</v>
      </c>
      <c r="M15" s="1" t="b">
        <f aca="false">FALSE()</f>
        <v>0</v>
      </c>
      <c r="N15" s="1" t="b">
        <f aca="false">FALSE()</f>
        <v>0</v>
      </c>
      <c r="O15" s="1" t="b">
        <f aca="false">FALSE()</f>
        <v>0</v>
      </c>
    </row>
    <row r="16" customFormat="false" ht="15" hidden="false" customHeight="false" outlineLevel="0" collapsed="false">
      <c r="A16" s="3" t="s">
        <v>86</v>
      </c>
      <c r="B16" s="3" t="s">
        <v>87</v>
      </c>
      <c r="C16" s="3" t="s">
        <v>88</v>
      </c>
      <c r="D16" s="3" t="s">
        <v>49</v>
      </c>
      <c r="E16" s="3" t="s">
        <v>49</v>
      </c>
      <c r="F16" s="3" t="n">
        <v>2</v>
      </c>
      <c r="G16" s="3" t="s">
        <v>89</v>
      </c>
      <c r="H16" s="1" t="b">
        <f aca="false">TRUE()</f>
        <v>1</v>
      </c>
      <c r="I16" s="3" t="s">
        <v>51</v>
      </c>
      <c r="J16" s="3" t="s">
        <v>51</v>
      </c>
      <c r="K16" s="1" t="b">
        <f aca="false">TRUE()</f>
        <v>1</v>
      </c>
      <c r="L16" s="1" t="b">
        <f aca="false">FALSE()</f>
        <v>0</v>
      </c>
      <c r="M16" s="1" t="b">
        <f aca="false">FALSE()</f>
        <v>0</v>
      </c>
      <c r="N16" s="1" t="b">
        <f aca="false">FALSE()</f>
        <v>0</v>
      </c>
      <c r="O16" s="1" t="b">
        <f aca="false">FALSE()</f>
        <v>0</v>
      </c>
    </row>
    <row r="17" customFormat="false" ht="15" hidden="false" customHeight="false" outlineLevel="0" collapsed="false">
      <c r="A17" s="3" t="s">
        <v>90</v>
      </c>
      <c r="B17" s="3" t="s">
        <v>91</v>
      </c>
      <c r="C17" s="3" t="s">
        <v>92</v>
      </c>
      <c r="D17" s="3" t="s">
        <v>20</v>
      </c>
      <c r="E17" s="3" t="s">
        <v>20</v>
      </c>
      <c r="F17" s="3" t="n">
        <v>5</v>
      </c>
      <c r="G17" s="3" t="s">
        <v>93</v>
      </c>
      <c r="H17" s="1" t="b">
        <f aca="false">TRUE()</f>
        <v>1</v>
      </c>
      <c r="I17" s="3" t="s">
        <v>38</v>
      </c>
      <c r="J17" s="3" t="s">
        <v>38</v>
      </c>
      <c r="K17" s="1" t="b">
        <f aca="false">TRUE()</f>
        <v>1</v>
      </c>
      <c r="L17" s="1" t="b">
        <f aca="false">TRUE()</f>
        <v>1</v>
      </c>
      <c r="M17" s="1" t="b">
        <f aca="false">FALSE()</f>
        <v>0</v>
      </c>
      <c r="N17" s="1" t="b">
        <f aca="false">FALSE()</f>
        <v>0</v>
      </c>
      <c r="O17" s="1" t="b">
        <f aca="false">FALSE()</f>
        <v>0</v>
      </c>
    </row>
    <row r="18" customFormat="false" ht="15" hidden="false" customHeight="false" outlineLevel="0" collapsed="false">
      <c r="A18" s="3" t="s">
        <v>94</v>
      </c>
      <c r="B18" s="3" t="s">
        <v>95</v>
      </c>
      <c r="C18" s="3" t="s">
        <v>96</v>
      </c>
      <c r="D18" s="3" t="s">
        <v>20</v>
      </c>
      <c r="E18" s="3" t="s">
        <v>20</v>
      </c>
      <c r="F18" s="3" t="n">
        <v>5</v>
      </c>
      <c r="G18" s="3" t="s">
        <v>97</v>
      </c>
      <c r="H18" s="1" t="b">
        <f aca="false">TRUE()</f>
        <v>1</v>
      </c>
      <c r="I18" s="3" t="s">
        <v>22</v>
      </c>
      <c r="J18" s="3" t="s">
        <v>22</v>
      </c>
      <c r="K18" s="1" t="b">
        <f aca="false">TRUE()</f>
        <v>1</v>
      </c>
      <c r="L18" s="1" t="b">
        <f aca="false">FALSE()</f>
        <v>0</v>
      </c>
      <c r="M18" s="1" t="b">
        <f aca="false">FALSE()</f>
        <v>0</v>
      </c>
      <c r="N18" s="1" t="b">
        <f aca="false">TRUE()</f>
        <v>1</v>
      </c>
      <c r="O18" s="1" t="b">
        <f aca="false">FALSE()</f>
        <v>0</v>
      </c>
    </row>
    <row r="19" customFormat="false" ht="15" hidden="false" customHeight="false" outlineLevel="0" collapsed="false">
      <c r="A19" s="3" t="s">
        <v>98</v>
      </c>
      <c r="B19" s="3" t="s">
        <v>99</v>
      </c>
      <c r="C19" s="3" t="s">
        <v>100</v>
      </c>
      <c r="D19" s="3" t="s">
        <v>49</v>
      </c>
      <c r="E19" s="3" t="s">
        <v>49</v>
      </c>
      <c r="F19" s="3" t="n">
        <v>2</v>
      </c>
      <c r="G19" s="3" t="s">
        <v>101</v>
      </c>
      <c r="H19" s="1" t="b">
        <f aca="false">TRUE()</f>
        <v>1</v>
      </c>
      <c r="I19" s="3" t="s">
        <v>51</v>
      </c>
      <c r="J19" s="3" t="s">
        <v>51</v>
      </c>
      <c r="K19" s="1" t="b">
        <f aca="false">TRUE()</f>
        <v>1</v>
      </c>
      <c r="L19" s="1" t="b">
        <f aca="false">FALSE()</f>
        <v>0</v>
      </c>
      <c r="M19" s="1" t="b">
        <f aca="false">FALSE()</f>
        <v>0</v>
      </c>
      <c r="N19" s="1" t="b">
        <f aca="false">FALSE()</f>
        <v>0</v>
      </c>
      <c r="O19" s="1" t="b">
        <f aca="false">FALSE()</f>
        <v>0</v>
      </c>
    </row>
    <row r="20" customFormat="false" ht="15" hidden="false" customHeight="false" outlineLevel="0" collapsed="false">
      <c r="A20" s="3" t="s">
        <v>102</v>
      </c>
      <c r="B20" s="3" t="s">
        <v>103</v>
      </c>
      <c r="C20" s="3" t="s">
        <v>104</v>
      </c>
      <c r="D20" s="3" t="s">
        <v>20</v>
      </c>
      <c r="E20" s="3" t="s">
        <v>20</v>
      </c>
      <c r="F20" s="3" t="n">
        <v>5</v>
      </c>
      <c r="G20" s="3" t="s">
        <v>105</v>
      </c>
      <c r="H20" s="1" t="b">
        <f aca="false">TRUE()</f>
        <v>1</v>
      </c>
      <c r="I20" s="3" t="s">
        <v>38</v>
      </c>
      <c r="J20" s="3" t="s">
        <v>38</v>
      </c>
      <c r="K20" s="1" t="b">
        <f aca="false">TRUE()</f>
        <v>1</v>
      </c>
      <c r="L20" s="1" t="b">
        <f aca="false">TRUE()</f>
        <v>1</v>
      </c>
      <c r="M20" s="1" t="b">
        <f aca="false">FALSE()</f>
        <v>0</v>
      </c>
      <c r="N20" s="1" t="b">
        <f aca="false">FALSE()</f>
        <v>0</v>
      </c>
      <c r="O20" s="1" t="b">
        <f aca="false">FALSE()</f>
        <v>0</v>
      </c>
    </row>
    <row r="21" customFormat="false" ht="15" hidden="false" customHeight="false" outlineLevel="0" collapsed="false">
      <c r="A21" s="3" t="s">
        <v>106</v>
      </c>
      <c r="B21" s="3" t="s">
        <v>107</v>
      </c>
      <c r="C21" s="3" t="s">
        <v>108</v>
      </c>
      <c r="D21" s="3" t="s">
        <v>20</v>
      </c>
      <c r="E21" s="3" t="s">
        <v>20</v>
      </c>
      <c r="F21" s="3" t="n">
        <v>5</v>
      </c>
      <c r="G21" s="3" t="s">
        <v>109</v>
      </c>
      <c r="H21" s="1" t="b">
        <f aca="false">TRUE()</f>
        <v>1</v>
      </c>
      <c r="I21" s="3" t="s">
        <v>81</v>
      </c>
      <c r="J21" s="3" t="s">
        <v>81</v>
      </c>
      <c r="K21" s="1" t="b">
        <f aca="false">TRUE()</f>
        <v>1</v>
      </c>
      <c r="L21" s="1" t="b">
        <f aca="false">FALSE()</f>
        <v>0</v>
      </c>
      <c r="M21" s="1" t="b">
        <f aca="false">TRUE()</f>
        <v>1</v>
      </c>
      <c r="N21" s="1" t="b">
        <f aca="false">FALSE()</f>
        <v>0</v>
      </c>
      <c r="O21" s="1" t="b">
        <f aca="false">FALSE()</f>
        <v>0</v>
      </c>
    </row>
    <row r="22" customFormat="false" ht="15" hidden="false" customHeight="false" outlineLevel="0" collapsed="false">
      <c r="A22" s="3" t="s">
        <v>110</v>
      </c>
      <c r="B22" s="3" t="s">
        <v>111</v>
      </c>
      <c r="C22" s="3" t="s">
        <v>112</v>
      </c>
      <c r="D22" s="3" t="s">
        <v>20</v>
      </c>
      <c r="E22" s="3" t="s">
        <v>20</v>
      </c>
      <c r="F22" s="3" t="n">
        <v>5</v>
      </c>
      <c r="G22" s="3" t="s">
        <v>113</v>
      </c>
      <c r="H22" s="1" t="b">
        <f aca="false">TRUE()</f>
        <v>1</v>
      </c>
      <c r="I22" s="3" t="s">
        <v>81</v>
      </c>
      <c r="J22" s="3" t="s">
        <v>81</v>
      </c>
      <c r="K22" s="1" t="b">
        <f aca="false">TRUE()</f>
        <v>1</v>
      </c>
      <c r="L22" s="1" t="b">
        <f aca="false">FALSE()</f>
        <v>0</v>
      </c>
      <c r="M22" s="1" t="b">
        <f aca="false">TRUE()</f>
        <v>1</v>
      </c>
      <c r="N22" s="1" t="b">
        <f aca="false">FALSE()</f>
        <v>0</v>
      </c>
      <c r="O22" s="1" t="b">
        <f aca="false">FALSE()</f>
        <v>0</v>
      </c>
    </row>
    <row r="23" customFormat="false" ht="15" hidden="false" customHeight="false" outlineLevel="0" collapsed="false">
      <c r="A23" s="3" t="s">
        <v>114</v>
      </c>
      <c r="B23" s="3" t="s">
        <v>115</v>
      </c>
      <c r="C23" s="3" t="s">
        <v>116</v>
      </c>
      <c r="D23" s="3" t="s">
        <v>49</v>
      </c>
      <c r="E23" s="3" t="s">
        <v>49</v>
      </c>
      <c r="F23" s="3" t="n">
        <v>1</v>
      </c>
      <c r="G23" s="3" t="s">
        <v>117</v>
      </c>
      <c r="H23" s="1" t="b">
        <f aca="false">TRUE()</f>
        <v>1</v>
      </c>
      <c r="I23" s="3" t="s">
        <v>51</v>
      </c>
      <c r="J23" s="3" t="s">
        <v>51</v>
      </c>
      <c r="K23" s="1" t="b">
        <f aca="false">TRUE()</f>
        <v>1</v>
      </c>
      <c r="L23" s="1" t="b">
        <f aca="false">FALSE()</f>
        <v>0</v>
      </c>
      <c r="M23" s="1" t="b">
        <f aca="false">FALSE()</f>
        <v>0</v>
      </c>
      <c r="N23" s="1" t="b">
        <f aca="false">FALSE()</f>
        <v>0</v>
      </c>
      <c r="O23" s="1" t="b">
        <f aca="false">FALSE()</f>
        <v>0</v>
      </c>
    </row>
    <row r="24" customFormat="false" ht="15" hidden="false" customHeight="false" outlineLevel="0" collapsed="false">
      <c r="A24" s="3" t="s">
        <v>118</v>
      </c>
      <c r="B24" s="3" t="s">
        <v>119</v>
      </c>
      <c r="C24" s="3" t="s">
        <v>120</v>
      </c>
      <c r="D24" s="3" t="s">
        <v>49</v>
      </c>
      <c r="E24" s="3" t="s">
        <v>49</v>
      </c>
      <c r="F24" s="3" t="n">
        <v>2</v>
      </c>
      <c r="G24" s="3" t="s">
        <v>121</v>
      </c>
      <c r="H24" s="1" t="b">
        <f aca="false">TRUE()</f>
        <v>1</v>
      </c>
      <c r="I24" s="3" t="s">
        <v>51</v>
      </c>
      <c r="J24" s="3" t="s">
        <v>51</v>
      </c>
      <c r="K24" s="1" t="b">
        <f aca="false">TRUE()</f>
        <v>1</v>
      </c>
      <c r="L24" s="1" t="b">
        <f aca="false">FALSE()</f>
        <v>0</v>
      </c>
      <c r="M24" s="1" t="b">
        <f aca="false">FALSE()</f>
        <v>0</v>
      </c>
      <c r="N24" s="1" t="b">
        <f aca="false">FALSE()</f>
        <v>0</v>
      </c>
      <c r="O24" s="1" t="b">
        <f aca="false">FALSE()</f>
        <v>0</v>
      </c>
    </row>
    <row r="25" customFormat="false" ht="15" hidden="false" customHeight="false" outlineLevel="0" collapsed="false">
      <c r="A25" s="3" t="s">
        <v>122</v>
      </c>
      <c r="B25" s="3" t="s">
        <v>123</v>
      </c>
      <c r="C25" s="3" t="s">
        <v>124</v>
      </c>
      <c r="D25" s="3" t="s">
        <v>20</v>
      </c>
      <c r="E25" s="3" t="s">
        <v>20</v>
      </c>
      <c r="F25" s="3" t="n">
        <v>5</v>
      </c>
      <c r="G25" s="3" t="s">
        <v>125</v>
      </c>
      <c r="H25" s="1" t="b">
        <f aca="false">TRUE()</f>
        <v>1</v>
      </c>
      <c r="I25" s="3" t="s">
        <v>39</v>
      </c>
      <c r="J25" s="3" t="s">
        <v>39</v>
      </c>
      <c r="K25" s="1" t="b">
        <f aca="false">TRUE()</f>
        <v>1</v>
      </c>
      <c r="L25" s="1" t="b">
        <f aca="false">FALSE()</f>
        <v>0</v>
      </c>
      <c r="M25" s="1" t="b">
        <f aca="false">FALSE()</f>
        <v>0</v>
      </c>
      <c r="N25" s="1" t="b">
        <f aca="false">FALSE()</f>
        <v>0</v>
      </c>
      <c r="O25" s="1" t="b">
        <f aca="false">TRUE()</f>
        <v>1</v>
      </c>
    </row>
    <row r="26" customFormat="false" ht="15" hidden="false" customHeight="false" outlineLevel="0" collapsed="false">
      <c r="A26" s="3" t="s">
        <v>126</v>
      </c>
      <c r="B26" s="3" t="s">
        <v>127</v>
      </c>
      <c r="C26" s="3" t="s">
        <v>128</v>
      </c>
      <c r="D26" s="3" t="s">
        <v>20</v>
      </c>
      <c r="E26" s="3" t="s">
        <v>20</v>
      </c>
      <c r="F26" s="3" t="n">
        <v>5</v>
      </c>
      <c r="G26" s="3" t="s">
        <v>129</v>
      </c>
      <c r="H26" s="1" t="b">
        <f aca="false">TRUE()</f>
        <v>1</v>
      </c>
      <c r="I26" s="3" t="s">
        <v>38</v>
      </c>
      <c r="J26" s="3" t="s">
        <v>38</v>
      </c>
      <c r="K26" s="1" t="b">
        <f aca="false">TRUE()</f>
        <v>1</v>
      </c>
      <c r="L26" s="1" t="b">
        <f aca="false">TRUE()</f>
        <v>1</v>
      </c>
      <c r="M26" s="1" t="b">
        <f aca="false">FALSE()</f>
        <v>0</v>
      </c>
      <c r="N26" s="1" t="b">
        <f aca="false">FALSE()</f>
        <v>0</v>
      </c>
      <c r="O26" s="1" t="b">
        <f aca="false">FALSE()</f>
        <v>0</v>
      </c>
    </row>
    <row r="27" customFormat="false" ht="15" hidden="false" customHeight="false" outlineLevel="0" collapsed="false">
      <c r="A27" s="3" t="s">
        <v>130</v>
      </c>
      <c r="B27" s="3" t="s">
        <v>131</v>
      </c>
      <c r="C27" s="3" t="s">
        <v>132</v>
      </c>
      <c r="D27" s="3" t="s">
        <v>49</v>
      </c>
      <c r="E27" s="3" t="s">
        <v>49</v>
      </c>
      <c r="F27" s="3" t="n">
        <v>2</v>
      </c>
      <c r="G27" s="3" t="s">
        <v>133</v>
      </c>
      <c r="H27" s="1" t="b">
        <f aca="false">TRUE()</f>
        <v>1</v>
      </c>
      <c r="I27" s="3" t="s">
        <v>51</v>
      </c>
      <c r="J27" s="3" t="s">
        <v>51</v>
      </c>
      <c r="K27" s="1" t="b">
        <f aca="false">TRUE()</f>
        <v>1</v>
      </c>
      <c r="L27" s="1" t="b">
        <f aca="false">FALSE()</f>
        <v>0</v>
      </c>
      <c r="M27" s="1" t="b">
        <f aca="false">FALSE()</f>
        <v>0</v>
      </c>
      <c r="N27" s="1" t="b">
        <f aca="false">FALSE()</f>
        <v>0</v>
      </c>
      <c r="O27" s="1" t="b">
        <f aca="false">FALSE()</f>
        <v>0</v>
      </c>
    </row>
    <row r="28" customFormat="false" ht="15" hidden="false" customHeight="false" outlineLevel="0" collapsed="false">
      <c r="A28" s="3" t="s">
        <v>134</v>
      </c>
      <c r="B28" s="3" t="s">
        <v>135</v>
      </c>
      <c r="C28" s="3" t="s">
        <v>136</v>
      </c>
      <c r="D28" s="3" t="s">
        <v>49</v>
      </c>
      <c r="E28" s="3" t="s">
        <v>49</v>
      </c>
      <c r="F28" s="3" t="n">
        <v>2</v>
      </c>
      <c r="G28" s="3" t="s">
        <v>137</v>
      </c>
      <c r="H28" s="1" t="b">
        <f aca="false">TRUE()</f>
        <v>1</v>
      </c>
      <c r="I28" s="3" t="s">
        <v>51</v>
      </c>
      <c r="J28" s="3" t="s">
        <v>51</v>
      </c>
      <c r="K28" s="1" t="b">
        <f aca="false">TRUE()</f>
        <v>1</v>
      </c>
      <c r="L28" s="1" t="b">
        <f aca="false">FALSE()</f>
        <v>0</v>
      </c>
      <c r="M28" s="1" t="b">
        <f aca="false">FALSE()</f>
        <v>0</v>
      </c>
      <c r="N28" s="1" t="b">
        <f aca="false">FALSE()</f>
        <v>0</v>
      </c>
      <c r="O28" s="1" t="b">
        <f aca="false">FALSE()</f>
        <v>0</v>
      </c>
    </row>
    <row r="29" customFormat="false" ht="15" hidden="false" customHeight="false" outlineLevel="0" collapsed="false">
      <c r="A29" s="3" t="s">
        <v>138</v>
      </c>
      <c r="B29" s="3" t="s">
        <v>139</v>
      </c>
      <c r="C29" s="3" t="s">
        <v>140</v>
      </c>
      <c r="D29" s="3" t="s">
        <v>20</v>
      </c>
      <c r="E29" s="3" t="s">
        <v>20</v>
      </c>
      <c r="F29" s="3" t="n">
        <v>4</v>
      </c>
      <c r="G29" s="3" t="s">
        <v>141</v>
      </c>
      <c r="H29" s="1" t="b">
        <f aca="false">TRUE()</f>
        <v>1</v>
      </c>
      <c r="I29" s="3" t="s">
        <v>38</v>
      </c>
      <c r="J29" s="3" t="s">
        <v>38</v>
      </c>
      <c r="K29" s="1" t="b">
        <f aca="false">TRUE()</f>
        <v>1</v>
      </c>
      <c r="L29" s="1" t="b">
        <f aca="false">TRUE()</f>
        <v>1</v>
      </c>
      <c r="M29" s="1" t="b">
        <f aca="false">FALSE()</f>
        <v>0</v>
      </c>
      <c r="N29" s="1" t="b">
        <f aca="false">FALSE()</f>
        <v>0</v>
      </c>
      <c r="O29" s="1" t="b">
        <f aca="false">FALSE()</f>
        <v>0</v>
      </c>
    </row>
    <row r="30" customFormat="false" ht="15" hidden="false" customHeight="false" outlineLevel="0" collapsed="false">
      <c r="A30" s="3" t="s">
        <v>142</v>
      </c>
      <c r="B30" s="3" t="s">
        <v>143</v>
      </c>
      <c r="C30" s="3" t="s">
        <v>144</v>
      </c>
      <c r="D30" s="3" t="s">
        <v>49</v>
      </c>
      <c r="E30" s="3" t="s">
        <v>49</v>
      </c>
      <c r="F30" s="3" t="n">
        <v>1</v>
      </c>
      <c r="G30" s="3" t="s">
        <v>145</v>
      </c>
      <c r="H30" s="1" t="b">
        <f aca="false">TRUE()</f>
        <v>1</v>
      </c>
      <c r="I30" s="3" t="s">
        <v>51</v>
      </c>
      <c r="J30" s="3" t="s">
        <v>51</v>
      </c>
      <c r="K30" s="1" t="b">
        <f aca="false">TRUE()</f>
        <v>1</v>
      </c>
      <c r="L30" s="1" t="b">
        <f aca="false">FALSE()</f>
        <v>0</v>
      </c>
      <c r="M30" s="1" t="b">
        <f aca="false">FALSE()</f>
        <v>0</v>
      </c>
      <c r="N30" s="1" t="b">
        <f aca="false">FALSE()</f>
        <v>0</v>
      </c>
      <c r="O30" s="1" t="b">
        <f aca="false">FALSE()</f>
        <v>0</v>
      </c>
    </row>
    <row r="31" customFormat="false" ht="15" hidden="false" customHeight="false" outlineLevel="0" collapsed="false">
      <c r="A31" s="3" t="s">
        <v>146</v>
      </c>
      <c r="B31" s="3" t="s">
        <v>147</v>
      </c>
      <c r="C31" s="3" t="s">
        <v>148</v>
      </c>
      <c r="D31" s="3" t="s">
        <v>49</v>
      </c>
      <c r="E31" s="3" t="s">
        <v>49</v>
      </c>
      <c r="F31" s="3" t="n">
        <v>2</v>
      </c>
      <c r="G31" s="3" t="s">
        <v>149</v>
      </c>
      <c r="H31" s="1" t="b">
        <f aca="false">TRUE()</f>
        <v>1</v>
      </c>
      <c r="I31" s="3" t="s">
        <v>51</v>
      </c>
      <c r="J31" s="3" t="s">
        <v>51</v>
      </c>
      <c r="K31" s="1" t="b">
        <f aca="false">TRUE()</f>
        <v>1</v>
      </c>
      <c r="L31" s="1" t="b">
        <f aca="false">FALSE()</f>
        <v>0</v>
      </c>
      <c r="M31" s="1" t="b">
        <f aca="false">FALSE()</f>
        <v>0</v>
      </c>
      <c r="N31" s="1" t="b">
        <f aca="false">FALSE()</f>
        <v>0</v>
      </c>
      <c r="O31" s="1" t="b">
        <f aca="false">FALSE()</f>
        <v>0</v>
      </c>
    </row>
    <row r="32" customFormat="false" ht="15" hidden="false" customHeight="false" outlineLevel="0" collapsed="false">
      <c r="A32" s="3" t="s">
        <v>150</v>
      </c>
      <c r="B32" s="3" t="s">
        <v>151</v>
      </c>
      <c r="C32" s="3" t="s">
        <v>152</v>
      </c>
      <c r="D32" s="3" t="s">
        <v>20</v>
      </c>
      <c r="E32" s="3" t="s">
        <v>20</v>
      </c>
      <c r="F32" s="3" t="n">
        <v>5</v>
      </c>
      <c r="G32" s="3" t="s">
        <v>153</v>
      </c>
      <c r="H32" s="1" t="b">
        <f aca="false">TRUE()</f>
        <v>1</v>
      </c>
      <c r="I32" s="3" t="s">
        <v>22</v>
      </c>
      <c r="J32" s="3" t="s">
        <v>22</v>
      </c>
      <c r="K32" s="1" t="b">
        <f aca="false">TRUE()</f>
        <v>1</v>
      </c>
      <c r="L32" s="1" t="b">
        <f aca="false">FALSE()</f>
        <v>0</v>
      </c>
      <c r="M32" s="1" t="b">
        <f aca="false">FALSE()</f>
        <v>0</v>
      </c>
      <c r="N32" s="1" t="b">
        <f aca="false">TRUE()</f>
        <v>1</v>
      </c>
      <c r="O32" s="1" t="b">
        <f aca="false">FALSE()</f>
        <v>0</v>
      </c>
    </row>
    <row r="33" customFormat="false" ht="15" hidden="false" customHeight="false" outlineLevel="0" collapsed="false">
      <c r="A33" s="3" t="s">
        <v>154</v>
      </c>
      <c r="B33" s="3" t="s">
        <v>155</v>
      </c>
      <c r="C33" s="3" t="s">
        <v>156</v>
      </c>
      <c r="D33" s="3" t="s">
        <v>49</v>
      </c>
      <c r="E33" s="3" t="s">
        <v>49</v>
      </c>
      <c r="F33" s="3" t="n">
        <v>5</v>
      </c>
      <c r="G33" s="3" t="s">
        <v>157</v>
      </c>
      <c r="H33" s="1" t="b">
        <f aca="false">TRUE()</f>
        <v>1</v>
      </c>
      <c r="I33" s="3" t="s">
        <v>51</v>
      </c>
      <c r="J33" s="3" t="s">
        <v>51</v>
      </c>
      <c r="K33" s="1" t="b">
        <f aca="false">TRUE()</f>
        <v>1</v>
      </c>
      <c r="L33" s="1" t="b">
        <f aca="false">FALSE()</f>
        <v>0</v>
      </c>
      <c r="M33" s="1" t="b">
        <f aca="false">FALSE()</f>
        <v>0</v>
      </c>
      <c r="N33" s="1" t="b">
        <f aca="false">FALSE()</f>
        <v>0</v>
      </c>
      <c r="O33" s="1" t="b">
        <f aca="false">FALSE()</f>
        <v>0</v>
      </c>
    </row>
    <row r="34" customFormat="false" ht="45.1" hidden="false" customHeight="false" outlineLevel="0" collapsed="false">
      <c r="A34" s="3" t="s">
        <v>158</v>
      </c>
      <c r="B34" s="3" t="s">
        <v>159</v>
      </c>
      <c r="C34" s="4" t="s">
        <v>160</v>
      </c>
      <c r="D34" s="3" t="s">
        <v>20</v>
      </c>
      <c r="E34" s="3" t="s">
        <v>20</v>
      </c>
      <c r="F34" s="3" t="n">
        <v>5</v>
      </c>
      <c r="G34" s="3" t="s">
        <v>161</v>
      </c>
      <c r="H34" s="1" t="b">
        <f aca="false">TRUE()</f>
        <v>1</v>
      </c>
      <c r="I34" s="3" t="s">
        <v>22</v>
      </c>
      <c r="J34" s="3" t="s">
        <v>22</v>
      </c>
      <c r="K34" s="1" t="b">
        <f aca="false">TRUE()</f>
        <v>1</v>
      </c>
      <c r="L34" s="1" t="b">
        <f aca="false">FALSE()</f>
        <v>0</v>
      </c>
      <c r="M34" s="1" t="b">
        <f aca="false">FALSE()</f>
        <v>0</v>
      </c>
      <c r="N34" s="1" t="b">
        <f aca="false">TRUE()</f>
        <v>1</v>
      </c>
      <c r="O34" s="1" t="b">
        <f aca="false">FALSE()</f>
        <v>0</v>
      </c>
    </row>
    <row r="35" customFormat="false" ht="15" hidden="false" customHeight="false" outlineLevel="0" collapsed="false">
      <c r="A35" s="3" t="s">
        <v>162</v>
      </c>
      <c r="B35" s="3" t="s">
        <v>163</v>
      </c>
      <c r="C35" s="3" t="s">
        <v>164</v>
      </c>
      <c r="D35" s="3" t="s">
        <v>20</v>
      </c>
      <c r="E35" s="3" t="s">
        <v>20</v>
      </c>
      <c r="F35" s="3" t="n">
        <v>4</v>
      </c>
      <c r="G35" s="3" t="s">
        <v>165</v>
      </c>
      <c r="H35" s="1" t="b">
        <f aca="false">TRUE()</f>
        <v>1</v>
      </c>
      <c r="I35" s="3" t="s">
        <v>81</v>
      </c>
      <c r="J35" s="3" t="s">
        <v>81</v>
      </c>
      <c r="K35" s="1" t="b">
        <f aca="false">TRUE()</f>
        <v>1</v>
      </c>
      <c r="L35" s="1" t="b">
        <f aca="false">FALSE()</f>
        <v>0</v>
      </c>
      <c r="M35" s="1" t="b">
        <f aca="false">TRUE()</f>
        <v>1</v>
      </c>
      <c r="N35" s="1" t="b">
        <f aca="false">FALSE()</f>
        <v>0</v>
      </c>
      <c r="O35" s="1" t="b">
        <f aca="false">FALSE()</f>
        <v>0</v>
      </c>
    </row>
    <row r="36" customFormat="false" ht="15" hidden="false" customHeight="false" outlineLevel="0" collapsed="false">
      <c r="A36" s="3" t="s">
        <v>166</v>
      </c>
      <c r="B36" s="3" t="s">
        <v>167</v>
      </c>
      <c r="C36" s="3" t="s">
        <v>168</v>
      </c>
      <c r="D36" s="3" t="s">
        <v>49</v>
      </c>
      <c r="E36" s="3" t="s">
        <v>49</v>
      </c>
      <c r="F36" s="3" t="n">
        <v>2</v>
      </c>
      <c r="G36" s="3" t="s">
        <v>169</v>
      </c>
      <c r="H36" s="1" t="b">
        <f aca="false">TRUE()</f>
        <v>1</v>
      </c>
      <c r="I36" s="3" t="s">
        <v>51</v>
      </c>
      <c r="J36" s="3" t="s">
        <v>51</v>
      </c>
      <c r="K36" s="1" t="b">
        <f aca="false">TRUE()</f>
        <v>1</v>
      </c>
      <c r="L36" s="1" t="b">
        <f aca="false">FALSE()</f>
        <v>0</v>
      </c>
      <c r="M36" s="1" t="b">
        <f aca="false">FALSE()</f>
        <v>0</v>
      </c>
      <c r="N36" s="1" t="b">
        <f aca="false">FALSE()</f>
        <v>0</v>
      </c>
      <c r="O36" s="1" t="b">
        <f aca="false">FALSE()</f>
        <v>0</v>
      </c>
    </row>
    <row r="37" customFormat="false" ht="15" hidden="false" customHeight="false" outlineLevel="0" collapsed="false">
      <c r="A37" s="3" t="s">
        <v>170</v>
      </c>
      <c r="B37" s="3" t="s">
        <v>171</v>
      </c>
      <c r="C37" s="3" t="s">
        <v>172</v>
      </c>
      <c r="D37" s="3" t="s">
        <v>20</v>
      </c>
      <c r="E37" s="3" t="s">
        <v>20</v>
      </c>
      <c r="F37" s="3" t="n">
        <v>5</v>
      </c>
      <c r="G37" s="3" t="s">
        <v>173</v>
      </c>
      <c r="H37" s="1" t="b">
        <f aca="false">TRUE()</f>
        <v>1</v>
      </c>
      <c r="I37" s="3" t="s">
        <v>38</v>
      </c>
      <c r="J37" s="3" t="s">
        <v>38</v>
      </c>
      <c r="K37" s="1" t="b">
        <f aca="false">TRUE()</f>
        <v>1</v>
      </c>
      <c r="L37" s="1" t="b">
        <f aca="false">TRUE()</f>
        <v>1</v>
      </c>
      <c r="M37" s="1" t="b">
        <f aca="false">FALSE()</f>
        <v>0</v>
      </c>
      <c r="N37" s="1" t="b">
        <f aca="false">FALSE()</f>
        <v>0</v>
      </c>
      <c r="O37" s="1" t="b">
        <f aca="false">FALSE()</f>
        <v>0</v>
      </c>
    </row>
    <row r="38" customFormat="false" ht="56" hidden="false" customHeight="false" outlineLevel="0" collapsed="false">
      <c r="A38" s="3" t="s">
        <v>174</v>
      </c>
      <c r="B38" s="3" t="s">
        <v>175</v>
      </c>
      <c r="C38" s="3" t="s">
        <v>176</v>
      </c>
      <c r="D38" s="3" t="s">
        <v>20</v>
      </c>
      <c r="E38" s="3" t="s">
        <v>20</v>
      </c>
      <c r="F38" s="3" t="n">
        <v>4</v>
      </c>
      <c r="G38" s="3" t="s">
        <v>177</v>
      </c>
      <c r="H38" s="1" t="b">
        <f aca="false">TRUE()</f>
        <v>1</v>
      </c>
      <c r="I38" s="3" t="s">
        <v>22</v>
      </c>
      <c r="J38" s="3" t="s">
        <v>39</v>
      </c>
      <c r="K38" s="9" t="b">
        <f aca="false">FALSE()</f>
        <v>0</v>
      </c>
      <c r="L38" s="1" t="b">
        <f aca="false">FALSE()</f>
        <v>0</v>
      </c>
      <c r="M38" s="1" t="b">
        <f aca="false">FALSE()</f>
        <v>0</v>
      </c>
      <c r="N38" s="1" t="b">
        <f aca="false">TRUE()</f>
        <v>1</v>
      </c>
      <c r="O38" s="1" t="b">
        <f aca="false">TRUE()</f>
        <v>1</v>
      </c>
      <c r="R38" s="2" t="s">
        <v>178</v>
      </c>
    </row>
    <row r="39" customFormat="false" ht="15" hidden="false" customHeight="false" outlineLevel="0" collapsed="false">
      <c r="A39" s="3" t="s">
        <v>179</v>
      </c>
      <c r="B39" s="3" t="s">
        <v>180</v>
      </c>
      <c r="C39" s="3" t="s">
        <v>181</v>
      </c>
      <c r="D39" s="3" t="s">
        <v>20</v>
      </c>
      <c r="E39" s="3" t="s">
        <v>20</v>
      </c>
      <c r="F39" s="3" t="n">
        <v>5</v>
      </c>
      <c r="G39" s="3" t="s">
        <v>182</v>
      </c>
      <c r="H39" s="1" t="b">
        <f aca="false">TRUE()</f>
        <v>1</v>
      </c>
      <c r="I39" s="3" t="s">
        <v>39</v>
      </c>
      <c r="J39" s="3" t="s">
        <v>39</v>
      </c>
      <c r="K39" s="1" t="b">
        <f aca="false">TRUE()</f>
        <v>1</v>
      </c>
      <c r="L39" s="1" t="b">
        <f aca="false">TRUE()</f>
        <v>1</v>
      </c>
      <c r="M39" s="1" t="b">
        <f aca="false">FALSE()</f>
        <v>0</v>
      </c>
      <c r="N39" s="1" t="b">
        <f aca="false">TRUE()</f>
        <v>1</v>
      </c>
      <c r="O39" s="1" t="b">
        <f aca="false">FALSE()</f>
        <v>0</v>
      </c>
    </row>
    <row r="40" customFormat="false" ht="15" hidden="false" customHeight="false" outlineLevel="0" collapsed="false">
      <c r="A40" s="3" t="s">
        <v>183</v>
      </c>
      <c r="B40" s="3" t="s">
        <v>184</v>
      </c>
      <c r="C40" s="3" t="s">
        <v>185</v>
      </c>
      <c r="D40" s="3" t="s">
        <v>20</v>
      </c>
      <c r="E40" s="3" t="s">
        <v>20</v>
      </c>
      <c r="F40" s="3" t="n">
        <v>4</v>
      </c>
      <c r="G40" s="3" t="s">
        <v>186</v>
      </c>
      <c r="H40" s="1" t="b">
        <f aca="false">TRUE()</f>
        <v>1</v>
      </c>
      <c r="I40" s="3" t="s">
        <v>39</v>
      </c>
      <c r="J40" s="3" t="s">
        <v>39</v>
      </c>
      <c r="K40" s="1" t="b">
        <f aca="false">TRUE()</f>
        <v>1</v>
      </c>
      <c r="L40" s="1" t="b">
        <f aca="false">TRUE()</f>
        <v>1</v>
      </c>
      <c r="M40" s="1" t="b">
        <f aca="false">TRUE()</f>
        <v>1</v>
      </c>
      <c r="N40" s="1" t="b">
        <f aca="false">FALSE()</f>
        <v>0</v>
      </c>
      <c r="O40" s="1" t="b">
        <f aca="false">FALSE()</f>
        <v>0</v>
      </c>
    </row>
    <row r="41" customFormat="false" ht="15" hidden="false" customHeight="false" outlineLevel="0" collapsed="false">
      <c r="A41" s="3" t="s">
        <v>187</v>
      </c>
      <c r="B41" s="3" t="s">
        <v>188</v>
      </c>
      <c r="C41" s="3" t="s">
        <v>189</v>
      </c>
      <c r="D41" s="3" t="s">
        <v>20</v>
      </c>
      <c r="E41" s="3" t="s">
        <v>20</v>
      </c>
      <c r="F41" s="3" t="n">
        <v>5</v>
      </c>
      <c r="G41" s="3" t="s">
        <v>190</v>
      </c>
      <c r="H41" s="1" t="b">
        <f aca="false">TRUE()</f>
        <v>1</v>
      </c>
      <c r="I41" s="3" t="s">
        <v>81</v>
      </c>
      <c r="J41" s="3" t="s">
        <v>81</v>
      </c>
      <c r="K41" s="1" t="b">
        <f aca="false">TRUE()</f>
        <v>1</v>
      </c>
      <c r="L41" s="1" t="b">
        <f aca="false">FALSE()</f>
        <v>0</v>
      </c>
      <c r="M41" s="1" t="b">
        <f aca="false">TRUE()</f>
        <v>1</v>
      </c>
      <c r="N41" s="1" t="b">
        <f aca="false">FALSE()</f>
        <v>0</v>
      </c>
      <c r="O41" s="1" t="b">
        <f aca="false">FALSE()</f>
        <v>0</v>
      </c>
    </row>
    <row r="42" customFormat="false" ht="15" hidden="false" customHeight="false" outlineLevel="0" collapsed="false">
      <c r="A42" s="3" t="s">
        <v>191</v>
      </c>
      <c r="B42" s="3" t="s">
        <v>192</v>
      </c>
      <c r="C42" s="3" t="s">
        <v>193</v>
      </c>
      <c r="D42" s="3" t="s">
        <v>20</v>
      </c>
      <c r="E42" s="3" t="s">
        <v>20</v>
      </c>
      <c r="F42" s="3" t="n">
        <v>5</v>
      </c>
      <c r="G42" s="3" t="s">
        <v>194</v>
      </c>
      <c r="H42" s="1" t="b">
        <f aca="false">TRUE()</f>
        <v>1</v>
      </c>
      <c r="I42" s="3" t="s">
        <v>81</v>
      </c>
      <c r="J42" s="3" t="s">
        <v>81</v>
      </c>
      <c r="K42" s="1" t="b">
        <f aca="false">TRUE()</f>
        <v>1</v>
      </c>
      <c r="L42" s="1" t="b">
        <f aca="false">FALSE()</f>
        <v>0</v>
      </c>
      <c r="M42" s="1" t="b">
        <f aca="false">TRUE()</f>
        <v>1</v>
      </c>
      <c r="N42" s="1" t="b">
        <f aca="false">FALSE()</f>
        <v>0</v>
      </c>
      <c r="O42" s="1" t="b">
        <f aca="false">FALSE()</f>
        <v>0</v>
      </c>
    </row>
    <row r="43" customFormat="false" ht="15" hidden="false" customHeight="false" outlineLevel="0" collapsed="false">
      <c r="A43" s="3" t="s">
        <v>195</v>
      </c>
      <c r="B43" s="3" t="s">
        <v>196</v>
      </c>
      <c r="C43" s="3" t="s">
        <v>197</v>
      </c>
      <c r="D43" s="3" t="s">
        <v>20</v>
      </c>
      <c r="E43" s="3" t="s">
        <v>20</v>
      </c>
      <c r="F43" s="3" t="n">
        <v>5</v>
      </c>
      <c r="G43" s="3" t="s">
        <v>198</v>
      </c>
      <c r="H43" s="1" t="b">
        <f aca="false">TRUE()</f>
        <v>1</v>
      </c>
      <c r="I43" s="3" t="s">
        <v>39</v>
      </c>
      <c r="J43" s="3" t="s">
        <v>39</v>
      </c>
      <c r="K43" s="1" t="b">
        <f aca="false">TRUE()</f>
        <v>1</v>
      </c>
      <c r="L43" s="1" t="b">
        <f aca="false">TRUE()</f>
        <v>1</v>
      </c>
      <c r="M43" s="1" t="b">
        <f aca="false">TRUE()</f>
        <v>1</v>
      </c>
      <c r="N43" s="1" t="b">
        <f aca="false">FALSE()</f>
        <v>0</v>
      </c>
      <c r="O43" s="1" t="b">
        <f aca="false">FALSE()</f>
        <v>0</v>
      </c>
    </row>
    <row r="44" customFormat="false" ht="15" hidden="false" customHeight="false" outlineLevel="0" collapsed="false">
      <c r="A44" s="3" t="s">
        <v>199</v>
      </c>
      <c r="B44" s="3" t="s">
        <v>200</v>
      </c>
      <c r="C44" s="3" t="s">
        <v>201</v>
      </c>
      <c r="D44" s="3" t="s">
        <v>20</v>
      </c>
      <c r="E44" s="3" t="s">
        <v>20</v>
      </c>
      <c r="F44" s="3" t="n">
        <v>5</v>
      </c>
      <c r="G44" s="3" t="s">
        <v>202</v>
      </c>
      <c r="H44" s="1" t="b">
        <f aca="false">TRUE()</f>
        <v>1</v>
      </c>
      <c r="I44" s="3" t="s">
        <v>81</v>
      </c>
      <c r="J44" s="3" t="s">
        <v>81</v>
      </c>
      <c r="K44" s="1" t="b">
        <f aca="false">TRUE()</f>
        <v>1</v>
      </c>
      <c r="L44" s="1" t="b">
        <f aca="false">FALSE()</f>
        <v>0</v>
      </c>
      <c r="M44" s="1" t="b">
        <f aca="false">TRUE()</f>
        <v>1</v>
      </c>
      <c r="N44" s="1" t="b">
        <f aca="false">FALSE()</f>
        <v>0</v>
      </c>
      <c r="O44" s="1" t="b">
        <f aca="false">FALSE()</f>
        <v>0</v>
      </c>
    </row>
    <row r="45" customFormat="false" ht="15" hidden="false" customHeight="false" outlineLevel="0" collapsed="false">
      <c r="A45" s="3" t="s">
        <v>203</v>
      </c>
      <c r="B45" s="3" t="s">
        <v>204</v>
      </c>
      <c r="C45" s="3" t="s">
        <v>205</v>
      </c>
      <c r="D45" s="3" t="s">
        <v>49</v>
      </c>
      <c r="E45" s="3" t="s">
        <v>49</v>
      </c>
      <c r="F45" s="3" t="n">
        <v>1</v>
      </c>
      <c r="G45" s="3" t="s">
        <v>206</v>
      </c>
      <c r="H45" s="1" t="b">
        <f aca="false">TRUE()</f>
        <v>1</v>
      </c>
      <c r="I45" s="3" t="s">
        <v>51</v>
      </c>
      <c r="J45" s="3" t="s">
        <v>51</v>
      </c>
      <c r="K45" s="1" t="b">
        <f aca="false">TRUE()</f>
        <v>1</v>
      </c>
      <c r="L45" s="1" t="b">
        <f aca="false">FALSE()</f>
        <v>0</v>
      </c>
      <c r="M45" s="1" t="b">
        <f aca="false">FALSE()</f>
        <v>0</v>
      </c>
      <c r="N45" s="1" t="b">
        <f aca="false">FALSE()</f>
        <v>0</v>
      </c>
      <c r="O45" s="1" t="b">
        <f aca="false">FALSE()</f>
        <v>0</v>
      </c>
    </row>
    <row r="46" customFormat="false" ht="15" hidden="false" customHeight="false" outlineLevel="0" collapsed="false">
      <c r="A46" s="3" t="s">
        <v>207</v>
      </c>
      <c r="B46" s="3" t="s">
        <v>208</v>
      </c>
      <c r="C46" s="3" t="s">
        <v>209</v>
      </c>
      <c r="D46" s="3" t="s">
        <v>49</v>
      </c>
      <c r="E46" s="3" t="s">
        <v>49</v>
      </c>
      <c r="F46" s="3" t="n">
        <v>1</v>
      </c>
      <c r="G46" s="3" t="s">
        <v>210</v>
      </c>
      <c r="H46" s="1" t="b">
        <f aca="false">TRUE()</f>
        <v>1</v>
      </c>
      <c r="I46" s="3" t="s">
        <v>51</v>
      </c>
      <c r="J46" s="3" t="s">
        <v>51</v>
      </c>
      <c r="K46" s="1" t="b">
        <f aca="false">TRUE()</f>
        <v>1</v>
      </c>
      <c r="L46" s="1" t="b">
        <f aca="false">FALSE()</f>
        <v>0</v>
      </c>
      <c r="M46" s="1" t="b">
        <f aca="false">FALSE()</f>
        <v>0</v>
      </c>
      <c r="N46" s="1" t="b">
        <f aca="false">FALSE()</f>
        <v>0</v>
      </c>
      <c r="O46" s="1" t="b">
        <f aca="false">FALSE()</f>
        <v>0</v>
      </c>
    </row>
    <row r="47" customFormat="false" ht="15" hidden="false" customHeight="false" outlineLevel="0" collapsed="false">
      <c r="A47" s="3" t="s">
        <v>211</v>
      </c>
      <c r="B47" s="3" t="s">
        <v>212</v>
      </c>
      <c r="C47" s="3" t="s">
        <v>213</v>
      </c>
      <c r="D47" s="3" t="s">
        <v>20</v>
      </c>
      <c r="E47" s="3" t="s">
        <v>20</v>
      </c>
      <c r="F47" s="3" t="n">
        <v>5</v>
      </c>
      <c r="G47" s="3" t="s">
        <v>214</v>
      </c>
      <c r="H47" s="1" t="b">
        <f aca="false">TRUE()</f>
        <v>1</v>
      </c>
      <c r="I47" s="3" t="s">
        <v>22</v>
      </c>
      <c r="J47" s="3" t="s">
        <v>22</v>
      </c>
      <c r="K47" s="1" t="b">
        <f aca="false">TRUE()</f>
        <v>1</v>
      </c>
      <c r="L47" s="1" t="b">
        <f aca="false">FALSE()</f>
        <v>0</v>
      </c>
      <c r="M47" s="1" t="b">
        <f aca="false">FALSE()</f>
        <v>0</v>
      </c>
      <c r="N47" s="1" t="b">
        <f aca="false">TRUE()</f>
        <v>1</v>
      </c>
      <c r="O47" s="1" t="b">
        <f aca="false">FALSE()</f>
        <v>0</v>
      </c>
    </row>
    <row r="48" customFormat="false" ht="15" hidden="false" customHeight="false" outlineLevel="0" collapsed="false">
      <c r="A48" s="3" t="s">
        <v>215</v>
      </c>
      <c r="B48" s="3" t="s">
        <v>216</v>
      </c>
      <c r="C48" s="3" t="s">
        <v>217</v>
      </c>
      <c r="D48" s="3" t="s">
        <v>49</v>
      </c>
      <c r="E48" s="3" t="s">
        <v>49</v>
      </c>
      <c r="F48" s="3" t="n">
        <v>2</v>
      </c>
      <c r="G48" s="3" t="s">
        <v>218</v>
      </c>
      <c r="H48" s="1" t="b">
        <f aca="false">TRUE()</f>
        <v>1</v>
      </c>
      <c r="I48" s="3" t="s">
        <v>51</v>
      </c>
      <c r="J48" s="3" t="s">
        <v>51</v>
      </c>
      <c r="K48" s="1" t="b">
        <f aca="false">TRUE()</f>
        <v>1</v>
      </c>
      <c r="L48" s="1" t="b">
        <f aca="false">FALSE()</f>
        <v>0</v>
      </c>
      <c r="M48" s="1" t="b">
        <f aca="false">FALSE()</f>
        <v>0</v>
      </c>
      <c r="N48" s="1" t="b">
        <f aca="false">FALSE()</f>
        <v>0</v>
      </c>
      <c r="O48" s="1" t="b">
        <f aca="false">FALSE()</f>
        <v>0</v>
      </c>
    </row>
    <row r="49" customFormat="false" ht="15" hidden="false" customHeight="false" outlineLevel="0" collapsed="false">
      <c r="A49" s="3" t="s">
        <v>219</v>
      </c>
      <c r="B49" s="3" t="s">
        <v>220</v>
      </c>
      <c r="C49" s="3" t="s">
        <v>221</v>
      </c>
      <c r="D49" s="3" t="s">
        <v>20</v>
      </c>
      <c r="E49" s="3" t="s">
        <v>20</v>
      </c>
      <c r="F49" s="3" t="n">
        <v>5</v>
      </c>
      <c r="G49" s="3" t="s">
        <v>222</v>
      </c>
      <c r="H49" s="1" t="b">
        <f aca="false">TRUE()</f>
        <v>1</v>
      </c>
      <c r="I49" s="3" t="s">
        <v>38</v>
      </c>
      <c r="J49" s="3" t="s">
        <v>38</v>
      </c>
      <c r="K49" s="1" t="b">
        <f aca="false">TRUE()</f>
        <v>1</v>
      </c>
      <c r="L49" s="1" t="b">
        <f aca="false">TRUE()</f>
        <v>1</v>
      </c>
      <c r="M49" s="1" t="b">
        <f aca="false">FALSE()</f>
        <v>0</v>
      </c>
      <c r="N49" s="1" t="b">
        <f aca="false">FALSE()</f>
        <v>0</v>
      </c>
      <c r="O49" s="1" t="b">
        <f aca="false">FALSE()</f>
        <v>0</v>
      </c>
    </row>
    <row r="50" customFormat="false" ht="15" hidden="false" customHeight="false" outlineLevel="0" collapsed="false">
      <c r="A50" s="3" t="s">
        <v>223</v>
      </c>
      <c r="B50" s="3" t="s">
        <v>224</v>
      </c>
      <c r="C50" s="3" t="s">
        <v>225</v>
      </c>
      <c r="D50" s="3" t="s">
        <v>49</v>
      </c>
      <c r="E50" s="3" t="s">
        <v>49</v>
      </c>
      <c r="F50" s="3" t="n">
        <v>2</v>
      </c>
      <c r="G50" s="3" t="s">
        <v>226</v>
      </c>
      <c r="H50" s="1" t="b">
        <f aca="false">TRUE()</f>
        <v>1</v>
      </c>
      <c r="I50" s="3" t="s">
        <v>51</v>
      </c>
      <c r="J50" s="3" t="s">
        <v>51</v>
      </c>
      <c r="K50" s="1" t="b">
        <f aca="false">TRUE()</f>
        <v>1</v>
      </c>
      <c r="L50" s="1" t="b">
        <f aca="false">FALSE()</f>
        <v>0</v>
      </c>
      <c r="M50" s="1" t="b">
        <f aca="false">FALSE()</f>
        <v>0</v>
      </c>
      <c r="N50" s="1" t="b">
        <f aca="false">FALSE()</f>
        <v>0</v>
      </c>
      <c r="O50" s="1" t="b">
        <f aca="false">FALSE()</f>
        <v>0</v>
      </c>
    </row>
    <row r="51" customFormat="false" ht="15" hidden="false" customHeight="false" outlineLevel="0" collapsed="false">
      <c r="A51" s="3" t="s">
        <v>227</v>
      </c>
      <c r="B51" s="3" t="s">
        <v>228</v>
      </c>
      <c r="C51" s="3" t="s">
        <v>229</v>
      </c>
      <c r="D51" s="3" t="s">
        <v>20</v>
      </c>
      <c r="E51" s="3" t="s">
        <v>20</v>
      </c>
      <c r="F51" s="3" t="n">
        <v>5</v>
      </c>
      <c r="G51" s="3" t="s">
        <v>230</v>
      </c>
      <c r="H51" s="1" t="b">
        <f aca="false">TRUE()</f>
        <v>1</v>
      </c>
      <c r="I51" s="3" t="s">
        <v>39</v>
      </c>
      <c r="J51" s="3" t="s">
        <v>39</v>
      </c>
      <c r="K51" s="1" t="b">
        <f aca="false">TRUE()</f>
        <v>1</v>
      </c>
      <c r="L51" s="1" t="b">
        <f aca="false">FALSE()</f>
        <v>0</v>
      </c>
      <c r="M51" s="1" t="b">
        <f aca="false">FALSE()</f>
        <v>0</v>
      </c>
      <c r="N51" s="1" t="b">
        <f aca="false">FALSE()</f>
        <v>0</v>
      </c>
      <c r="O51" s="1" t="b">
        <f aca="false">TRUE()</f>
        <v>1</v>
      </c>
    </row>
    <row r="52" customFormat="false" ht="15" hidden="false" customHeight="false" outlineLevel="0" collapsed="false">
      <c r="A52" s="3" t="s">
        <v>231</v>
      </c>
      <c r="B52" s="3" t="s">
        <v>232</v>
      </c>
      <c r="C52" s="3" t="s">
        <v>233</v>
      </c>
      <c r="D52" s="3" t="s">
        <v>49</v>
      </c>
      <c r="E52" s="3" t="s">
        <v>49</v>
      </c>
      <c r="F52" s="3" t="n">
        <v>1</v>
      </c>
      <c r="G52" s="3" t="s">
        <v>234</v>
      </c>
      <c r="H52" s="1" t="b">
        <f aca="false">TRUE()</f>
        <v>1</v>
      </c>
      <c r="I52" s="3" t="s">
        <v>51</v>
      </c>
      <c r="J52" s="3" t="s">
        <v>51</v>
      </c>
      <c r="K52" s="1" t="b">
        <f aca="false">TRUE()</f>
        <v>1</v>
      </c>
      <c r="L52" s="1" t="b">
        <f aca="false">FALSE()</f>
        <v>0</v>
      </c>
      <c r="M52" s="1" t="b">
        <f aca="false">FALSE()</f>
        <v>0</v>
      </c>
      <c r="N52" s="1" t="b">
        <f aca="false">FALSE()</f>
        <v>0</v>
      </c>
      <c r="O52" s="1" t="b">
        <f aca="false">FALSE()</f>
        <v>0</v>
      </c>
    </row>
    <row r="53" customFormat="false" ht="56" hidden="false" customHeight="false" outlineLevel="0" collapsed="false">
      <c r="A53" s="3" t="s">
        <v>235</v>
      </c>
      <c r="B53" s="3" t="s">
        <v>236</v>
      </c>
      <c r="C53" s="3" t="s">
        <v>237</v>
      </c>
      <c r="D53" s="3" t="s">
        <v>20</v>
      </c>
      <c r="E53" s="3" t="s">
        <v>20</v>
      </c>
      <c r="F53" s="3" t="n">
        <v>3</v>
      </c>
      <c r="G53" s="3" t="s">
        <v>238</v>
      </c>
      <c r="H53" s="1" t="b">
        <f aca="false">TRUE()</f>
        <v>1</v>
      </c>
      <c r="I53" s="3" t="s">
        <v>22</v>
      </c>
      <c r="J53" s="3" t="s">
        <v>39</v>
      </c>
      <c r="K53" s="9" t="b">
        <f aca="false">FALSE()</f>
        <v>0</v>
      </c>
      <c r="L53" s="1" t="b">
        <f aca="false">FALSE()</f>
        <v>0</v>
      </c>
      <c r="M53" s="1" t="b">
        <f aca="false">FALSE()</f>
        <v>0</v>
      </c>
      <c r="N53" s="1" t="b">
        <f aca="false">TRUE()</f>
        <v>1</v>
      </c>
      <c r="O53" s="1" t="b">
        <f aca="false">TRUE()</f>
        <v>1</v>
      </c>
      <c r="R53" s="2" t="s">
        <v>178</v>
      </c>
    </row>
    <row r="54" customFormat="false" ht="15" hidden="false" customHeight="false" outlineLevel="0" collapsed="false">
      <c r="A54" s="3" t="s">
        <v>239</v>
      </c>
      <c r="B54" s="3" t="s">
        <v>240</v>
      </c>
      <c r="C54" s="3" t="s">
        <v>241</v>
      </c>
      <c r="D54" s="3" t="s">
        <v>20</v>
      </c>
      <c r="E54" s="3" t="s">
        <v>20</v>
      </c>
      <c r="F54" s="3" t="n">
        <v>4</v>
      </c>
      <c r="G54" s="3" t="s">
        <v>242</v>
      </c>
      <c r="H54" s="1" t="b">
        <f aca="false">TRUE()</f>
        <v>1</v>
      </c>
      <c r="I54" s="3" t="s">
        <v>38</v>
      </c>
      <c r="J54" s="3" t="s">
        <v>38</v>
      </c>
      <c r="K54" s="1" t="b">
        <f aca="false">TRUE()</f>
        <v>1</v>
      </c>
      <c r="L54" s="1" t="b">
        <f aca="false">TRUE()</f>
        <v>1</v>
      </c>
      <c r="M54" s="1" t="b">
        <f aca="false">FALSE()</f>
        <v>0</v>
      </c>
      <c r="N54" s="1" t="b">
        <f aca="false">FALSE()</f>
        <v>0</v>
      </c>
      <c r="O54" s="1" t="b">
        <f aca="false">FALSE()</f>
        <v>0</v>
      </c>
    </row>
    <row r="55" customFormat="false" ht="15" hidden="false" customHeight="false" outlineLevel="0" collapsed="false">
      <c r="A55" s="3" t="s">
        <v>243</v>
      </c>
      <c r="B55" s="3" t="s">
        <v>244</v>
      </c>
      <c r="C55" s="3" t="s">
        <v>245</v>
      </c>
      <c r="D55" s="3" t="s">
        <v>49</v>
      </c>
      <c r="E55" s="3" t="s">
        <v>49</v>
      </c>
      <c r="F55" s="3" t="n">
        <v>1</v>
      </c>
      <c r="G55" s="3" t="s">
        <v>246</v>
      </c>
      <c r="H55" s="1" t="b">
        <f aca="false">TRUE()</f>
        <v>1</v>
      </c>
      <c r="I55" s="3" t="s">
        <v>51</v>
      </c>
      <c r="J55" s="3" t="s">
        <v>51</v>
      </c>
      <c r="K55" s="1" t="b">
        <f aca="false">TRUE()</f>
        <v>1</v>
      </c>
      <c r="L55" s="1" t="b">
        <f aca="false">FALSE()</f>
        <v>0</v>
      </c>
      <c r="M55" s="1" t="b">
        <f aca="false">FALSE()</f>
        <v>0</v>
      </c>
      <c r="N55" s="1" t="b">
        <f aca="false">FALSE()</f>
        <v>0</v>
      </c>
      <c r="O55" s="1" t="b">
        <f aca="false">FALSE()</f>
        <v>0</v>
      </c>
    </row>
    <row r="56" customFormat="false" ht="56" hidden="false" customHeight="false" outlineLevel="0" collapsed="false">
      <c r="A56" s="3" t="s">
        <v>247</v>
      </c>
      <c r="B56" s="3" t="s">
        <v>248</v>
      </c>
      <c r="C56" s="3" t="s">
        <v>249</v>
      </c>
      <c r="D56" s="3" t="s">
        <v>20</v>
      </c>
      <c r="E56" s="3" t="s">
        <v>20</v>
      </c>
      <c r="F56" s="3" t="n">
        <v>4</v>
      </c>
      <c r="G56" s="3" t="s">
        <v>250</v>
      </c>
      <c r="H56" s="1" t="b">
        <f aca="false">TRUE()</f>
        <v>1</v>
      </c>
      <c r="I56" s="3" t="s">
        <v>38</v>
      </c>
      <c r="J56" s="3" t="s">
        <v>39</v>
      </c>
      <c r="K56" s="9" t="b">
        <f aca="false">FALSE()</f>
        <v>0</v>
      </c>
      <c r="L56" s="1" t="b">
        <f aca="false">TRUE()</f>
        <v>1</v>
      </c>
      <c r="M56" s="1" t="b">
        <f aca="false">FALSE()</f>
        <v>0</v>
      </c>
      <c r="N56" s="1" t="b">
        <f aca="false">FALSE()</f>
        <v>0</v>
      </c>
      <c r="O56" s="1" t="b">
        <f aca="false">TRUE()</f>
        <v>1</v>
      </c>
      <c r="R56" s="2" t="s">
        <v>251</v>
      </c>
    </row>
    <row r="57" customFormat="false" ht="15" hidden="false" customHeight="false" outlineLevel="0" collapsed="false">
      <c r="A57" s="3" t="s">
        <v>252</v>
      </c>
      <c r="B57" s="3" t="s">
        <v>253</v>
      </c>
      <c r="C57" s="3" t="s">
        <v>254</v>
      </c>
      <c r="D57" s="3" t="s">
        <v>49</v>
      </c>
      <c r="E57" s="3" t="s">
        <v>49</v>
      </c>
      <c r="F57" s="3" t="n">
        <v>2</v>
      </c>
      <c r="G57" s="3" t="s">
        <v>255</v>
      </c>
      <c r="H57" s="1" t="b">
        <f aca="false">TRUE()</f>
        <v>1</v>
      </c>
      <c r="I57" s="3" t="s">
        <v>51</v>
      </c>
      <c r="J57" s="3" t="s">
        <v>51</v>
      </c>
      <c r="K57" s="1" t="b">
        <f aca="false">TRUE()</f>
        <v>1</v>
      </c>
      <c r="L57" s="1" t="b">
        <f aca="false">FALSE()</f>
        <v>0</v>
      </c>
      <c r="M57" s="1" t="b">
        <f aca="false">FALSE()</f>
        <v>0</v>
      </c>
      <c r="N57" s="1" t="b">
        <f aca="false">FALSE()</f>
        <v>0</v>
      </c>
      <c r="O57" s="1" t="b">
        <f aca="false">FALSE()</f>
        <v>0</v>
      </c>
    </row>
    <row r="58" customFormat="false" ht="15" hidden="false" customHeight="false" outlineLevel="0" collapsed="false">
      <c r="A58" s="3" t="s">
        <v>256</v>
      </c>
      <c r="B58" s="3" t="s">
        <v>257</v>
      </c>
      <c r="C58" s="3" t="s">
        <v>258</v>
      </c>
      <c r="D58" s="3" t="s">
        <v>49</v>
      </c>
      <c r="E58" s="3" t="s">
        <v>49</v>
      </c>
      <c r="F58" s="3" t="n">
        <v>2</v>
      </c>
      <c r="G58" s="3" t="s">
        <v>259</v>
      </c>
      <c r="H58" s="1" t="b">
        <f aca="false">TRUE()</f>
        <v>1</v>
      </c>
      <c r="I58" s="3" t="s">
        <v>51</v>
      </c>
      <c r="J58" s="3" t="s">
        <v>51</v>
      </c>
      <c r="K58" s="1" t="b">
        <f aca="false">TRUE()</f>
        <v>1</v>
      </c>
      <c r="L58" s="1" t="b">
        <f aca="false">FALSE()</f>
        <v>0</v>
      </c>
      <c r="M58" s="1" t="b">
        <f aca="false">FALSE()</f>
        <v>0</v>
      </c>
      <c r="N58" s="1" t="b">
        <f aca="false">FALSE()</f>
        <v>0</v>
      </c>
      <c r="O58" s="1" t="b">
        <f aca="false">FALSE()</f>
        <v>0</v>
      </c>
    </row>
    <row r="59" customFormat="false" ht="15" hidden="false" customHeight="false" outlineLevel="0" collapsed="false">
      <c r="A59" s="3" t="s">
        <v>260</v>
      </c>
      <c r="B59" s="3" t="s">
        <v>261</v>
      </c>
      <c r="C59" s="3" t="s">
        <v>262</v>
      </c>
      <c r="D59" s="3" t="s">
        <v>20</v>
      </c>
      <c r="E59" s="3" t="s">
        <v>20</v>
      </c>
      <c r="F59" s="3" t="n">
        <v>5</v>
      </c>
      <c r="G59" s="3" t="s">
        <v>263</v>
      </c>
      <c r="H59" s="1" t="b">
        <f aca="false">TRUE()</f>
        <v>1</v>
      </c>
      <c r="I59" s="3" t="s">
        <v>38</v>
      </c>
      <c r="J59" s="3" t="s">
        <v>38</v>
      </c>
      <c r="K59" s="1" t="b">
        <f aca="false">TRUE()</f>
        <v>1</v>
      </c>
      <c r="L59" s="1" t="b">
        <f aca="false">TRUE()</f>
        <v>1</v>
      </c>
      <c r="M59" s="1" t="b">
        <f aca="false">FALSE()</f>
        <v>0</v>
      </c>
      <c r="N59" s="1" t="b">
        <f aca="false">FALSE()</f>
        <v>0</v>
      </c>
      <c r="O59" s="1" t="b">
        <f aca="false">FALSE()</f>
        <v>0</v>
      </c>
    </row>
    <row r="60" customFormat="false" ht="23.3" hidden="false" customHeight="false" outlineLevel="0" collapsed="false">
      <c r="A60" s="3" t="s">
        <v>264</v>
      </c>
      <c r="B60" s="3" t="s">
        <v>265</v>
      </c>
      <c r="C60" s="3" t="s">
        <v>266</v>
      </c>
      <c r="D60" s="3" t="s">
        <v>20</v>
      </c>
      <c r="E60" s="3" t="s">
        <v>20</v>
      </c>
      <c r="F60" s="3" t="n">
        <v>5</v>
      </c>
      <c r="G60" s="3" t="s">
        <v>267</v>
      </c>
      <c r="H60" s="1" t="b">
        <f aca="false">TRUE()</f>
        <v>1</v>
      </c>
      <c r="I60" s="3" t="s">
        <v>38</v>
      </c>
      <c r="J60" s="3" t="s">
        <v>39</v>
      </c>
      <c r="K60" s="8" t="b">
        <f aca="false">FALSE()</f>
        <v>0</v>
      </c>
      <c r="L60" s="1" t="b">
        <f aca="false">TRUE()</f>
        <v>1</v>
      </c>
      <c r="M60" s="1" t="b">
        <f aca="false">TRUE()</f>
        <v>1</v>
      </c>
      <c r="N60" s="1" t="b">
        <f aca="false">FALSE()</f>
        <v>0</v>
      </c>
      <c r="O60" s="1" t="b">
        <f aca="false">FALSE()</f>
        <v>0</v>
      </c>
      <c r="R60" s="2" t="s">
        <v>268</v>
      </c>
    </row>
    <row r="61" customFormat="false" ht="34.2" hidden="false" customHeight="false" outlineLevel="0" collapsed="false">
      <c r="A61" s="3" t="s">
        <v>269</v>
      </c>
      <c r="B61" s="3" t="s">
        <v>270</v>
      </c>
      <c r="C61" s="3" t="s">
        <v>271</v>
      </c>
      <c r="D61" s="3" t="s">
        <v>49</v>
      </c>
      <c r="E61" s="3" t="s">
        <v>20</v>
      </c>
      <c r="F61" s="3" t="n">
        <v>4</v>
      </c>
      <c r="G61" s="3" t="s">
        <v>272</v>
      </c>
      <c r="H61" s="8" t="b">
        <f aca="false">FALSE()</f>
        <v>0</v>
      </c>
      <c r="I61" s="3" t="s">
        <v>51</v>
      </c>
      <c r="J61" s="3" t="s">
        <v>38</v>
      </c>
      <c r="K61" s="1" t="b">
        <f aca="false">FALSE()</f>
        <v>0</v>
      </c>
      <c r="L61" s="1" t="b">
        <f aca="false">TRUE()</f>
        <v>1</v>
      </c>
      <c r="M61" s="1" t="b">
        <f aca="false">FALSE()</f>
        <v>0</v>
      </c>
      <c r="N61" s="1" t="b">
        <f aca="false">FALSE()</f>
        <v>0</v>
      </c>
      <c r="O61" s="1" t="b">
        <f aca="false">FALSE()</f>
        <v>0</v>
      </c>
      <c r="Q61" s="2" t="s">
        <v>273</v>
      </c>
    </row>
    <row r="62" customFormat="false" ht="23.3" hidden="false" customHeight="false" outlineLevel="0" collapsed="false">
      <c r="A62" s="3" t="s">
        <v>274</v>
      </c>
      <c r="B62" s="3" t="s">
        <v>275</v>
      </c>
      <c r="C62" s="3" t="s">
        <v>276</v>
      </c>
      <c r="D62" s="3" t="s">
        <v>20</v>
      </c>
      <c r="E62" s="3" t="s">
        <v>49</v>
      </c>
      <c r="F62" s="3" t="n">
        <v>2</v>
      </c>
      <c r="G62" s="3" t="s">
        <v>277</v>
      </c>
      <c r="H62" s="6" t="b">
        <f aca="false">FALSE()</f>
        <v>0</v>
      </c>
      <c r="I62" s="3" t="s">
        <v>81</v>
      </c>
      <c r="J62" s="3" t="s">
        <v>51</v>
      </c>
      <c r="K62" s="1" t="b">
        <f aca="false">FALSE()</f>
        <v>0</v>
      </c>
      <c r="L62" s="1" t="b">
        <f aca="false">FALSE()</f>
        <v>0</v>
      </c>
      <c r="M62" s="1" t="b">
        <f aca="false">FALSE()</f>
        <v>0</v>
      </c>
      <c r="N62" s="1" t="b">
        <f aca="false">FALSE()</f>
        <v>0</v>
      </c>
      <c r="O62" s="1" t="b">
        <f aca="false">FALSE()</f>
        <v>0</v>
      </c>
      <c r="Q62" s="4" t="s">
        <v>278</v>
      </c>
    </row>
    <row r="63" customFormat="false" ht="15" hidden="false" customHeight="false" outlineLevel="0" collapsed="false">
      <c r="A63" s="3" t="s">
        <v>279</v>
      </c>
      <c r="B63" s="3" t="s">
        <v>280</v>
      </c>
      <c r="C63" s="3" t="s">
        <v>281</v>
      </c>
      <c r="D63" s="3" t="s">
        <v>49</v>
      </c>
      <c r="E63" s="3" t="s">
        <v>49</v>
      </c>
      <c r="F63" s="3" t="n">
        <v>2</v>
      </c>
      <c r="G63" s="3" t="s">
        <v>282</v>
      </c>
      <c r="H63" s="1" t="b">
        <f aca="false">TRUE()</f>
        <v>1</v>
      </c>
      <c r="I63" s="3" t="s">
        <v>51</v>
      </c>
      <c r="J63" s="3" t="s">
        <v>51</v>
      </c>
      <c r="K63" s="1" t="b">
        <f aca="false">TRUE()</f>
        <v>1</v>
      </c>
      <c r="L63" s="1" t="b">
        <f aca="false">FALSE()</f>
        <v>0</v>
      </c>
      <c r="M63" s="1" t="b">
        <f aca="false">FALSE()</f>
        <v>0</v>
      </c>
      <c r="N63" s="1" t="b">
        <f aca="false">FALSE()</f>
        <v>0</v>
      </c>
      <c r="O63" s="1" t="b">
        <f aca="false">FALSE()</f>
        <v>0</v>
      </c>
    </row>
    <row r="64" customFormat="false" ht="15" hidden="false" customHeight="false" outlineLevel="0" collapsed="false">
      <c r="A64" s="3" t="s">
        <v>283</v>
      </c>
      <c r="B64" s="3" t="s">
        <v>284</v>
      </c>
      <c r="C64" s="3" t="s">
        <v>285</v>
      </c>
      <c r="D64" s="3" t="s">
        <v>20</v>
      </c>
      <c r="E64" s="3" t="s">
        <v>20</v>
      </c>
      <c r="F64" s="3" t="n">
        <v>4</v>
      </c>
      <c r="G64" s="3" t="s">
        <v>286</v>
      </c>
      <c r="H64" s="1" t="b">
        <f aca="false">TRUE()</f>
        <v>1</v>
      </c>
      <c r="I64" s="3" t="s">
        <v>38</v>
      </c>
      <c r="J64" s="3" t="s">
        <v>38</v>
      </c>
      <c r="K64" s="1" t="b">
        <f aca="false">TRUE()</f>
        <v>1</v>
      </c>
      <c r="L64" s="1" t="b">
        <f aca="false">TRUE()</f>
        <v>1</v>
      </c>
      <c r="M64" s="1" t="b">
        <f aca="false">FALSE()</f>
        <v>0</v>
      </c>
      <c r="N64" s="1" t="b">
        <f aca="false">FALSE()</f>
        <v>0</v>
      </c>
      <c r="O64" s="1" t="b">
        <f aca="false">FALSE()</f>
        <v>0</v>
      </c>
    </row>
    <row r="65" customFormat="false" ht="34.2" hidden="false" customHeight="false" outlineLevel="0" collapsed="false">
      <c r="A65" s="3" t="s">
        <v>287</v>
      </c>
      <c r="B65" s="3" t="s">
        <v>288</v>
      </c>
      <c r="C65" s="3" t="s">
        <v>289</v>
      </c>
      <c r="D65" s="3" t="s">
        <v>20</v>
      </c>
      <c r="E65" s="3" t="s">
        <v>49</v>
      </c>
      <c r="F65" s="3" t="n">
        <v>1</v>
      </c>
      <c r="G65" s="3" t="s">
        <v>290</v>
      </c>
      <c r="H65" s="6" t="b">
        <f aca="false">FALSE()</f>
        <v>0</v>
      </c>
      <c r="I65" s="3" t="s">
        <v>22</v>
      </c>
      <c r="J65" s="3" t="s">
        <v>51</v>
      </c>
      <c r="K65" s="1" t="b">
        <f aca="false">FALSE()</f>
        <v>0</v>
      </c>
      <c r="L65" s="1" t="b">
        <f aca="false">FALSE()</f>
        <v>0</v>
      </c>
      <c r="M65" s="1" t="b">
        <f aca="false">FALSE()</f>
        <v>0</v>
      </c>
      <c r="N65" s="1" t="b">
        <f aca="false">FALSE()</f>
        <v>0</v>
      </c>
      <c r="O65" s="1" t="b">
        <f aca="false">FALSE()</f>
        <v>0</v>
      </c>
      <c r="Q65" s="2" t="s">
        <v>291</v>
      </c>
    </row>
    <row r="66" customFormat="false" ht="34.2" hidden="false" customHeight="false" outlineLevel="0" collapsed="false">
      <c r="A66" s="3" t="s">
        <v>292</v>
      </c>
      <c r="B66" s="3" t="s">
        <v>293</v>
      </c>
      <c r="C66" s="3" t="s">
        <v>294</v>
      </c>
      <c r="D66" s="3" t="s">
        <v>20</v>
      </c>
      <c r="E66" s="3" t="s">
        <v>20</v>
      </c>
      <c r="F66" s="3" t="n">
        <v>4</v>
      </c>
      <c r="G66" s="3" t="s">
        <v>295</v>
      </c>
      <c r="H66" s="1" t="b">
        <f aca="false">TRUE()</f>
        <v>1</v>
      </c>
      <c r="I66" s="3" t="s">
        <v>81</v>
      </c>
      <c r="J66" s="3" t="s">
        <v>39</v>
      </c>
      <c r="K66" s="6" t="b">
        <f aca="false">FALSE()</f>
        <v>0</v>
      </c>
      <c r="L66" s="1" t="b">
        <f aca="false">FALSE()</f>
        <v>0</v>
      </c>
      <c r="M66" s="1" t="b">
        <f aca="false">TRUE()</f>
        <v>1</v>
      </c>
      <c r="N66" s="1" t="b">
        <f aca="false">FALSE()</f>
        <v>0</v>
      </c>
      <c r="O66" s="1" t="b">
        <f aca="false">TRUE()</f>
        <v>1</v>
      </c>
      <c r="R66" s="2" t="s">
        <v>296</v>
      </c>
    </row>
    <row r="67" customFormat="false" ht="15" hidden="false" customHeight="false" outlineLevel="0" collapsed="false">
      <c r="A67" s="3" t="s">
        <v>297</v>
      </c>
      <c r="B67" s="3" t="s">
        <v>298</v>
      </c>
      <c r="C67" s="3" t="s">
        <v>299</v>
      </c>
      <c r="D67" s="3" t="s">
        <v>49</v>
      </c>
      <c r="E67" s="3" t="s">
        <v>49</v>
      </c>
      <c r="F67" s="3" t="n">
        <v>1</v>
      </c>
      <c r="G67" s="3" t="s">
        <v>300</v>
      </c>
      <c r="H67" s="1" t="b">
        <f aca="false">TRUE()</f>
        <v>1</v>
      </c>
      <c r="I67" s="3" t="s">
        <v>51</v>
      </c>
      <c r="J67" s="3" t="s">
        <v>51</v>
      </c>
      <c r="K67" s="1" t="b">
        <f aca="false">TRUE()</f>
        <v>1</v>
      </c>
      <c r="L67" s="1" t="b">
        <f aca="false">FALSE()</f>
        <v>0</v>
      </c>
      <c r="M67" s="1" t="b">
        <f aca="false">FALSE()</f>
        <v>0</v>
      </c>
      <c r="N67" s="1" t="b">
        <f aca="false">FALSE()</f>
        <v>0</v>
      </c>
      <c r="O67" s="1" t="b">
        <f aca="false">FALSE()</f>
        <v>0</v>
      </c>
    </row>
    <row r="68" customFormat="false" ht="15" hidden="false" customHeight="false" outlineLevel="0" collapsed="false">
      <c r="A68" s="3" t="s">
        <v>301</v>
      </c>
      <c r="B68" s="3" t="s">
        <v>302</v>
      </c>
      <c r="C68" s="3" t="s">
        <v>303</v>
      </c>
      <c r="D68" s="3" t="s">
        <v>49</v>
      </c>
      <c r="E68" s="3" t="s">
        <v>49</v>
      </c>
      <c r="F68" s="3" t="n">
        <v>2</v>
      </c>
      <c r="G68" s="3" t="s">
        <v>304</v>
      </c>
      <c r="H68" s="1" t="b">
        <f aca="false">TRUE()</f>
        <v>1</v>
      </c>
      <c r="I68" s="3" t="s">
        <v>51</v>
      </c>
      <c r="J68" s="3" t="s">
        <v>51</v>
      </c>
      <c r="K68" s="1" t="b">
        <f aca="false">TRUE()</f>
        <v>1</v>
      </c>
      <c r="L68" s="1" t="b">
        <f aca="false">FALSE()</f>
        <v>0</v>
      </c>
      <c r="M68" s="1" t="b">
        <f aca="false">FALSE()</f>
        <v>0</v>
      </c>
      <c r="N68" s="1" t="b">
        <f aca="false">FALSE()</f>
        <v>0</v>
      </c>
      <c r="O68" s="1" t="b">
        <f aca="false">FALSE()</f>
        <v>0</v>
      </c>
    </row>
    <row r="69" customFormat="false" ht="15" hidden="false" customHeight="false" outlineLevel="0" collapsed="false">
      <c r="A69" s="3" t="s">
        <v>305</v>
      </c>
      <c r="B69" s="3" t="s">
        <v>306</v>
      </c>
      <c r="C69" s="3" t="s">
        <v>307</v>
      </c>
      <c r="D69" s="3" t="s">
        <v>49</v>
      </c>
      <c r="E69" s="3" t="s">
        <v>49</v>
      </c>
      <c r="F69" s="3" t="n">
        <v>1</v>
      </c>
      <c r="G69" s="3" t="s">
        <v>308</v>
      </c>
      <c r="H69" s="1" t="b">
        <f aca="false">TRUE()</f>
        <v>1</v>
      </c>
      <c r="I69" s="3" t="s">
        <v>51</v>
      </c>
      <c r="J69" s="3" t="s">
        <v>51</v>
      </c>
      <c r="K69" s="1" t="b">
        <f aca="false">TRUE()</f>
        <v>1</v>
      </c>
      <c r="L69" s="1" t="b">
        <f aca="false">FALSE()</f>
        <v>0</v>
      </c>
      <c r="M69" s="1" t="b">
        <f aca="false">FALSE()</f>
        <v>0</v>
      </c>
      <c r="N69" s="1" t="b">
        <f aca="false">FALSE()</f>
        <v>0</v>
      </c>
      <c r="O69" s="1" t="b">
        <f aca="false">FALSE()</f>
        <v>0</v>
      </c>
    </row>
    <row r="70" customFormat="false" ht="15" hidden="false" customHeight="false" outlineLevel="0" collapsed="false">
      <c r="A70" s="3" t="s">
        <v>309</v>
      </c>
      <c r="B70" s="3" t="s">
        <v>310</v>
      </c>
      <c r="C70" s="3" t="s">
        <v>311</v>
      </c>
      <c r="D70" s="3" t="s">
        <v>49</v>
      </c>
      <c r="H70" s="10" t="b">
        <f aca="false">FALSE()</f>
        <v>0</v>
      </c>
      <c r="I70" s="3" t="s">
        <v>51</v>
      </c>
      <c r="J70" s="3" t="s">
        <v>39</v>
      </c>
      <c r="K70" s="1" t="b">
        <f aca="false">FALSE()</f>
        <v>0</v>
      </c>
      <c r="Q70" s="2" t="s">
        <v>312</v>
      </c>
    </row>
    <row r="71" customFormat="false" ht="15" hidden="false" customHeight="false" outlineLevel="0" collapsed="false">
      <c r="A71" s="3" t="s">
        <v>313</v>
      </c>
      <c r="B71" s="3" t="s">
        <v>314</v>
      </c>
      <c r="C71" s="3" t="s">
        <v>315</v>
      </c>
      <c r="D71" s="3" t="s">
        <v>20</v>
      </c>
      <c r="E71" s="3" t="s">
        <v>20</v>
      </c>
      <c r="F71" s="3" t="n">
        <v>5</v>
      </c>
      <c r="G71" s="3" t="s">
        <v>316</v>
      </c>
      <c r="H71" s="1" t="b">
        <f aca="false">TRUE()</f>
        <v>1</v>
      </c>
      <c r="I71" s="3" t="s">
        <v>38</v>
      </c>
      <c r="J71" s="3" t="s">
        <v>38</v>
      </c>
      <c r="K71" s="1" t="b">
        <f aca="false">TRUE()</f>
        <v>1</v>
      </c>
      <c r="L71" s="1" t="b">
        <f aca="false">TRUE()</f>
        <v>1</v>
      </c>
      <c r="M71" s="1" t="b">
        <f aca="false">FALSE()</f>
        <v>0</v>
      </c>
      <c r="N71" s="1" t="b">
        <f aca="false">FALSE()</f>
        <v>0</v>
      </c>
      <c r="O71" s="1" t="b">
        <f aca="false">FALSE()</f>
        <v>0</v>
      </c>
    </row>
    <row r="72" customFormat="false" ht="15" hidden="false" customHeight="false" outlineLevel="0" collapsed="false">
      <c r="A72" s="3" t="s">
        <v>317</v>
      </c>
      <c r="B72" s="3" t="s">
        <v>318</v>
      </c>
      <c r="C72" s="3" t="s">
        <v>319</v>
      </c>
      <c r="D72" s="3" t="s">
        <v>20</v>
      </c>
      <c r="E72" s="3" t="s">
        <v>20</v>
      </c>
      <c r="F72" s="3" t="n">
        <v>4</v>
      </c>
      <c r="G72" s="3" t="s">
        <v>320</v>
      </c>
      <c r="H72" s="1" t="b">
        <f aca="false">TRUE()</f>
        <v>1</v>
      </c>
      <c r="I72" s="3" t="s">
        <v>81</v>
      </c>
      <c r="J72" s="3" t="s">
        <v>81</v>
      </c>
      <c r="K72" s="1" t="b">
        <f aca="false">TRUE()</f>
        <v>1</v>
      </c>
      <c r="L72" s="1" t="b">
        <f aca="false">FALSE()</f>
        <v>0</v>
      </c>
      <c r="M72" s="1" t="b">
        <f aca="false">TRUE()</f>
        <v>1</v>
      </c>
      <c r="N72" s="1" t="b">
        <f aca="false">FALSE()</f>
        <v>0</v>
      </c>
      <c r="O72" s="1" t="b">
        <f aca="false">FALSE()</f>
        <v>0</v>
      </c>
    </row>
    <row r="73" customFormat="false" ht="15" hidden="false" customHeight="false" outlineLevel="0" collapsed="false">
      <c r="A73" s="3" t="s">
        <v>321</v>
      </c>
      <c r="B73" s="3" t="s">
        <v>322</v>
      </c>
      <c r="C73" s="3" t="s">
        <v>323</v>
      </c>
      <c r="D73" s="3" t="s">
        <v>20</v>
      </c>
      <c r="E73" s="3" t="s">
        <v>20</v>
      </c>
      <c r="F73" s="3" t="n">
        <v>5</v>
      </c>
      <c r="G73" s="3" t="s">
        <v>324</v>
      </c>
      <c r="H73" s="1" t="b">
        <f aca="false">TRUE()</f>
        <v>1</v>
      </c>
      <c r="I73" s="3" t="s">
        <v>38</v>
      </c>
      <c r="J73" s="3" t="s">
        <v>38</v>
      </c>
      <c r="K73" s="1" t="b">
        <f aca="false">TRUE()</f>
        <v>1</v>
      </c>
      <c r="L73" s="1" t="b">
        <f aca="false">TRUE()</f>
        <v>1</v>
      </c>
      <c r="M73" s="1" t="b">
        <f aca="false">FALSE()</f>
        <v>0</v>
      </c>
      <c r="N73" s="1" t="b">
        <f aca="false">FALSE()</f>
        <v>0</v>
      </c>
      <c r="O73" s="1" t="b">
        <f aca="false">FALSE()</f>
        <v>0</v>
      </c>
    </row>
    <row r="74" customFormat="false" ht="56" hidden="false" customHeight="false" outlineLevel="0" collapsed="false">
      <c r="A74" s="3" t="s">
        <v>325</v>
      </c>
      <c r="B74" s="3" t="s">
        <v>326</v>
      </c>
      <c r="C74" s="3" t="s">
        <v>327</v>
      </c>
      <c r="D74" s="3" t="s">
        <v>20</v>
      </c>
      <c r="E74" s="3" t="s">
        <v>49</v>
      </c>
      <c r="F74" s="3" t="n">
        <v>2</v>
      </c>
      <c r="G74" s="3" t="s">
        <v>328</v>
      </c>
      <c r="H74" s="7" t="b">
        <f aca="false">FALSE()</f>
        <v>0</v>
      </c>
      <c r="I74" s="3" t="s">
        <v>38</v>
      </c>
      <c r="J74" s="3" t="s">
        <v>51</v>
      </c>
      <c r="K74" s="1" t="b">
        <f aca="false">FALSE()</f>
        <v>0</v>
      </c>
      <c r="L74" s="1" t="b">
        <f aca="false">FALSE()</f>
        <v>0</v>
      </c>
      <c r="M74" s="1" t="b">
        <f aca="false">FALSE()</f>
        <v>0</v>
      </c>
      <c r="N74" s="1" t="b">
        <f aca="false">FALSE()</f>
        <v>0</v>
      </c>
      <c r="O74" s="1" t="b">
        <f aca="false">FALSE()</f>
        <v>0</v>
      </c>
      <c r="Q74" s="2" t="s">
        <v>329</v>
      </c>
    </row>
    <row r="75" customFormat="false" ht="15" hidden="false" customHeight="false" outlineLevel="0" collapsed="false">
      <c r="A75" s="3" t="s">
        <v>330</v>
      </c>
      <c r="B75" s="3" t="s">
        <v>331</v>
      </c>
      <c r="C75" s="3" t="s">
        <v>332</v>
      </c>
      <c r="D75" s="3" t="s">
        <v>49</v>
      </c>
      <c r="E75" s="3" t="s">
        <v>49</v>
      </c>
      <c r="F75" s="3" t="n">
        <v>1</v>
      </c>
      <c r="G75" s="3" t="s">
        <v>333</v>
      </c>
      <c r="H75" s="1" t="b">
        <f aca="false">TRUE()</f>
        <v>1</v>
      </c>
      <c r="I75" s="3" t="s">
        <v>51</v>
      </c>
      <c r="J75" s="3" t="s">
        <v>51</v>
      </c>
      <c r="K75" s="1" t="b">
        <f aca="false">TRUE()</f>
        <v>1</v>
      </c>
      <c r="L75" s="1" t="b">
        <f aca="false">FALSE()</f>
        <v>0</v>
      </c>
      <c r="M75" s="1" t="b">
        <f aca="false">FALSE()</f>
        <v>0</v>
      </c>
      <c r="N75" s="1" t="b">
        <f aca="false">FALSE()</f>
        <v>0</v>
      </c>
      <c r="O75" s="1" t="b">
        <f aca="false">FALSE()</f>
        <v>0</v>
      </c>
    </row>
    <row r="76" customFormat="false" ht="15" hidden="false" customHeight="false" outlineLevel="0" collapsed="false">
      <c r="A76" s="3" t="s">
        <v>334</v>
      </c>
      <c r="B76" s="3" t="s">
        <v>335</v>
      </c>
      <c r="C76" s="3" t="s">
        <v>336</v>
      </c>
      <c r="D76" s="3" t="s">
        <v>20</v>
      </c>
      <c r="E76" s="3" t="s">
        <v>20</v>
      </c>
      <c r="F76" s="3" t="n">
        <v>5</v>
      </c>
      <c r="G76" s="3" t="s">
        <v>337</v>
      </c>
      <c r="H76" s="1" t="b">
        <f aca="false">TRUE()</f>
        <v>1</v>
      </c>
      <c r="I76" s="3" t="s">
        <v>38</v>
      </c>
      <c r="J76" s="3" t="s">
        <v>38</v>
      </c>
      <c r="K76" s="1" t="b">
        <f aca="false">TRUE()</f>
        <v>1</v>
      </c>
      <c r="L76" s="1" t="b">
        <f aca="false">TRUE()</f>
        <v>1</v>
      </c>
      <c r="M76" s="1" t="b">
        <f aca="false">FALSE()</f>
        <v>0</v>
      </c>
      <c r="N76" s="1" t="b">
        <f aca="false">FALSE()</f>
        <v>0</v>
      </c>
      <c r="O76" s="1" t="b">
        <f aca="false">FALSE()</f>
        <v>0</v>
      </c>
    </row>
    <row r="77" customFormat="false" ht="15" hidden="false" customHeight="false" outlineLevel="0" collapsed="false">
      <c r="A77" s="3" t="s">
        <v>338</v>
      </c>
      <c r="B77" s="3" t="s">
        <v>339</v>
      </c>
      <c r="C77" s="3" t="s">
        <v>340</v>
      </c>
      <c r="D77" s="3" t="s">
        <v>49</v>
      </c>
      <c r="E77" s="3" t="s">
        <v>49</v>
      </c>
      <c r="F77" s="3" t="n">
        <v>1</v>
      </c>
      <c r="G77" s="3" t="s">
        <v>341</v>
      </c>
      <c r="H77" s="1" t="b">
        <f aca="false">TRUE()</f>
        <v>1</v>
      </c>
      <c r="I77" s="3" t="s">
        <v>51</v>
      </c>
      <c r="J77" s="3" t="s">
        <v>51</v>
      </c>
      <c r="K77" s="1" t="b">
        <f aca="false">TRUE()</f>
        <v>1</v>
      </c>
      <c r="L77" s="1" t="b">
        <f aca="false">FALSE()</f>
        <v>0</v>
      </c>
      <c r="M77" s="1" t="b">
        <f aca="false">FALSE()</f>
        <v>0</v>
      </c>
      <c r="N77" s="1" t="b">
        <f aca="false">FALSE()</f>
        <v>0</v>
      </c>
      <c r="O77" s="1" t="b">
        <f aca="false">FALSE()</f>
        <v>0</v>
      </c>
    </row>
    <row r="78" customFormat="false" ht="45.1" hidden="false" customHeight="false" outlineLevel="0" collapsed="false">
      <c r="A78" s="3" t="s">
        <v>342</v>
      </c>
      <c r="B78" s="3" t="s">
        <v>343</v>
      </c>
      <c r="C78" s="4" t="s">
        <v>344</v>
      </c>
      <c r="D78" s="3" t="s">
        <v>49</v>
      </c>
      <c r="E78" s="3" t="s">
        <v>49</v>
      </c>
      <c r="F78" s="3" t="n">
        <v>1</v>
      </c>
      <c r="G78" s="3" t="s">
        <v>345</v>
      </c>
      <c r="H78" s="1" t="b">
        <f aca="false">TRUE()</f>
        <v>1</v>
      </c>
      <c r="I78" s="3" t="s">
        <v>51</v>
      </c>
      <c r="J78" s="3" t="s">
        <v>51</v>
      </c>
      <c r="K78" s="1" t="b">
        <f aca="false">TRUE()</f>
        <v>1</v>
      </c>
      <c r="L78" s="1" t="b">
        <f aca="false">FALSE()</f>
        <v>0</v>
      </c>
      <c r="M78" s="1" t="b">
        <f aca="false">FALSE()</f>
        <v>0</v>
      </c>
      <c r="N78" s="1" t="b">
        <f aca="false">FALSE()</f>
        <v>0</v>
      </c>
      <c r="O78" s="1" t="b">
        <f aca="false">FALSE()</f>
        <v>0</v>
      </c>
      <c r="R78" s="4"/>
    </row>
    <row r="79" customFormat="false" ht="15" hidden="false" customHeight="false" outlineLevel="0" collapsed="false">
      <c r="A79" s="3" t="s">
        <v>346</v>
      </c>
      <c r="B79" s="3" t="s">
        <v>347</v>
      </c>
      <c r="C79" s="3" t="s">
        <v>348</v>
      </c>
      <c r="D79" s="3" t="s">
        <v>20</v>
      </c>
      <c r="E79" s="3" t="s">
        <v>20</v>
      </c>
      <c r="F79" s="3" t="n">
        <v>5</v>
      </c>
      <c r="G79" s="3" t="s">
        <v>349</v>
      </c>
      <c r="H79" s="1" t="b">
        <f aca="false">TRUE()</f>
        <v>1</v>
      </c>
      <c r="I79" s="3" t="s">
        <v>38</v>
      </c>
      <c r="J79" s="3" t="s">
        <v>38</v>
      </c>
      <c r="K79" s="1" t="b">
        <f aca="false">TRUE()</f>
        <v>1</v>
      </c>
      <c r="L79" s="1" t="b">
        <f aca="false">TRUE()</f>
        <v>1</v>
      </c>
      <c r="M79" s="1" t="b">
        <f aca="false">FALSE()</f>
        <v>0</v>
      </c>
      <c r="N79" s="1" t="b">
        <f aca="false">FALSE()</f>
        <v>0</v>
      </c>
      <c r="O79" s="1" t="b">
        <f aca="false">FALSE()</f>
        <v>0</v>
      </c>
    </row>
    <row r="80" customFormat="false" ht="15" hidden="false" customHeight="false" outlineLevel="0" collapsed="false">
      <c r="A80" s="3" t="s">
        <v>350</v>
      </c>
      <c r="B80" s="3" t="s">
        <v>351</v>
      </c>
      <c r="C80" s="3" t="s">
        <v>352</v>
      </c>
      <c r="D80" s="3" t="s">
        <v>49</v>
      </c>
      <c r="E80" s="3" t="s">
        <v>49</v>
      </c>
      <c r="F80" s="3" t="n">
        <v>1</v>
      </c>
      <c r="G80" s="3" t="s">
        <v>353</v>
      </c>
      <c r="H80" s="1" t="b">
        <f aca="false">TRUE()</f>
        <v>1</v>
      </c>
      <c r="I80" s="3" t="s">
        <v>51</v>
      </c>
      <c r="J80" s="3" t="s">
        <v>51</v>
      </c>
      <c r="K80" s="1" t="b">
        <f aca="false">TRUE()</f>
        <v>1</v>
      </c>
      <c r="L80" s="1" t="b">
        <f aca="false">FALSE()</f>
        <v>0</v>
      </c>
      <c r="M80" s="1" t="b">
        <f aca="false">FALSE()</f>
        <v>0</v>
      </c>
      <c r="N80" s="1" t="b">
        <f aca="false">FALSE()</f>
        <v>0</v>
      </c>
      <c r="O80" s="1" t="b">
        <f aca="false">FALSE()</f>
        <v>0</v>
      </c>
    </row>
    <row r="81" customFormat="false" ht="15" hidden="false" customHeight="false" outlineLevel="0" collapsed="false">
      <c r="A81" s="3" t="s">
        <v>354</v>
      </c>
      <c r="B81" s="3" t="s">
        <v>355</v>
      </c>
      <c r="C81" s="3" t="s">
        <v>356</v>
      </c>
      <c r="D81" s="3" t="s">
        <v>20</v>
      </c>
      <c r="E81" s="3" t="s">
        <v>20</v>
      </c>
      <c r="F81" s="3" t="n">
        <v>5</v>
      </c>
      <c r="G81" s="3" t="s">
        <v>357</v>
      </c>
      <c r="H81" s="1" t="b">
        <f aca="false">TRUE()</f>
        <v>1</v>
      </c>
      <c r="I81" s="3" t="s">
        <v>38</v>
      </c>
      <c r="J81" s="3" t="s">
        <v>38</v>
      </c>
      <c r="K81" s="1" t="b">
        <f aca="false">TRUE()</f>
        <v>1</v>
      </c>
      <c r="L81" s="1" t="b">
        <f aca="false">TRUE()</f>
        <v>1</v>
      </c>
      <c r="M81" s="1" t="b">
        <f aca="false">FALSE()</f>
        <v>0</v>
      </c>
      <c r="N81" s="1" t="b">
        <f aca="false">FALSE()</f>
        <v>0</v>
      </c>
      <c r="O81" s="1" t="b">
        <f aca="false">FALSE()</f>
        <v>0</v>
      </c>
    </row>
    <row r="82" customFormat="false" ht="15" hidden="false" customHeight="false" outlineLevel="0" collapsed="false">
      <c r="A82" s="3" t="s">
        <v>358</v>
      </c>
      <c r="B82" s="3" t="s">
        <v>359</v>
      </c>
      <c r="C82" s="3" t="s">
        <v>360</v>
      </c>
      <c r="D82" s="3" t="s">
        <v>20</v>
      </c>
      <c r="E82" s="3" t="s">
        <v>20</v>
      </c>
      <c r="F82" s="3" t="n">
        <v>5</v>
      </c>
      <c r="G82" s="3" t="s">
        <v>361</v>
      </c>
      <c r="H82" s="1" t="b">
        <f aca="false">TRUE()</f>
        <v>1</v>
      </c>
      <c r="I82" s="3" t="s">
        <v>38</v>
      </c>
      <c r="J82" s="3" t="s">
        <v>38</v>
      </c>
      <c r="K82" s="1" t="b">
        <f aca="false">TRUE()</f>
        <v>1</v>
      </c>
      <c r="L82" s="1" t="b">
        <f aca="false">TRUE()</f>
        <v>1</v>
      </c>
      <c r="M82" s="1" t="b">
        <f aca="false">FALSE()</f>
        <v>0</v>
      </c>
      <c r="N82" s="1" t="b">
        <f aca="false">FALSE()</f>
        <v>0</v>
      </c>
      <c r="O82" s="1" t="b">
        <f aca="false">FALSE()</f>
        <v>0</v>
      </c>
    </row>
    <row r="83" customFormat="false" ht="15" hidden="false" customHeight="false" outlineLevel="0" collapsed="false">
      <c r="A83" s="3" t="s">
        <v>362</v>
      </c>
      <c r="B83" s="3" t="s">
        <v>363</v>
      </c>
      <c r="C83" s="3" t="s">
        <v>364</v>
      </c>
      <c r="D83" s="3" t="s">
        <v>20</v>
      </c>
      <c r="E83" s="3" t="s">
        <v>20</v>
      </c>
      <c r="F83" s="3" t="n">
        <v>5</v>
      </c>
      <c r="G83" s="3" t="s">
        <v>365</v>
      </c>
      <c r="H83" s="1" t="b">
        <f aca="false">TRUE()</f>
        <v>1</v>
      </c>
      <c r="I83" s="3" t="s">
        <v>39</v>
      </c>
      <c r="J83" s="3" t="s">
        <v>39</v>
      </c>
      <c r="K83" s="1" t="b">
        <f aca="false">TRUE()</f>
        <v>1</v>
      </c>
      <c r="L83" s="1" t="b">
        <f aca="false">TRUE()</f>
        <v>1</v>
      </c>
      <c r="M83" s="1" t="b">
        <f aca="false">TRUE()</f>
        <v>1</v>
      </c>
      <c r="N83" s="1" t="b">
        <f aca="false">TRUE()</f>
        <v>1</v>
      </c>
      <c r="O83" s="1" t="b">
        <f aca="false">TRUE()</f>
        <v>1</v>
      </c>
    </row>
    <row r="84" customFormat="false" ht="15" hidden="false" customHeight="false" outlineLevel="0" collapsed="false">
      <c r="A84" s="3" t="s">
        <v>366</v>
      </c>
      <c r="B84" s="3" t="s">
        <v>367</v>
      </c>
      <c r="C84" s="3" t="s">
        <v>368</v>
      </c>
      <c r="D84" s="3" t="s">
        <v>20</v>
      </c>
      <c r="E84" s="3" t="s">
        <v>20</v>
      </c>
      <c r="F84" s="3" t="n">
        <v>4</v>
      </c>
      <c r="G84" s="3" t="s">
        <v>369</v>
      </c>
      <c r="H84" s="1" t="b">
        <f aca="false">TRUE()</f>
        <v>1</v>
      </c>
      <c r="I84" s="3" t="s">
        <v>39</v>
      </c>
      <c r="J84" s="3" t="s">
        <v>39</v>
      </c>
      <c r="K84" s="1" t="b">
        <f aca="false">TRUE()</f>
        <v>1</v>
      </c>
      <c r="L84" s="1" t="b">
        <f aca="false">TRUE()</f>
        <v>1</v>
      </c>
      <c r="M84" s="1" t="b">
        <f aca="false">TRUE()</f>
        <v>1</v>
      </c>
      <c r="N84" s="1" t="b">
        <f aca="false">FALSE()</f>
        <v>0</v>
      </c>
      <c r="O84" s="1" t="b">
        <f aca="false">FALSE()</f>
        <v>0</v>
      </c>
    </row>
    <row r="85" customFormat="false" ht="56" hidden="false" customHeight="false" outlineLevel="0" collapsed="false">
      <c r="A85" s="3" t="s">
        <v>370</v>
      </c>
      <c r="B85" s="3" t="s">
        <v>371</v>
      </c>
      <c r="C85" s="4" t="s">
        <v>372</v>
      </c>
      <c r="D85" s="3" t="s">
        <v>49</v>
      </c>
      <c r="E85" s="3" t="s">
        <v>49</v>
      </c>
      <c r="F85" s="3" t="n">
        <v>1</v>
      </c>
      <c r="G85" s="3" t="s">
        <v>373</v>
      </c>
      <c r="H85" s="1" t="b">
        <f aca="false">TRUE()</f>
        <v>1</v>
      </c>
      <c r="I85" s="3" t="s">
        <v>51</v>
      </c>
      <c r="J85" s="3" t="s">
        <v>51</v>
      </c>
      <c r="K85" s="1" t="b">
        <f aca="false">TRUE()</f>
        <v>1</v>
      </c>
      <c r="L85" s="1" t="b">
        <f aca="false">FALSE()</f>
        <v>0</v>
      </c>
      <c r="M85" s="1" t="b">
        <f aca="false">FALSE()</f>
        <v>0</v>
      </c>
      <c r="N85" s="1" t="b">
        <f aca="false">FALSE()</f>
        <v>0</v>
      </c>
      <c r="O85" s="1" t="b">
        <f aca="false">FALSE()</f>
        <v>0</v>
      </c>
    </row>
    <row r="86" customFormat="false" ht="15" hidden="false" customHeight="false" outlineLevel="0" collapsed="false">
      <c r="A86" s="3" t="s">
        <v>374</v>
      </c>
      <c r="B86" s="3" t="s">
        <v>375</v>
      </c>
      <c r="C86" s="3" t="s">
        <v>376</v>
      </c>
      <c r="D86" s="3" t="s">
        <v>20</v>
      </c>
      <c r="E86" s="3" t="s">
        <v>20</v>
      </c>
      <c r="F86" s="3" t="n">
        <v>5</v>
      </c>
      <c r="G86" s="3" t="s">
        <v>377</v>
      </c>
      <c r="H86" s="1" t="b">
        <f aca="false">TRUE()</f>
        <v>1</v>
      </c>
      <c r="I86" s="3" t="s">
        <v>81</v>
      </c>
      <c r="J86" s="3" t="s">
        <v>81</v>
      </c>
      <c r="K86" s="1" t="b">
        <f aca="false">TRUE()</f>
        <v>1</v>
      </c>
      <c r="L86" s="1" t="b">
        <f aca="false">FALSE()</f>
        <v>0</v>
      </c>
      <c r="M86" s="1" t="b">
        <f aca="false">TRUE()</f>
        <v>1</v>
      </c>
      <c r="N86" s="1" t="b">
        <f aca="false">FALSE()</f>
        <v>0</v>
      </c>
      <c r="O86" s="1" t="b">
        <f aca="false">FALSE()</f>
        <v>0</v>
      </c>
    </row>
    <row r="87" customFormat="false" ht="15" hidden="false" customHeight="false" outlineLevel="0" collapsed="false">
      <c r="A87" s="3" t="s">
        <v>378</v>
      </c>
      <c r="B87" s="3" t="s">
        <v>379</v>
      </c>
      <c r="C87" s="3" t="s">
        <v>380</v>
      </c>
      <c r="D87" s="3" t="s">
        <v>49</v>
      </c>
      <c r="E87" s="3" t="s">
        <v>49</v>
      </c>
      <c r="F87" s="3" t="n">
        <v>1</v>
      </c>
      <c r="G87" s="3" t="s">
        <v>381</v>
      </c>
      <c r="H87" s="1" t="b">
        <f aca="false">TRUE()</f>
        <v>1</v>
      </c>
      <c r="I87" s="3" t="s">
        <v>51</v>
      </c>
      <c r="J87" s="3" t="s">
        <v>51</v>
      </c>
      <c r="K87" s="1" t="b">
        <f aca="false">TRUE()</f>
        <v>1</v>
      </c>
      <c r="L87" s="1" t="b">
        <f aca="false">FALSE()</f>
        <v>0</v>
      </c>
      <c r="M87" s="1" t="b">
        <f aca="false">FALSE()</f>
        <v>0</v>
      </c>
      <c r="N87" s="1" t="b">
        <f aca="false">FALSE()</f>
        <v>0</v>
      </c>
      <c r="O87" s="1" t="b">
        <f aca="false">FALSE()</f>
        <v>0</v>
      </c>
    </row>
    <row r="88" customFormat="false" ht="15" hidden="false" customHeight="false" outlineLevel="0" collapsed="false">
      <c r="A88" s="3" t="s">
        <v>382</v>
      </c>
      <c r="B88" s="3" t="s">
        <v>383</v>
      </c>
      <c r="C88" s="3" t="s">
        <v>384</v>
      </c>
      <c r="D88" s="3" t="s">
        <v>20</v>
      </c>
      <c r="E88" s="3" t="s">
        <v>20</v>
      </c>
      <c r="F88" s="3" t="n">
        <v>5</v>
      </c>
      <c r="G88" s="3" t="s">
        <v>385</v>
      </c>
      <c r="H88" s="1" t="b">
        <f aca="false">TRUE()</f>
        <v>1</v>
      </c>
      <c r="I88" s="3" t="s">
        <v>38</v>
      </c>
      <c r="J88" s="3" t="s">
        <v>38</v>
      </c>
      <c r="K88" s="1" t="b">
        <f aca="false">TRUE()</f>
        <v>1</v>
      </c>
      <c r="L88" s="1" t="b">
        <f aca="false">TRUE()</f>
        <v>1</v>
      </c>
      <c r="M88" s="1" t="b">
        <f aca="false">FALSE()</f>
        <v>0</v>
      </c>
      <c r="N88" s="1" t="b">
        <f aca="false">FALSE()</f>
        <v>0</v>
      </c>
      <c r="O88" s="1" t="b">
        <f aca="false">FALSE()</f>
        <v>0</v>
      </c>
    </row>
    <row r="89" customFormat="false" ht="15" hidden="false" customHeight="false" outlineLevel="0" collapsed="false">
      <c r="A89" s="3" t="s">
        <v>386</v>
      </c>
      <c r="B89" s="3" t="s">
        <v>387</v>
      </c>
      <c r="C89" s="3" t="s">
        <v>388</v>
      </c>
      <c r="D89" s="3" t="s">
        <v>20</v>
      </c>
      <c r="E89" s="3" t="s">
        <v>20</v>
      </c>
      <c r="F89" s="3" t="n">
        <v>5</v>
      </c>
      <c r="G89" s="3" t="s">
        <v>389</v>
      </c>
      <c r="H89" s="1" t="b">
        <f aca="false">TRUE()</f>
        <v>1</v>
      </c>
      <c r="I89" s="3" t="s">
        <v>38</v>
      </c>
      <c r="J89" s="3" t="s">
        <v>38</v>
      </c>
      <c r="K89" s="1" t="b">
        <f aca="false">TRUE()</f>
        <v>1</v>
      </c>
      <c r="L89" s="1" t="b">
        <f aca="false">TRUE()</f>
        <v>1</v>
      </c>
      <c r="M89" s="1" t="b">
        <f aca="false">FALSE()</f>
        <v>0</v>
      </c>
      <c r="N89" s="1" t="b">
        <f aca="false">FALSE()</f>
        <v>0</v>
      </c>
      <c r="O89" s="1" t="b">
        <f aca="false">FALSE()</f>
        <v>0</v>
      </c>
    </row>
    <row r="90" customFormat="false" ht="15" hidden="false" customHeight="false" outlineLevel="0" collapsed="false">
      <c r="A90" s="3" t="s">
        <v>390</v>
      </c>
      <c r="B90" s="3" t="s">
        <v>391</v>
      </c>
      <c r="C90" s="3" t="s">
        <v>392</v>
      </c>
      <c r="D90" s="3" t="s">
        <v>20</v>
      </c>
      <c r="E90" s="3" t="s">
        <v>20</v>
      </c>
      <c r="F90" s="3" t="n">
        <v>3</v>
      </c>
      <c r="G90" s="3" t="s">
        <v>393</v>
      </c>
      <c r="H90" s="1" t="b">
        <f aca="false">TRUE()</f>
        <v>1</v>
      </c>
      <c r="I90" s="3" t="s">
        <v>38</v>
      </c>
      <c r="J90" s="3" t="s">
        <v>38</v>
      </c>
      <c r="K90" s="1" t="b">
        <f aca="false">TRUE()</f>
        <v>1</v>
      </c>
      <c r="L90" s="1" t="b">
        <f aca="false">TRUE()</f>
        <v>1</v>
      </c>
      <c r="M90" s="1" t="b">
        <f aca="false">FALSE()</f>
        <v>0</v>
      </c>
      <c r="N90" s="1" t="b">
        <f aca="false">FALSE()</f>
        <v>0</v>
      </c>
      <c r="O90" s="1" t="b">
        <f aca="false">FALSE()</f>
        <v>0</v>
      </c>
    </row>
    <row r="91" customFormat="false" ht="15" hidden="false" customHeight="false" outlineLevel="0" collapsed="false">
      <c r="A91" s="3" t="s">
        <v>394</v>
      </c>
      <c r="B91" s="3" t="s">
        <v>395</v>
      </c>
      <c r="C91" s="3" t="s">
        <v>396</v>
      </c>
      <c r="D91" s="3" t="s">
        <v>20</v>
      </c>
      <c r="E91" s="3" t="s">
        <v>20</v>
      </c>
      <c r="F91" s="3" t="n">
        <v>5</v>
      </c>
      <c r="G91" s="3" t="s">
        <v>397</v>
      </c>
      <c r="H91" s="1" t="b">
        <f aca="false">TRUE()</f>
        <v>1</v>
      </c>
      <c r="I91" s="3" t="s">
        <v>38</v>
      </c>
      <c r="J91" s="3" t="s">
        <v>38</v>
      </c>
      <c r="K91" s="1" t="b">
        <f aca="false">TRUE()</f>
        <v>1</v>
      </c>
      <c r="L91" s="1" t="b">
        <f aca="false">TRUE()</f>
        <v>1</v>
      </c>
      <c r="M91" s="1" t="b">
        <f aca="false">FALSE()</f>
        <v>0</v>
      </c>
      <c r="N91" s="1" t="b">
        <f aca="false">FALSE()</f>
        <v>0</v>
      </c>
      <c r="O91" s="1" t="b">
        <f aca="false">FALSE()</f>
        <v>0</v>
      </c>
    </row>
    <row r="92" customFormat="false" ht="15" hidden="false" customHeight="false" outlineLevel="0" collapsed="false">
      <c r="A92" s="3" t="s">
        <v>398</v>
      </c>
      <c r="B92" s="3" t="s">
        <v>399</v>
      </c>
      <c r="C92" s="3" t="s">
        <v>400</v>
      </c>
      <c r="D92" s="3" t="s">
        <v>20</v>
      </c>
      <c r="E92" s="3" t="s">
        <v>20</v>
      </c>
      <c r="F92" s="3" t="n">
        <v>5</v>
      </c>
      <c r="G92" s="3" t="s">
        <v>401</v>
      </c>
      <c r="H92" s="1" t="b">
        <f aca="false">TRUE()</f>
        <v>1</v>
      </c>
      <c r="I92" s="3" t="s">
        <v>81</v>
      </c>
      <c r="J92" s="3" t="s">
        <v>81</v>
      </c>
      <c r="K92" s="1" t="b">
        <f aca="false">TRUE()</f>
        <v>1</v>
      </c>
      <c r="L92" s="1" t="b">
        <f aca="false">FALSE()</f>
        <v>0</v>
      </c>
      <c r="M92" s="1" t="b">
        <f aca="false">TRUE()</f>
        <v>1</v>
      </c>
      <c r="N92" s="1" t="b">
        <f aca="false">FALSE()</f>
        <v>0</v>
      </c>
      <c r="O92" s="1" t="b">
        <f aca="false">FALSE()</f>
        <v>0</v>
      </c>
    </row>
    <row r="93" customFormat="false" ht="15" hidden="false" customHeight="false" outlineLevel="0" collapsed="false">
      <c r="A93" s="3" t="s">
        <v>402</v>
      </c>
      <c r="B93" s="3" t="s">
        <v>403</v>
      </c>
      <c r="C93" s="3" t="s">
        <v>404</v>
      </c>
      <c r="D93" s="3" t="s">
        <v>49</v>
      </c>
      <c r="E93" s="3" t="s">
        <v>49</v>
      </c>
      <c r="F93" s="3" t="n">
        <v>1</v>
      </c>
      <c r="G93" s="3" t="s">
        <v>405</v>
      </c>
      <c r="H93" s="1" t="b">
        <f aca="false">TRUE()</f>
        <v>1</v>
      </c>
      <c r="I93" s="3" t="s">
        <v>51</v>
      </c>
      <c r="J93" s="3" t="s">
        <v>51</v>
      </c>
      <c r="K93" s="1" t="b">
        <f aca="false">TRUE()</f>
        <v>1</v>
      </c>
      <c r="L93" s="1" t="b">
        <f aca="false">FALSE()</f>
        <v>0</v>
      </c>
      <c r="M93" s="1" t="b">
        <f aca="false">FALSE()</f>
        <v>0</v>
      </c>
      <c r="N93" s="1" t="b">
        <f aca="false">FALSE()</f>
        <v>0</v>
      </c>
      <c r="O93" s="1" t="b">
        <f aca="false">FALSE()</f>
        <v>0</v>
      </c>
    </row>
    <row r="94" customFormat="false" ht="15" hidden="false" customHeight="false" outlineLevel="0" collapsed="false">
      <c r="A94" s="3" t="s">
        <v>406</v>
      </c>
      <c r="B94" s="3" t="s">
        <v>407</v>
      </c>
      <c r="C94" s="3" t="s">
        <v>408</v>
      </c>
      <c r="D94" s="3" t="s">
        <v>20</v>
      </c>
      <c r="E94" s="3" t="s">
        <v>20</v>
      </c>
      <c r="F94" s="3" t="n">
        <v>5</v>
      </c>
      <c r="G94" s="3" t="s">
        <v>409</v>
      </c>
      <c r="H94" s="1" t="b">
        <f aca="false">TRUE()</f>
        <v>1</v>
      </c>
      <c r="I94" s="3" t="s">
        <v>81</v>
      </c>
      <c r="J94" s="3" t="s">
        <v>81</v>
      </c>
      <c r="K94" s="1" t="b">
        <f aca="false">TRUE()</f>
        <v>1</v>
      </c>
      <c r="L94" s="1" t="b">
        <f aca="false">FALSE()</f>
        <v>0</v>
      </c>
      <c r="M94" s="1" t="b">
        <f aca="false">TRUE()</f>
        <v>1</v>
      </c>
      <c r="N94" s="1" t="b">
        <f aca="false">FALSE()</f>
        <v>0</v>
      </c>
      <c r="O94" s="1" t="b">
        <f aca="false">FALSE()</f>
        <v>0</v>
      </c>
    </row>
    <row r="95" customFormat="false" ht="15" hidden="false" customHeight="false" outlineLevel="0" collapsed="false">
      <c r="A95" s="3" t="s">
        <v>410</v>
      </c>
      <c r="B95" s="3" t="s">
        <v>411</v>
      </c>
      <c r="C95" s="3" t="s">
        <v>412</v>
      </c>
      <c r="D95" s="3" t="s">
        <v>20</v>
      </c>
      <c r="E95" s="3" t="s">
        <v>20</v>
      </c>
      <c r="F95" s="3" t="n">
        <v>4</v>
      </c>
      <c r="G95" s="3" t="s">
        <v>413</v>
      </c>
      <c r="H95" s="1" t="b">
        <f aca="false">TRUE()</f>
        <v>1</v>
      </c>
      <c r="I95" s="3" t="s">
        <v>39</v>
      </c>
      <c r="J95" s="3" t="s">
        <v>39</v>
      </c>
      <c r="K95" s="1" t="b">
        <f aca="false">TRUE()</f>
        <v>1</v>
      </c>
      <c r="L95" s="1" t="b">
        <f aca="false">FALSE()</f>
        <v>0</v>
      </c>
      <c r="M95" s="1" t="b">
        <f aca="false">FALSE()</f>
        <v>0</v>
      </c>
      <c r="N95" s="1" t="b">
        <f aca="false">FALSE()</f>
        <v>0</v>
      </c>
      <c r="O95" s="1" t="b">
        <f aca="false">TRUE()</f>
        <v>1</v>
      </c>
    </row>
    <row r="96" customFormat="false" ht="15" hidden="false" customHeight="false" outlineLevel="0" collapsed="false">
      <c r="A96" s="3" t="s">
        <v>414</v>
      </c>
      <c r="B96" s="3" t="s">
        <v>415</v>
      </c>
      <c r="C96" s="3" t="s">
        <v>416</v>
      </c>
      <c r="D96" s="3" t="s">
        <v>49</v>
      </c>
      <c r="E96" s="3" t="s">
        <v>49</v>
      </c>
      <c r="F96" s="3" t="n">
        <v>1</v>
      </c>
      <c r="G96" s="3" t="s">
        <v>417</v>
      </c>
      <c r="H96" s="1" t="b">
        <f aca="false">TRUE()</f>
        <v>1</v>
      </c>
      <c r="I96" s="3" t="s">
        <v>51</v>
      </c>
      <c r="J96" s="3" t="s">
        <v>51</v>
      </c>
      <c r="K96" s="1" t="b">
        <f aca="false">TRUE()</f>
        <v>1</v>
      </c>
      <c r="L96" s="1" t="b">
        <f aca="false">FALSE()</f>
        <v>0</v>
      </c>
      <c r="M96" s="1" t="b">
        <f aca="false">FALSE()</f>
        <v>0</v>
      </c>
      <c r="N96" s="1" t="b">
        <f aca="false">FALSE()</f>
        <v>0</v>
      </c>
      <c r="O96" s="1" t="b">
        <f aca="false">FALSE()</f>
        <v>0</v>
      </c>
    </row>
    <row r="97" customFormat="false" ht="15" hidden="false" customHeight="false" outlineLevel="0" collapsed="false">
      <c r="A97" s="3" t="s">
        <v>418</v>
      </c>
      <c r="B97" s="3" t="s">
        <v>419</v>
      </c>
      <c r="C97" s="3" t="s">
        <v>420</v>
      </c>
      <c r="D97" s="3" t="s">
        <v>20</v>
      </c>
      <c r="E97" s="3" t="s">
        <v>20</v>
      </c>
      <c r="F97" s="3" t="n">
        <v>5</v>
      </c>
      <c r="G97" s="3" t="s">
        <v>421</v>
      </c>
      <c r="H97" s="1" t="b">
        <f aca="false">TRUE()</f>
        <v>1</v>
      </c>
      <c r="I97" s="3" t="s">
        <v>38</v>
      </c>
      <c r="J97" s="3" t="s">
        <v>38</v>
      </c>
      <c r="K97" s="1" t="b">
        <f aca="false">TRUE()</f>
        <v>1</v>
      </c>
      <c r="L97" s="1" t="b">
        <f aca="false">TRUE()</f>
        <v>1</v>
      </c>
      <c r="M97" s="1" t="b">
        <f aca="false">FALSE()</f>
        <v>0</v>
      </c>
      <c r="N97" s="1" t="b">
        <f aca="false">FALSE()</f>
        <v>0</v>
      </c>
      <c r="O97" s="1" t="b">
        <f aca="false">FALSE()</f>
        <v>0</v>
      </c>
    </row>
    <row r="98" customFormat="false" ht="15" hidden="false" customHeight="false" outlineLevel="0" collapsed="false">
      <c r="A98" s="3" t="s">
        <v>422</v>
      </c>
      <c r="B98" s="3" t="s">
        <v>423</v>
      </c>
      <c r="C98" s="3" t="s">
        <v>424</v>
      </c>
      <c r="D98" s="3" t="s">
        <v>49</v>
      </c>
      <c r="E98" s="3" t="s">
        <v>49</v>
      </c>
      <c r="F98" s="3" t="n">
        <v>2</v>
      </c>
      <c r="G98" s="3" t="s">
        <v>425</v>
      </c>
      <c r="H98" s="1" t="b">
        <f aca="false">TRUE()</f>
        <v>1</v>
      </c>
      <c r="I98" s="3" t="s">
        <v>51</v>
      </c>
      <c r="J98" s="3" t="s">
        <v>51</v>
      </c>
      <c r="K98" s="1" t="b">
        <f aca="false">TRUE()</f>
        <v>1</v>
      </c>
      <c r="L98" s="1" t="b">
        <f aca="false">FALSE()</f>
        <v>0</v>
      </c>
      <c r="M98" s="1" t="b">
        <f aca="false">FALSE()</f>
        <v>0</v>
      </c>
      <c r="N98" s="1" t="b">
        <f aca="false">FALSE()</f>
        <v>0</v>
      </c>
      <c r="O98" s="1" t="b">
        <f aca="false">FALSE()</f>
        <v>0</v>
      </c>
    </row>
    <row r="99" customFormat="false" ht="15" hidden="false" customHeight="false" outlineLevel="0" collapsed="false">
      <c r="A99" s="3" t="s">
        <v>426</v>
      </c>
      <c r="B99" s="3" t="s">
        <v>427</v>
      </c>
      <c r="C99" s="3" t="s">
        <v>428</v>
      </c>
      <c r="D99" s="3" t="s">
        <v>20</v>
      </c>
      <c r="E99" s="3" t="s">
        <v>20</v>
      </c>
      <c r="F99" s="3" t="n">
        <v>5</v>
      </c>
      <c r="G99" s="3" t="s">
        <v>429</v>
      </c>
      <c r="H99" s="1" t="b">
        <f aca="false">TRUE()</f>
        <v>1</v>
      </c>
      <c r="I99" s="3" t="s">
        <v>81</v>
      </c>
      <c r="J99" s="3" t="s">
        <v>81</v>
      </c>
      <c r="K99" s="1" t="b">
        <f aca="false">TRUE()</f>
        <v>1</v>
      </c>
      <c r="L99" s="1" t="b">
        <f aca="false">FALSE()</f>
        <v>0</v>
      </c>
      <c r="M99" s="1" t="b">
        <f aca="false">TRUE()</f>
        <v>1</v>
      </c>
      <c r="N99" s="1" t="b">
        <f aca="false">FALSE()</f>
        <v>0</v>
      </c>
      <c r="O99" s="1" t="b">
        <f aca="false">FALSE()</f>
        <v>0</v>
      </c>
    </row>
    <row r="100" customFormat="false" ht="45.1" hidden="false" customHeight="false" outlineLevel="0" collapsed="false">
      <c r="A100" s="3" t="s">
        <v>430</v>
      </c>
      <c r="B100" s="3" t="s">
        <v>431</v>
      </c>
      <c r="C100" s="4" t="s">
        <v>432</v>
      </c>
      <c r="D100" s="3" t="s">
        <v>20</v>
      </c>
      <c r="E100" s="3" t="s">
        <v>49</v>
      </c>
      <c r="F100" s="3" t="n">
        <v>2</v>
      </c>
      <c r="G100" s="3" t="s">
        <v>433</v>
      </c>
      <c r="H100" s="6" t="b">
        <f aca="false">FALSE()</f>
        <v>0</v>
      </c>
      <c r="I100" s="3" t="s">
        <v>38</v>
      </c>
      <c r="J100" s="3" t="s">
        <v>51</v>
      </c>
      <c r="K100" s="1" t="b">
        <f aca="false">FALSE()</f>
        <v>0</v>
      </c>
      <c r="L100" s="1" t="b">
        <f aca="false">FALSE()</f>
        <v>0</v>
      </c>
      <c r="M100" s="1" t="b">
        <f aca="false">FALSE()</f>
        <v>0</v>
      </c>
      <c r="N100" s="1" t="b">
        <f aca="false">FALSE()</f>
        <v>0</v>
      </c>
      <c r="O100" s="1" t="b">
        <f aca="false">FALSE()</f>
        <v>0</v>
      </c>
      <c r="Q100" s="2" t="s">
        <v>434</v>
      </c>
    </row>
    <row r="101" customFormat="false" ht="15" hidden="false" customHeight="false" outlineLevel="0" collapsed="false">
      <c r="A101" s="3" t="s">
        <v>435</v>
      </c>
      <c r="B101" s="3" t="s">
        <v>436</v>
      </c>
      <c r="C101" s="3" t="s">
        <v>437</v>
      </c>
      <c r="D101" s="3" t="s">
        <v>20</v>
      </c>
      <c r="E101" s="3" t="s">
        <v>20</v>
      </c>
      <c r="F101" s="3" t="n">
        <v>5</v>
      </c>
      <c r="G101" s="3" t="s">
        <v>438</v>
      </c>
      <c r="H101" s="1" t="b">
        <f aca="false">TRUE()</f>
        <v>1</v>
      </c>
      <c r="I101" s="3" t="s">
        <v>22</v>
      </c>
      <c r="J101" s="3" t="s">
        <v>22</v>
      </c>
      <c r="K101" s="1" t="b">
        <f aca="false">TRUE()</f>
        <v>1</v>
      </c>
      <c r="L101" s="1" t="b">
        <f aca="false">FALSE()</f>
        <v>0</v>
      </c>
      <c r="M101" s="1" t="b">
        <f aca="false">FALSE()</f>
        <v>0</v>
      </c>
      <c r="N101" s="1" t="b">
        <f aca="false">TRUE()</f>
        <v>1</v>
      </c>
      <c r="O101" s="1" t="b">
        <f aca="false">FALSE()</f>
        <v>0</v>
      </c>
    </row>
    <row r="102" customFormat="false" ht="15" hidden="false" customHeight="false" outlineLevel="0" collapsed="false">
      <c r="A102" s="3" t="s">
        <v>439</v>
      </c>
      <c r="B102" s="3" t="s">
        <v>440</v>
      </c>
      <c r="C102" s="3" t="s">
        <v>441</v>
      </c>
      <c r="D102" s="3" t="s">
        <v>20</v>
      </c>
      <c r="E102" s="3" t="s">
        <v>20</v>
      </c>
      <c r="F102" s="3" t="n">
        <v>5</v>
      </c>
      <c r="G102" s="3" t="s">
        <v>442</v>
      </c>
      <c r="H102" s="1" t="b">
        <f aca="false">TRUE()</f>
        <v>1</v>
      </c>
      <c r="I102" s="3" t="s">
        <v>22</v>
      </c>
      <c r="J102" s="3" t="s">
        <v>22</v>
      </c>
      <c r="K102" s="1" t="b">
        <f aca="false">TRUE()</f>
        <v>1</v>
      </c>
      <c r="L102" s="1" t="b">
        <f aca="false">FALSE()</f>
        <v>0</v>
      </c>
      <c r="M102" s="1" t="b">
        <f aca="false">FALSE()</f>
        <v>0</v>
      </c>
      <c r="N102" s="1" t="b">
        <f aca="false">TRUE()</f>
        <v>1</v>
      </c>
      <c r="O102" s="1" t="b">
        <f aca="false">FALSE()</f>
        <v>0</v>
      </c>
    </row>
    <row r="103" customFormat="false" ht="56" hidden="false" customHeight="false" outlineLevel="0" collapsed="false">
      <c r="A103" s="3" t="s">
        <v>443</v>
      </c>
      <c r="B103" s="3" t="s">
        <v>444</v>
      </c>
      <c r="C103" s="3" t="s">
        <v>445</v>
      </c>
      <c r="D103" s="3" t="s">
        <v>20</v>
      </c>
      <c r="E103" s="3" t="s">
        <v>20</v>
      </c>
      <c r="F103" s="3" t="n">
        <v>4</v>
      </c>
      <c r="G103" s="3" t="s">
        <v>446</v>
      </c>
      <c r="H103" s="1" t="b">
        <f aca="false">TRUE()</f>
        <v>1</v>
      </c>
      <c r="I103" s="3" t="s">
        <v>22</v>
      </c>
      <c r="J103" s="3" t="s">
        <v>39</v>
      </c>
      <c r="K103" s="9" t="b">
        <f aca="false">FALSE()</f>
        <v>0</v>
      </c>
      <c r="L103" s="1" t="b">
        <f aca="false">FALSE()</f>
        <v>0</v>
      </c>
      <c r="M103" s="1" t="b">
        <f aca="false">FALSE()</f>
        <v>0</v>
      </c>
      <c r="N103" s="1" t="b">
        <f aca="false">TRUE()</f>
        <v>1</v>
      </c>
      <c r="O103" s="1" t="b">
        <f aca="false">TRUE()</f>
        <v>1</v>
      </c>
      <c r="R103" s="2" t="s">
        <v>178</v>
      </c>
    </row>
    <row r="104" customFormat="false" ht="15" hidden="false" customHeight="false" outlineLevel="0" collapsed="false">
      <c r="A104" s="3" t="s">
        <v>447</v>
      </c>
      <c r="B104" s="3" t="s">
        <v>448</v>
      </c>
      <c r="C104" s="3" t="s">
        <v>449</v>
      </c>
      <c r="D104" s="3" t="s">
        <v>20</v>
      </c>
      <c r="E104" s="3" t="s">
        <v>20</v>
      </c>
      <c r="F104" s="3" t="n">
        <v>5</v>
      </c>
      <c r="G104" s="3" t="s">
        <v>450</v>
      </c>
      <c r="H104" s="1" t="b">
        <f aca="false">TRUE()</f>
        <v>1</v>
      </c>
      <c r="I104" s="3" t="s">
        <v>38</v>
      </c>
      <c r="J104" s="3" t="s">
        <v>38</v>
      </c>
      <c r="K104" s="1" t="b">
        <f aca="false">TRUE()</f>
        <v>1</v>
      </c>
      <c r="L104" s="1" t="b">
        <f aca="false">TRUE()</f>
        <v>1</v>
      </c>
      <c r="M104" s="1" t="b">
        <f aca="false">FALSE()</f>
        <v>0</v>
      </c>
      <c r="N104" s="1" t="b">
        <f aca="false">FALSE()</f>
        <v>0</v>
      </c>
      <c r="O104" s="1" t="b">
        <f aca="false">FALSE()</f>
        <v>0</v>
      </c>
    </row>
    <row r="105" customFormat="false" ht="15" hidden="false" customHeight="false" outlineLevel="0" collapsed="false">
      <c r="A105" s="3" t="s">
        <v>451</v>
      </c>
      <c r="B105" s="3" t="s">
        <v>452</v>
      </c>
      <c r="C105" s="3" t="s">
        <v>453</v>
      </c>
      <c r="D105" s="3" t="s">
        <v>20</v>
      </c>
      <c r="E105" s="3" t="s">
        <v>20</v>
      </c>
      <c r="F105" s="3" t="n">
        <v>5</v>
      </c>
      <c r="G105" s="3" t="s">
        <v>454</v>
      </c>
      <c r="H105" s="1" t="b">
        <f aca="false">TRUE()</f>
        <v>1</v>
      </c>
      <c r="I105" s="3" t="s">
        <v>81</v>
      </c>
      <c r="J105" s="3" t="s">
        <v>81</v>
      </c>
      <c r="K105" s="1" t="b">
        <f aca="false">TRUE()</f>
        <v>1</v>
      </c>
      <c r="L105" s="1" t="b">
        <f aca="false">FALSE()</f>
        <v>0</v>
      </c>
      <c r="M105" s="1" t="b">
        <f aca="false">TRUE()</f>
        <v>1</v>
      </c>
      <c r="N105" s="1" t="b">
        <f aca="false">FALSE()</f>
        <v>0</v>
      </c>
      <c r="O105" s="1" t="b">
        <f aca="false">FALSE()</f>
        <v>0</v>
      </c>
    </row>
    <row r="106" customFormat="false" ht="66.9" hidden="false" customHeight="false" outlineLevel="0" collapsed="false">
      <c r="A106" s="3" t="s">
        <v>455</v>
      </c>
      <c r="B106" s="3" t="s">
        <v>456</v>
      </c>
      <c r="C106" s="4" t="s">
        <v>457</v>
      </c>
      <c r="D106" s="3" t="s">
        <v>49</v>
      </c>
      <c r="E106" s="3" t="s">
        <v>49</v>
      </c>
      <c r="F106" s="3" t="n">
        <v>1</v>
      </c>
      <c r="G106" s="3" t="s">
        <v>458</v>
      </c>
      <c r="H106" s="1" t="b">
        <f aca="false">TRUE()</f>
        <v>1</v>
      </c>
      <c r="I106" s="3" t="s">
        <v>51</v>
      </c>
      <c r="J106" s="3" t="s">
        <v>51</v>
      </c>
      <c r="K106" s="1" t="b">
        <f aca="false">TRUE()</f>
        <v>1</v>
      </c>
      <c r="L106" s="1" t="b">
        <f aca="false">FALSE()</f>
        <v>0</v>
      </c>
      <c r="M106" s="1" t="b">
        <f aca="false">FALSE()</f>
        <v>0</v>
      </c>
      <c r="N106" s="1" t="b">
        <f aca="false">FALSE()</f>
        <v>0</v>
      </c>
      <c r="O106" s="1" t="b">
        <f aca="false">FALSE()</f>
        <v>0</v>
      </c>
    </row>
    <row r="107" customFormat="false" ht="34.2" hidden="false" customHeight="false" outlineLevel="0" collapsed="false">
      <c r="A107" s="3" t="s">
        <v>459</v>
      </c>
      <c r="B107" s="3" t="s">
        <v>460</v>
      </c>
      <c r="C107" s="3" t="s">
        <v>461</v>
      </c>
      <c r="D107" s="3" t="s">
        <v>20</v>
      </c>
      <c r="E107" s="3" t="s">
        <v>20</v>
      </c>
      <c r="F107" s="3" t="n">
        <v>4</v>
      </c>
      <c r="G107" s="3" t="s">
        <v>462</v>
      </c>
      <c r="H107" s="1" t="b">
        <f aca="false">TRUE()</f>
        <v>1</v>
      </c>
      <c r="I107" s="3" t="s">
        <v>39</v>
      </c>
      <c r="J107" s="3" t="s">
        <v>38</v>
      </c>
      <c r="K107" s="6" t="b">
        <f aca="false">FALSE()</f>
        <v>0</v>
      </c>
      <c r="L107" s="1" t="b">
        <f aca="false">TRUE()</f>
        <v>1</v>
      </c>
      <c r="M107" s="1" t="b">
        <f aca="false">FALSE()</f>
        <v>0</v>
      </c>
      <c r="N107" s="1" t="b">
        <f aca="false">FALSE()</f>
        <v>0</v>
      </c>
      <c r="O107" s="1" t="b">
        <f aca="false">FALSE()</f>
        <v>0</v>
      </c>
      <c r="Q107" s="4"/>
      <c r="R107" s="2" t="s">
        <v>463</v>
      </c>
    </row>
    <row r="108" customFormat="false" ht="15" hidden="false" customHeight="false" outlineLevel="0" collapsed="false">
      <c r="A108" s="3" t="s">
        <v>464</v>
      </c>
      <c r="B108" s="3" t="s">
        <v>465</v>
      </c>
      <c r="C108" s="3" t="s">
        <v>466</v>
      </c>
      <c r="D108" s="3" t="s">
        <v>20</v>
      </c>
      <c r="E108" s="3" t="s">
        <v>20</v>
      </c>
      <c r="F108" s="3" t="n">
        <v>5</v>
      </c>
      <c r="G108" s="3" t="s">
        <v>467</v>
      </c>
      <c r="H108" s="1" t="b">
        <f aca="false">TRUE()</f>
        <v>1</v>
      </c>
      <c r="I108" s="3" t="s">
        <v>22</v>
      </c>
      <c r="J108" s="3" t="s">
        <v>22</v>
      </c>
      <c r="K108" s="1" t="b">
        <f aca="false">TRUE()</f>
        <v>1</v>
      </c>
      <c r="L108" s="1" t="b">
        <f aca="false">FALSE()</f>
        <v>0</v>
      </c>
      <c r="M108" s="1" t="b">
        <f aca="false">FALSE()</f>
        <v>0</v>
      </c>
      <c r="N108" s="1" t="b">
        <f aca="false">TRUE()</f>
        <v>1</v>
      </c>
      <c r="O108" s="1" t="b">
        <f aca="false">FALSE()</f>
        <v>0</v>
      </c>
    </row>
    <row r="109" customFormat="false" ht="15" hidden="false" customHeight="false" outlineLevel="0" collapsed="false">
      <c r="A109" s="3" t="s">
        <v>468</v>
      </c>
      <c r="B109" s="3" t="s">
        <v>469</v>
      </c>
      <c r="C109" s="3" t="s">
        <v>470</v>
      </c>
      <c r="D109" s="3" t="s">
        <v>20</v>
      </c>
      <c r="E109" s="3" t="s">
        <v>20</v>
      </c>
      <c r="F109" s="3" t="n">
        <v>5</v>
      </c>
      <c r="G109" s="3" t="s">
        <v>471</v>
      </c>
      <c r="H109" s="1" t="b">
        <f aca="false">TRUE()</f>
        <v>1</v>
      </c>
      <c r="I109" s="3" t="s">
        <v>22</v>
      </c>
      <c r="J109" s="3" t="s">
        <v>22</v>
      </c>
      <c r="K109" s="1" t="b">
        <f aca="false">TRUE()</f>
        <v>1</v>
      </c>
      <c r="L109" s="1" t="b">
        <f aca="false">FALSE()</f>
        <v>0</v>
      </c>
      <c r="M109" s="1" t="b">
        <f aca="false">FALSE()</f>
        <v>0</v>
      </c>
      <c r="N109" s="1" t="b">
        <f aca="false">TRUE()</f>
        <v>1</v>
      </c>
      <c r="O109" s="1" t="b">
        <f aca="false">FALSE()</f>
        <v>0</v>
      </c>
    </row>
    <row r="110" customFormat="false" ht="15" hidden="false" customHeight="false" outlineLevel="0" collapsed="false">
      <c r="A110" s="3" t="s">
        <v>472</v>
      </c>
      <c r="B110" s="3" t="s">
        <v>473</v>
      </c>
      <c r="C110" s="3" t="s">
        <v>474</v>
      </c>
      <c r="D110" s="3" t="s">
        <v>20</v>
      </c>
      <c r="E110" s="3" t="s">
        <v>20</v>
      </c>
      <c r="F110" s="3" t="n">
        <v>5</v>
      </c>
      <c r="G110" s="3" t="s">
        <v>475</v>
      </c>
      <c r="H110" s="1" t="b">
        <f aca="false">TRUE()</f>
        <v>1</v>
      </c>
      <c r="I110" s="3" t="s">
        <v>38</v>
      </c>
      <c r="J110" s="3" t="s">
        <v>38</v>
      </c>
      <c r="K110" s="1" t="b">
        <f aca="false">TRUE()</f>
        <v>1</v>
      </c>
      <c r="L110" s="1" t="b">
        <f aca="false">TRUE()</f>
        <v>1</v>
      </c>
      <c r="M110" s="1" t="b">
        <f aca="false">FALSE()</f>
        <v>0</v>
      </c>
      <c r="N110" s="1" t="b">
        <f aca="false">FALSE()</f>
        <v>0</v>
      </c>
      <c r="O110" s="1" t="b">
        <f aca="false">FALSE()</f>
        <v>0</v>
      </c>
    </row>
    <row r="111" customFormat="false" ht="15" hidden="false" customHeight="false" outlineLevel="0" collapsed="false">
      <c r="A111" s="3" t="s">
        <v>476</v>
      </c>
      <c r="B111" s="3" t="s">
        <v>477</v>
      </c>
      <c r="C111" s="3" t="s">
        <v>478</v>
      </c>
      <c r="D111" s="3" t="s">
        <v>20</v>
      </c>
      <c r="E111" s="3" t="s">
        <v>20</v>
      </c>
      <c r="F111" s="3" t="n">
        <v>5</v>
      </c>
      <c r="G111" s="3" t="s">
        <v>479</v>
      </c>
      <c r="H111" s="1" t="b">
        <f aca="false">TRUE()</f>
        <v>1</v>
      </c>
      <c r="I111" s="3" t="s">
        <v>39</v>
      </c>
      <c r="J111" s="3" t="s">
        <v>39</v>
      </c>
      <c r="K111" s="1" t="b">
        <f aca="false">TRUE()</f>
        <v>1</v>
      </c>
      <c r="L111" s="1" t="b">
        <f aca="false">FALSE()</f>
        <v>0</v>
      </c>
      <c r="M111" s="1" t="b">
        <f aca="false">FALSE()</f>
        <v>0</v>
      </c>
      <c r="N111" s="1" t="b">
        <f aca="false">FALSE()</f>
        <v>0</v>
      </c>
      <c r="O111" s="1" t="b">
        <f aca="false">TRUE()</f>
        <v>1</v>
      </c>
    </row>
    <row r="113" customFormat="false" ht="56" hidden="false" customHeight="false" outlineLevel="0" collapsed="false">
      <c r="F113" s="1" t="n">
        <f aca="false">100*(COUNTIF(F2:F111,2)+COUNTIF(F2:F111,3))/COUNT(F2:F111)</f>
        <v>19.2660550458716</v>
      </c>
      <c r="G113" s="1" t="s">
        <v>480</v>
      </c>
      <c r="R113" s="11" t="s">
        <v>481</v>
      </c>
    </row>
    <row r="114" customFormat="false" ht="66.9" hidden="false" customHeight="false" outlineLevel="0" collapsed="false">
      <c r="R114" s="4" t="s">
        <v>482</v>
      </c>
    </row>
    <row r="115" customFormat="false" ht="23.3" hidden="false" customHeight="false" outlineLevel="0" collapsed="false">
      <c r="R115" s="2" t="s">
        <v>483</v>
      </c>
    </row>
    <row r="116" customFormat="false" ht="45.1" hidden="false" customHeight="false" outlineLevel="0" collapsed="false">
      <c r="R116" s="2" t="s">
        <v>484</v>
      </c>
    </row>
    <row r="117" customFormat="false" ht="15" hidden="false" customHeight="false" outlineLevel="0" collapsed="false">
      <c r="R117" s="2" t="s">
        <v>485</v>
      </c>
    </row>
    <row r="118" customFormat="false" ht="23.3" hidden="false" customHeight="false" outlineLevel="0" collapsed="false">
      <c r="R118" s="2" t="s">
        <v>486</v>
      </c>
    </row>
    <row r="119" customFormat="false" ht="23.3" hidden="false" customHeight="false" outlineLevel="0" collapsed="false">
      <c r="R119" s="2" t="s">
        <v>487</v>
      </c>
    </row>
    <row r="120" customFormat="false" ht="34.2" hidden="false" customHeight="false" outlineLevel="0" collapsed="false">
      <c r="R120" s="2" t="s">
        <v>488</v>
      </c>
    </row>
    <row r="121" customFormat="false" ht="34.2" hidden="false" customHeight="false" outlineLevel="0" collapsed="false">
      <c r="R121" s="2" t="s">
        <v>489</v>
      </c>
    </row>
  </sheetData>
  <autoFilter ref="O1:O1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3" t="s">
        <v>490</v>
      </c>
      <c r="B1" s="3" t="s">
        <v>491</v>
      </c>
      <c r="C1" s="3" t="s">
        <v>492</v>
      </c>
    </row>
    <row r="2" customFormat="false" ht="15" hidden="false" customHeight="false" outlineLevel="0" collapsed="false">
      <c r="A2" s="3" t="s">
        <v>493</v>
      </c>
      <c r="B2" s="3" t="s">
        <v>494</v>
      </c>
      <c r="C2" s="3" t="n">
        <v>110</v>
      </c>
    </row>
    <row r="3" customFormat="false" ht="15" hidden="false" customHeight="false" outlineLevel="0" collapsed="false">
      <c r="A3" s="3" t="s">
        <v>495</v>
      </c>
      <c r="B3" s="3" t="s">
        <v>496</v>
      </c>
      <c r="C3" s="3" t="n">
        <v>110</v>
      </c>
    </row>
    <row r="4" customFormat="false" ht="15" hidden="false" customHeight="false" outlineLevel="0" collapsed="false">
      <c r="A4" s="3" t="s">
        <v>497</v>
      </c>
      <c r="B4" s="3" t="s">
        <v>498</v>
      </c>
      <c r="C4" s="3" t="n">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2026-06-12T15:50:46Z</dcterms:created>
  <dc:creator>openpyxl</dc:creator>
  <dc:description/>
  <dc:language>en-GB</dc:language>
  <cp:lastModifiedBy/>
  <dcterms:modified xsi:type="dcterms:W3CDTF">2026-06-13T21:24:34Z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