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<sst xmlns="http://schemas.openxmlformats.org/spreadsheetml/2006/main" count="315" uniqueCount="178">
  <si>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</si>
  <si>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</si>
  <si>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</si>
  <si>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</si>
  <si>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</si>
  <si>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</si>
  <si>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</si>
  <si>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</si>
  <si>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</si>
  <si>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</si>
  <si>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</si>
  <si>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</si>
  <si>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</si>
  <si>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</si>
  <si>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</si>
  <si>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pub.1193718255</t>
  </si>
  <si>
    <t xml:space="preserve">Associations between the EAT-Lancet Index, food group consumption and Eatwell Guide adherence in UK adults</t>
  </si>
  <si>
    <t xml:space="preserve">The EAT-Lancet Commission’s “Planetary Health Diet” (PHD) aims to optimise population health and environmental sustainability by promoting a plant-forward diet with animal products consumed in moderation (1) . The UK’s Eatwell Guide provides recommendations for key nutrients and food groups to achieve a healthy, balanced diet; greater adherence is associated with environmental benefits (2) . This secondary analysis examines the relationships between PHD adherence, food group intakes and compliance with the Eatwell Guide in UK adults. Data from disease-free UK adults aged ≥18 years (n=452) were pooled from five cross- sectional analyses that recorded habitual dietary intake using the eNutri food frequency questionnaire, which generated nutrient and food group data (3) . EAT-Lancet Index scores were calculated (4) for each participant then stratified into quartiles (Q), with the highest scores in Q4 (representing greater adherence to the PHD). Adherence to the 9 Eatwell Guide recommendations were determined for each quartile then classified as ‘very low’ (0– 2 recommendations met), ‘low’ (3–4) or ‘intermediate-to-high’ (5–9) (2) . ANCOVA (adjusted for sex, age, physical activity, ethnicity, employment status, and body mass index (BMI)) compared the mean daily intakes of 17 food groups across quartiles. If significant, pairwise comparisons with Bonferroni correction were determined. P values ≤0.01 were considered significant for all. Study participants had a mean (SD) age of 44 (19) years and a BMI of 25.7 (6.0) kg/m2 and 79.6% were female. Adherence to the Eatwell Guide was very low in Q1 and Q2, low in Q3 and intermediate-to-high in Q4 (where 5 out of the 9 recommendations were met). Compared to Q1, higher adherence to the PHD (Q4) was associated with higher intakes of ‘fruits and vegetables’ (+408 g/d), ‘pulses’ (+25.0 g/d), ‘whole grains’(+29.2 g/d), ‘nuts and seeds’(+15.8 g/d) ‘plant-based meat alternatives’ (+14.3 g/d) and ‘plant-based dairy alternatives’ (+110 g/d) (all p≤0.001). In contrast, Q4 had lower intakes of ‘eggs’ (-17.0 g/d), ‘potatoes’(-50.5 g/d), ‘poultry’ (-38.1 g/d), ‘red meat’(-40.4 g/d), ‘processed meat’(-22.5 g/d), ‘refined grains’ (-65.0 g/d) and ‘dairy products’ (-110 g/d) relative to Q1 (all p≤0.001). Although intakes of ‘unsaturated fats and oils’ and ‘fish and other seafood’ were highest in Q4, neither was significantly different from the other quartiles. Greater adherence to the PHD was associated with higher intakes of plant-based foods (including a two-fold higher intake in fruits and vegetables), and lower consumption of animal products, notably a five-fold lower intake of red meat. Moreover, UK adults whose diets more closely reflected the PHD also met a higher proportion of Eatwell Guide recommendations. These findings suggest that closer adherence to the PHD aligns with greater compliance to UK dietary guidelines (Eatwell Guide), reflecting a more favorable dietary pattern.</t>
  </si>
  <si>
    <t xml:space="preserve">in</t>
  </si>
  <si>
    <t xml:space="preserve">out</t>
  </si>
  <si>
    <t xml:space="preserve">This study examines dietary adherence to the EAT-Lancet Planetary Health Diet and Eatwell Guide in UK adults, and while it mentions plant-based meat and dairy alternatives as food groups, it is fundamentally a dietary epidemiology study on general diet quality rather than research advancing alternative protein development, characterisation, or acceptance.</t>
  </si>
  <si>
    <t xml:space="preserve">PB</t>
  </si>
  <si>
    <t xml:space="preserve">NA</t>
  </si>
  <si>
    <t xml:space="preserve">Borderline, but should be included. It’s a 2 so can go for manual review</t>
  </si>
  <si>
    <t xml:space="preserve">pub.1195208348</t>
  </si>
  <si>
    <t xml:space="preserve">Plant-based proteins for infant formula: findings and recommendations from the ILSI Europe workshop</t>
  </si>
  <si>
    <t xml:space="preserve">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</si>
  <si>
    <t xml:space="preserve">This review directly addresses plant-based protein sources (soy, rice, pea, lentil, faba bean) for use in infant formula, covering nutritional adequacy, processing, allergenicity, and regulatory aspects, which falls within the in-scope definition of alternative proteins for human food including general nutritional products for healthy populations.</t>
  </si>
  <si>
    <t xml:space="preserve">pub.1193233825</t>
  </si>
  <si>
    <t xml:space="preserve">Development of plant-based infant complementary food from Cucumeropsis mannii, Dioscorea dumetorum, Musa paradiasica, and Malus domestica fermented with lactic acid bacteria</t>
  </si>
  <si>
    <t xml:space="preserve">Plant-based complementary foods offer a promising alternative to conventional infant formulas; however, their nutritional limitations, anti-nutritional factors, and functional properties require optimization to ensure suitability for infant nutrition. In this study, a novel ready-to-eat plant-based infant food in paste form was developed from Cucumeropsis mannii (Melon seeds), Dioscorea dumetorum (sweet Yellow Yam tubers), banana, and apple through fermentation with lactic acid bacteria (LAB) to enhance its nutritional properties. After starter screening and fermentation optimization, the formulation was individually inoculated with 6 Log CFU/g of Lacticaseibacillus paracasei (SK8), Leuconostoc mesenteroides (GSL7), and Lactiplantibacillus plantarum (AFI5), and incubated at 30 °C for 24 h. Subsequently, the effect of fermentation on chemical composition, peptide profile, and antioxidant capacity was investigated. Compared to the control formulation (RAW-F3), fermentation induced distinct changes in sugar consumption, free amino acids content, peptides profiles, along with reductions in key anti-nutritional factors (particularly phytic acid and saponins). Proteolysis driven by enzymes produced by LAB contributed to a modified free amino acid profile, with the formulation inoculated with L. paracasei (SK8-F3) having the highest amounts of free amino acids (401.8 mg/100 g). Likewise, a notable change in peptide profile was observed, and the formulation was inoculated with L. mesenteroides (GSL7-F3) recorded the highest diverse number of peptides (3352), followed by the formulation inoculated with L. plantarum (3417), and SK8-F3 (2697). In SK8-F3, phytic acid and saponins were significantly reduced by 75% and 50%, respectively, compared to RAW-F3 (P &lt; 0.05). Generally, fermentation enhanced total phenolic content and antioxidant activity, with the highest phenolics in GSL7-F3 (267 mg/L) and the strongest DPPH scavenging in AFI5-F3 (61.3%). Procyanidin B2 and caffeic acid peaked in SK8-F3, while ferulic acid and phloridzin remained consistently high across all formulations. Metabolism by LAB also contributed to improved sensory properties, with the SK8-F3 and AFI5-F3 formulations receiving the highest sensory scores. Overall, our findings affirm the role of LAB in enhancing the nutritional quality, safety, and sensory characteristics of foods, supporting their application in infant food formulations.</t>
  </si>
  <si>
    <t xml:space="preserve">This study develops a plant-based infant complementary food using fermentation with lactic acid bacteria to enhance nutritional properties, which is in scope as it concerns plant-based alternative protein ingredients for human food (infant nutrition) with fermentation as a processing method applied to plant materials.</t>
  </si>
  <si>
    <t xml:space="preserve">CC</t>
  </si>
  <si>
    <t xml:space="preserve">Forever fighting the PB vs F overlap</t>
  </si>
  <si>
    <t xml:space="preserve">pub.1191132017</t>
  </si>
  <si>
    <t xml:space="preserve">ELABORACIÓN DE ANÁLOGOS CÁRNICOS MEDIANTE EL PROCESO DE EXTRUSIÓN DE ALTA HUMEDAD A PARTIR DE AISLADO DE PROTEÍNA DE HABA Y SALVADO DE TRIGO INTEGRAL</t>
  </si>
  <si>
    <t xml:space="preserve">El interés por una alimentación saludable ha crecido en los últimos años, aumentando el consumo de proteínas. La carne es la principal fuente de proteínas, aunque su consumo se ha visto reducido por su impacto negativo en la salud, el medio ambiente y su elevado precio. Esto impulsa la búsqueda de alternativas más sostenibles, como los análogos cárnicos. Estos productos imitan la carne y son elaborados a partir de proteínas vegetales mediante la tecnología de extrusión. Entre las diversas fuentes de proteínas vegetales, las legumbres son las más comunes por su elevada calidad proteica. Este estudio se centró en el desarrollo de análogos cárnicos utilizando aislado de proteína de haba y salvado de trigo integral en una proporción 2:1 respectivamente. Se elaboraron tres lotes con diferente contenido de agua:harina inicial, siendo HA: 60%:40%, HM: 50%:50% y HB: 40%:50% respectivamente. Los lotes HA y HM se prepararon mezclando el agua y la materia prima antes de añadirlos al extrusor. El lote HM se elaboró añadiendo la materia prima manualmente al extrusor y el flujo de agua fue de 18 ml/min a través de una bomba. Las muestras se procesaron en una extrusora de doble tornillo a una velocidad de 150 rpm. Se evaluó el índice de absorción de agua de la harina de haba y su mezcla con salvado de trigo, sin encontrarse diferencias significativas entre ambas. Las muestras texturizadas presentaron diferentes niveles de humedad lo que afectó el color y la textura. La muestra HB, con menor humedad, fue la más oscura. En cuanto a la textura, la muestra HB tuvo mayor dureza, gomosidad y masticabilidad que HM y HA debido a su menor contenido de humedad. No se observaron diferencias significativas en la capacidad de retención de agua entre las muestras.
Interest in healthy eating has grown in recent years, increasing the consumption of protein. Meat is the main source of protein, although its consumption has been reduced due to its negative impact on health, the environment and its high price. This is driving the search for more sustainable alternatives, such as meat analogues. These products mimic meat and are made from vegetable proteins using extrusion technology. Among the various sources of vegetable proteins, pulses are the most common due to their high protein quality. This study focused on the development of meat analogues using bean protein isolate and whole wheat bran in a 2:1 ratio respectively. Three batches were prepared with different initial water:flour content, being HA: 60%:40%, HM: 50%:50% and HB: 40%:50% respectively. The HA and HM batches were prepared by mixing the water and raw material before adding them to the extruder. The HM batch was prepared by adding the feedstock manually to the extruder and the water flow was 18 ml/min through a pump. The samples were processed in a twin screw extruder at a speed of 150 rpm. The water absorption rate of broad bean flour and its mixture with wheat bran were evaluated, with no significant differences between the two. The textured samples had different moisture levels, which affected colour and texture. The HB sample, with the lowest moisture content, was the darkest. In terms of texture, the HB sample had higher hardness, gumminess and chewiness than HM and HA due to its lower moisture content. No significant differences in water holding capacity were observed between the samples.</t>
  </si>
  <si>
    <t xml:space="preserve">This study directly develops plant-based meat analogues using faba bean protein isolate and wheat bran via high-moisture extrusion, which is clearly within the scope of alternative protein research.</t>
  </si>
  <si>
    <t xml:space="preserve">pub.1188951678</t>
  </si>
  <si>
    <t xml:space="preserve">Modifications in lipids and storage proteins composition during germination of chia seeds (Salvia hispanica L.)</t>
  </si>
  <si>
    <t xml:space="preserve">Salvia hispanica L. (chia) is a plant of the Lamiaceae family native to Central America, is mainly grown in southwestern France, with a preference for the ORURO® variety. Chia seeds contain over 30 % oil and 19 % protein. They are rich in omega-3 (ω3) and omega-6 (ω6) fatty acids, with a favorable ω3/ ω6 ratio, making them a valuable source of nutrients. Chia seeds store nutrients in lipid droplets and protein bodies. During germination, these nutrients are mobilized to support seedling growth. This study explores how germination can enhance the quality of chia seed reserves for food applications. Thus, we examined the biochemical and metabolic changes during germination leading to the breakdown and mobilization of seed reserves. Using proteomics and lipidomics, we monitored changes in storage proteins and lipids during chia seed germination. Our findings revealed significant molecular remodeling, suggesting that germination may enhances chia's nutritional value for human consumption.</t>
  </si>
  <si>
    <t xml:space="preserve">This study investigates germination-induced changes in storage proteins and lipids in chia seeds with stated application in food, making it relevant to plant-based protein ingredient development for human consumption.</t>
  </si>
  <si>
    <t xml:space="preserve">pub.1187223408</t>
  </si>
  <si>
    <t xml:space="preserve">Research progress on lentil-based composite flours: physicochemical, techno-functional properties, and high-performance food applications</t>
  </si>
  <si>
    <t xml:space="preserve">As the global population continues to grow, there is an increasing need to explore alternative nutrition sources that are sustainable, affordable, and environmentally friendly. Lentils, from leguminous crops, are a promising option because of their high protein content and numerous health benefits. The Food and Agriculture Organization (FAO) has recommended the development of composite flours as an effective way to incorporate local, nutritious grains into food products. Composite flours are mixtures of different flours, often combining traditional grains with healthier alternatives like lentils. These flours are cost-effective, quick to produce, and improve food quality. While many studies explore lentil-based composite flours, few provide comprehensive reviews of their physicochemical and technological properties. Understanding these properties—such as water absorption, binding capacity, and effects on food texture and flavor—is crucial for predicting their quality and potential applications in various food systems. By reviewing the techno-functional and physicochemical characteristics of lentil-based composite flours, this study aims to fill that gap and provide insights that could promote the commercialization of food products made with these flours. Ultimately, this could help make healthier, sustainable food options more accessible to a larger population.</t>
  </si>
  <si>
    <t xml:space="preserve">Lentils are a high-protein legume crop used as an alternative protein feedstock, and this review covers the techno-functional and physicochemical properties of lentil-based composite flours for food applications, which is relevant to plant-based protein ingredient development.</t>
  </si>
  <si>
    <t xml:space="preserve">pub.1191085313</t>
  </si>
  <si>
    <t xml:space="preserve">Pseudocereals for modern diets: Multifunctional grains with superior bioactive properties, nutraceutical potential, and diverse industrial applications</t>
  </si>
  <si>
    <t xml:space="preserve">Pseudocereals, such as quinoa, buckwheat, and amaranth, have emerged as promising alternatives to traditional cereals due to their superior nutritional composition, abundance of bioactive compounds, and multifunctional properties. This review synthesizes the current knowledge of bioactive compounds present in these multifunctional grains, highlighting their superior antioxidant, anti-inflammatory, anticancer, hypocholesterolemic, and antidiabetic properties. It discusses the major bioactive compounds, including polyphenols, flavonoids, saponins, fagopyritols, and peptides, and advanced analytical approaches, including HPLC and UPLC for separation, and MS/MS and NMR spectroscopy for detection and structural elucidation. The review also highlights the nutraceutical potential of pseudocereals in preventing chronic diseases, promoting overall health, and addressing nutritional deficiencies. Furthermore, pseudocereals demonstrate significant industrial potential through their versatile applications in gluten-free bakery products, meat analogues, dairy substitutes, fermented beverages, edible films, animal feed formulations, and nutraceutical delivery systems. Considering their adaptability to marginal environments, resilience to climate stress, and superior nutritional profiles, integrating pseudocereals into modern agriculture and diets aligns with achieving SDGs such as zero hunger, good health and well-being, and sustainable agriculture. This review serves as a comprehensive resource bridging the gap between research and industry applications, highlighting future opportunities for utilizing pseudocereals to enhance food security and support sustainable agricultural systems.</t>
  </si>
  <si>
    <t xml:space="preserve">The review covers pseudocereals (quinoa, buckwheat, amaranth) as protein-rich plant sources with applications in meat analogues and dairy substitutes, which are directly relevant to plant-based alternative protein development, despite also covering nutraceutical and non-alternative-protein topics.</t>
  </si>
  <si>
    <t xml:space="preserve">pub.1188583025</t>
  </si>
  <si>
    <t xml:space="preserve">Balancing culinary excellence with ethical responsibility: A scientific perspective on animal welfare in gastronomy</t>
  </si>
  <si>
    <t xml:space="preserve">The culinary industry not only seeks gastronomic excellence but must also address society's mounting concern for animal welfare. This review explores scientific and technological advances shaping animal welfare across the contemporary food system, mapping five critical value-chain stages, animal breeding and rearing; transport and handling; slaughter practices; distribution and procurement; and culinary preparation, where ethical tensions and welfare risks converge. It synthesizes welfare frameworks from the “Five Freedoms” to sentience-based and competence models, highlighting empirical gaps, particularly for crustaceans and insects, that have prompted precautionary bans such as Switzerland's prohibition on boiling lobsters alive. It is catalog key innovations, cultured meat regulatory milestones on March 21 and July 2023, plant-based analogues from pea protein to seitan, and emerging insect-protein applications and assess their potential to decouple gastronomic quality from animal harm. By comparing EU and US regulatory frameworks and private certification schemes, it identify fragmented standards as a barrier to coherent supply-chain compliance. The paper concludes by outlining a roadmap to integrate animal welfare science into culinary curricula, foster multi-stakeholder partnerships, and leverage precision livestock and vertical-farming technologies to advance a sustainable, responsible, and compassionate gastronomy.</t>
  </si>
  <si>
    <t xml:space="preserve">The review explicitly discusses plant-based analogues (pea protein, seitan) and cultivated meat regulatory milestones as alternatives to conventional animal products, making it in scope for alternative proteins, while also covering broader cross-cutting themes of consumer acceptance, regulation, and food systems.</t>
  </si>
  <si>
    <t xml:space="preserve">pub.1148377610</t>
  </si>
  <si>
    <t xml:space="preserve">Children Prefer Natural Food, Too</t>
  </si>
  <si>
    <t xml:space="preserve">Adults often prefer things that they believe are natural, including natural foods. This preference has serious implications, such as the rejection of cultured meat and other sustainable technologies. Here we explore whether children also prefer natural foods. We conducted two preregistered studies with 374 adults and children from the United States. In Study 1, children's (N = 120) ages ranged from 6-10 years, with 57% of the sample identifying as female identifying as White/European American, whereas adults (N = 120) had a mean age of 30 years and 4 months, with 48.7% identifying as female, and 69.2% identifying as White/European American. In Study 2, children's (N = 63) aged ranged from 5-7 years, with 57% identifying as female and 66% identifying as White/European American, whereas adults (N = 64) had a mean age of 29 years and 11 months, with 60.7% of the sample identifying as female and 59% of participants identifying as White/European American. We found that, like adults, American children of these ages prefer natural over unnatural foods. This was found across two domains (fruit, juice) and a range of measures (tastiness, safety, unnaturalness, desire to consume). This preference was found in children as young as 5 years of age. Overall, we provide evidence that, at least in the United States, our tendency to prefer natural food is present even in childhood. (PsycInfo Database Record (c) 2022 APA, all rights reserved).</t>
  </si>
  <si>
    <t xml:space="preserve">The study explicitly mentions rejection of cultured meat as a serious implication of naturalness preferences, and investigates consumer acceptance attitudes relevant to alternative proteins across children and adults.</t>
  </si>
  <si>
    <t xml:space="preserve">pub.1181836516</t>
  </si>
  <si>
    <t xml:space="preserve">Gastrointestinal fate of proteins from commercial plant–based meat analogs: Silent passage through the stomach, oxidative stress in intestine, and gut dysbiosis in Wistar rats</t>
  </si>
  <si>
    <t xml:space="preserve">Plant-based meat analogs (PBMAs) are common ultra-processed foods (UPFs) included in the vegan/vegetarian diets as presumed healthy alternatives to meat and meat products. However, such health claims need to be supported by scientific evidence. To gain further insight into this topic, two commercial UPFs typically sold as meat analogs, namely, seitan (S) and tofu (T), were included in a cereal-based chow and provided to Wistar rats for 10 weeks. A group of animals had, simultaneously, an isocaloric and isoprotein experimental diet formulated with cooked beef (B). In all cases, experimental chows (∼4 kcal/g feed) had their basal protein concentration increased from 14% to 30% using proteins from S, T, or B. Upon slaughter, in vivo protein digestibility was assessed, and the entire gastrointestinal tract (digests and tissues) was analyzed for markers of oxidative stress and untargeted metabolomics. Metagenomics was also applied to assess the variation of microbiota composition as affected by dietary protein. Diets based on PBMAs showed lower protein digestibility than those containing meat and promoted an intense luminal glycoxidative stress and an inflammatory intestinal response. The fermentation of undigested oxidized proteins from T in the colon of Wistar rats likely led to formation of mutagenic metabolites such as p-cresol. The presence of these compounds in the animal models raises concerns about the potential effects of full replacement of meat by certain PBMAs in the diet. Therefore, future research might target on translational human studies to shed light on these findings.</t>
  </si>
  <si>
    <t xml:space="preserve">This study directly investigates the gastrointestinal fate, digestibility, oxidative stress, and gut microbiota effects of commercial plant-based meat analogs (seitan and tofu) in an animal model, which is clearly in scope as research advancing understanding of plant-based meat alternatives.</t>
  </si>
  <si>
    <t xml:space="preserve">pub.1173257003</t>
  </si>
  <si>
    <t xml:space="preserve">Sustainable processing of microalgae protein: Design of biphasic partitioning systems based on natural deep eutectic solvents for C-phycocyanin recovery from model aqueous solutions</t>
  </si>
  <si>
    <t xml:space="preserve">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</si>
  <si>
    <t xml:space="preserve">This publication concerns the extraction and recovery of C-phycocyanin from Spirulina (microalgae), a microbial/algal biomass protein source used as an alternative protein ingredient for food applications, making it relevant to fermentation/biomass protein processing.</t>
  </si>
  <si>
    <t xml:space="preserve">F</t>
  </si>
  <si>
    <t xml:space="preserve">pub.1175524716</t>
  </si>
  <si>
    <t xml:space="preserve">A comparative study on gelation behaviours of lentil-dairy binary protein gels treated by heat and microbial transglutaminase</t>
  </si>
  <si>
    <t xml:space="preserve">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</si>
  <si>
    <t xml:space="preserve">This study directly investigates strategies for substituting dairy proteins with lentil plant protein isolate in gel systems, advancing the development of plant-based dairy alternatives with desired techno-functional properties.</t>
  </si>
  <si>
    <t xml:space="preserve">pub.1175608755</t>
  </si>
  <si>
    <t xml:space="preserve">Comparative study of interaction and complex formation of Tremella fuciformis polysaccharide with whey protein, lentil protein, and soy protein isolates</t>
  </si>
  <si>
    <t xml:space="preserve">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</si>
  <si>
    <t xml:space="preserve">This study investigates the interaction of lentil protein and soy protein isolates (plant-based alternative protein sources) with a polysaccharide for emulsion stabilization, which is relevant to plant-based food ingredient development, though whey protein (animal-derived) is included as a comparator.</t>
  </si>
  <si>
    <t xml:space="preserve">pub.1181848290</t>
  </si>
  <si>
    <t xml:space="preserve">Consumer sensory profiling and liking of Bolognese-type sauces: how do insect and plant foods really fare against red meat?</t>
  </si>
  <si>
    <t xml:space="preserve">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</si>
  <si>
    <t xml:space="preserve">While the study includes plant-based protein sauces, a primary focus is on insect-based proteins (cricket and mealworm), which are out of scope, and the plant-based component is not sufficiently distinct to classify the publication as in scope on its own given the mixed design.</t>
  </si>
  <si>
    <t xml:space="preserve">Edit to prompt: remove insects as out of scope topic (LLM shouldn’t think they are in scope anyway)</t>
  </si>
  <si>
    <t xml:space="preserve">pub.1182396222</t>
  </si>
  <si>
    <t xml:space="preserve">The dairy production system in the north of Sweden under possible future food scenarios</t>
  </si>
  <si>
    <t xml:space="preserve">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</si>
  <si>
    <t xml:space="preserve">This study focuses on the sustainability and future scenarios of conventional dairy production in northern Sweden, with only a brief mention of novel foods from microbial cultures in one scenario, which is not the primary focus of the research.</t>
  </si>
  <si>
    <t xml:space="preserve">Genuine borderline – fine</t>
  </si>
  <si>
    <t xml:space="preserve">pub.1183157921</t>
  </si>
  <si>
    <t xml:space="preserve">Winter wheat–soybean relay intercropping in conjunction with a shift in sowing dates as a climate change adaptation and mitigation strategy for crop production in Germany</t>
  </si>
  <si>
    <t xml:space="preserve">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</si>
  <si>
    <t xml:space="preserve">This study examines soybean intercropping systems with a focus on grain protein production, making it relevant to alternative protein feedstock agronomics for a high-protein crop (soybean) used as an alternative protein source.</t>
  </si>
  <si>
    <t xml:space="preserve">pub.1197164068</t>
  </si>
  <si>
    <t xml:space="preserve">Food and ethics: How German far-right defend their dietary ideology in times of climate change</t>
  </si>
  <si>
    <t xml:space="preserve">This article examines how the German far right – specifically the Alternative für Deutschland (AfD) and die Heimat – instrumentalizes food politics to advance ideological narratives amid contemporary debates on climate change. While these parties present themselves as defenders of “ordinary people” against environmental “hysteria,” their rhetoric surrounding food, purity, and health reveals deep continuities with historical fascist thought. Through a qualitative analysis of Facebook posts, party documents, and far-right media, the study shows how concerns about pesticides, synthetic meat, insect-based foods, and halal/kosher practices are reframed as threats to the purity of the German nation and its soil. This food discourse is intertwined with broader themes of anti-elitism, climate denialism, ethnopluralism, and masculinist identity politics. Drawing on the historical precedent of Nazi dietary propaganda – which linked plant-based eating, bodily purity, and racial superiority – the article highlights how contemporary actors selectively adopt ecological language to legitimize xenophobic and exclusionary agendas. While die Heimat occasionally draws on a vegan tradition rooted in Aryan purity myths, the AfD emphasizes meat as a cultural asset tied to national identity and male strength, even as both parties claim to champion animal welfare. The study shows that far-right food politics function simultaneously as lifestyle guidance, coded extremist messaging, and a strategic tool for mainstream appeal. Ultimately, it argues that dietary discourse provides the far right with a subtle yet powerful means to normalize eco-fascist ideology under the guise of health, tradition, and environmental concern.</t>
  </si>
  <si>
    <t xml:space="preserve">While the article mentions synthetic meat, insect-based foods, and plant-based eating, these are discussed purely in the context of far-right political ideology and rhetoric rather than advancing the development, understanding, or acceptance of alternative proteins.</t>
  </si>
  <si>
    <t xml:space="preserve">CM</t>
  </si>
  <si>
    <t xml:space="preserve">pub.1196678028</t>
  </si>
  <si>
    <t xml:space="preserve">Combining plant and dairy proteins to enhance the oxidative stability of microencapsulated lipids in spray-dried powders</t>
  </si>
  <si>
    <t xml:space="preserve">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</si>
  <si>
    <t xml:space="preserve">This study focuses on microencapsulation of lipids using protein systems for oxidative stability in spray-dried powders, which is a general food technology application not specifically aimed at substituting animal-derived foods or advancing alternative protein development.</t>
  </si>
  <si>
    <t xml:space="preserve">pub.1196657616</t>
  </si>
  <si>
    <t xml:space="preserve">What is the role of plant-based alternatives to animal foods in the Great Food Transformation? A narrative review.</t>
  </si>
  <si>
    <t xml:space="preserve">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</si>
  <si>
    <t xml:space="preserve">This review explicitly evaluates plant-based alternatives to animal foods (meat, dairy, milk, yoghurt analogues) across nutritional, environmental, and policy dimensions, directly fitting the alternative proteins scope.</t>
  </si>
  <si>
    <t xml:space="preserve">pub.1196619630</t>
  </si>
  <si>
    <t xml:space="preserve">Production of Kefir and Kefir-like Beverages: Fundamental Aspects, Advances, and Future Challenges</t>
  </si>
  <si>
    <t xml:space="preserve">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</si>
  <si>
    <t xml:space="preserve">Kefir and kefir-like beverages are traditional fermented dairy or plant-based probiotic drinks, not alternative protein products substituting animal-derived foods, and the research focuses on fermentation process optimization for functional/probiotic beverages rather than alternative protein development.</t>
  </si>
  <si>
    <t xml:space="preserve">pub.1196599903</t>
  </si>
  <si>
    <t xml:space="preserve">Special issue related to the 3rd NIZO Plant Protein Conference</t>
  </si>
  <si>
    <t xml:space="preserve">A conference proceedings special issue on plant protein is likely in scope as it concerns plant protein research, though the lack of an abstract makes it difficult to confirm specific content.</t>
  </si>
  <si>
    <t xml:space="preserve">pub.1196595072</t>
  </si>
  <si>
    <t xml:space="preserve">Proteins supplements and protein-containing products use in ice cream – A review</t>
  </si>
  <si>
    <t xml:space="preserve">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</si>
  <si>
    <t xml:space="preserve">This review covers protein supplementation in ice cream including plant-based and microbial (fermentation-derived) protein sources as alternatives to conventional dairy proteins, which is in scope as it concerns alternative protein ingredients and their functional application in food products, despite also covering out-of-scope insect proteins.</t>
  </si>
  <si>
    <t xml:space="preserve">pub.1196580100</t>
  </si>
  <si>
    <t xml:space="preserve">Agro-Waste as a Source of Functional Proteins: Extraction, Purification and Applications in Food and Nutraceutical Industries</t>
  </si>
  <si>
    <t xml:space="preserve">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</si>
  <si>
    <t xml:space="preserve">While this review covers protein extraction from plant-based agro-waste, the primary focus is on bioactive peptides and nutraceutical applications (antioxidant, antimicrobial, antihypertensive properties) rather than alternative protein ingredients intended to substitute animal-derived foods, and the nutraceutical/medical nutrition framing places it outside the alternative protein scope.</t>
  </si>
  <si>
    <t xml:space="preserve">pub.1196485914</t>
  </si>
  <si>
    <t xml:space="preserve">Consumer‐Perceived Responsible Innovation: Scale Development and Its Influence on Adoption and Anticonsumption</t>
  </si>
  <si>
    <t xml:space="preserve">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</si>
  <si>
    <t xml:space="preserve">The study develops a consumer perception scale tested across multiple innovation contexts including cultured meat, making it partially relevant to alternative proteins (cultivated meat consumer acceptance), though alternative proteins are not the primary focus.</t>
  </si>
  <si>
    <t xml:space="preserve">pub.1196249573</t>
  </si>
  <si>
    <t xml:space="preserve">Techno-Fixes: On the Non-Disruptive Disruptions of Cultured Meat, Social Freezing and AI Assistants.</t>
  </si>
  <si>
    <t xml:space="preserve">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</si>
  <si>
    <t xml:space="preserve">This sociological analysis of 'techno-fixes' includes cultivated meat as one of three case studies, examining its sociomaterial scripts and innovation processes, which constitutes meaningful discussion of cultivated meat in a societal/policy context even though it is not the sole focus.</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</si>
  <si>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</si>
  <si>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</si>
  <si>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</si>
  <si>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project explicitly covers alternative proteins from legumes, microalgae, and fermentation for food applications, which are in scope, even though insect proteins (out of scope) and feed applications are also mentioned.</t>
  </si>
  <si>
    <t xml:space="preserve">pub.1195931632</t>
  </si>
  <si>
    <t xml:space="preserve">Biomass and bioethanol production from pretreated mixed fruit peel hydrolysate using Saccharomyces cerevisiae strains at different pH and oxygen conditions</t>
  </si>
  <si>
    <t xml:space="preserve">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</si>
  <si>
    <t xml:space="preserve">While the study mentions single-cell protein (SCP) production from yeast biomass, the primary focus is on bioethanol production as a biofuel, and the SCP application is not explicitly directed toward human food as an alternative protein; the study is primarily a bioprocessing/biofuel study.</t>
  </si>
  <si>
    <t xml:space="preserve">It’s a bit borderline but should be in scope for SCP.</t>
  </si>
  <si>
    <t xml:space="preserve">pub.1195697981</t>
  </si>
  <si>
    <t xml:space="preserve">Protein-Enriched Fruit Smoothies with Wet Spirulina Biomass: High-Pressure Processing (HPP) and Quality Stability Evaluation</t>
  </si>
  <si>
    <t xml:space="preserve">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</si>
  <si>
    <t xml:space="preserve">This study develops a protein-enriched smoothie using wet Spirulina biomass (microalgae, biomass fermentation) and chickpea protein concentrate (plant-based) as non-animal protein sources, directly advancing alternative protein ingredient development for human food.</t>
  </si>
  <si>
    <t xml:space="preserve">pub.1195363103</t>
  </si>
  <si>
    <t xml:space="preserve">Pedoclimatic, knowledge and management factors drive European soybean and faba bean yields</t>
  </si>
  <si>
    <t xml:space="preserve">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</si>
  <si>
    <t xml:space="preserve">This agronomic survey focuses on soybean and faba bean yield gaps in European cropping systems; both are high-protein crops used as alternative protein feedstocks, making this in scope under agronomic research on alternative protein crops.</t>
  </si>
  <si>
    <t xml:space="preserve">pub.1195267885</t>
  </si>
  <si>
    <t xml:space="preserve">Consumer-Oriented Perspectives for Sustainable Animal Products and Consumption</t>
  </si>
  <si>
    <t xml:space="preserve">Intensive livestock production faces scrutiny due to ethical and ecological concerns and is increasingly in need of transformation. Outlining the goal of “less but better” animal products as a driver for sustainability transformation, this chapter describes potential transformations within the livestock sector at a techno-science level and thereafter discusses the role consumers play in enabling sustainability transformation success. Using techno-science arguments as marketing tools is not sufficient to gain acceptance for and drive sustainability transformations in the intensive livestock sector. Consumer perspectives, including maintaining sector transparency, understanding price constraints, and overcoming habitual buying behavior, are essential for the success of sustainability transformations in the livestock sector. Due to forthcoming sector disruptions, such as advances in cellular agriculture, the livestock sector should focus on increasing extrinsic and intrinsic quality within its products while creating synergies with other sectors to continue to provide nutritious healthy food for all.</t>
  </si>
  <si>
    <t xml:space="preserve">This chapter discusses sustainability transformation in the livestock sector including cellular agriculture/cultivated meat as a forthcoming disruption, and addresses consumer acceptance of alternative proteins in a cross-cutting context, making it marginally in scope.</t>
  </si>
  <si>
    <t xml:space="preserve">pub.1167159775</t>
  </si>
  <si>
    <t xml:space="preserve">Potential for Saccharina latissima Flour as a Functional Ingredient in the Baking Sector</t>
  </si>
  <si>
    <t xml:space="preserve">The healthy "superfood" sector is currently quickly developing in Europe, and grocery stores are increasingly stocking macroalgae food supplements. Due to its high amount of protein, fiber, and minerals, numerous studies have demonstrated that seaweed has a significant potential for usage as a functional ingredient in the food sector. The aim of the current study was to evaluate the rheological (ICC 173 standard method) and chemical potentials of using Saccharina latissima flour in the bread sector. The calcium level of S. latissima flour was found to be 8236 mg/kg, the magnesium level was 6041 mg/kg, the K concentration was 62,088 mg/kg, the iron content was 35.23 mg/kg, the P content was 2263 mg/kg, and the I content was 12,530 mg/kg, significantly higher values than those of wheat flour. The antioxidant properties of the algae powder used were highlighted by the analysis of the total polyphenol content and its antioxidant activity (DPPH method). Four bread samples, which were compared with the control sample entirely made of wheat flour in order to evaluate their potential, were made, using a replacement degree from 1.5% to 6% of S. latissima. Rheological analyses were completed using the ICC 173 standard method, as well as sensorial analysis, where a panel of assessors' evaluations compared the sensory properties of samples with 1.5-6% of S. latissima flour to a control sample manufactured with flour type 650. It was concluded that sample A1 (1.5% algae flour) has sensorial properties similar to those of the control sample, and, for the other samples, the properties began to degrade with the increase in the amount of algae flour. Textural analyses performed during 96 h of storage show that the firmness and gumminess increase with the addition of algae flour and over time. The conclusions indicated that samples comprising 4.5% and 6% of S. latissima are unsatisfactory from a rheological and sensory perspective, while samples having 1.5% and 3% of S. latissima can be viewed as sources of fiber and minerals.</t>
  </si>
  <si>
    <t xml:space="preserve">This study investigates Saccharina latissima (macroalgae) flour as a functional ingredient in bread, which is not an alternative protein product substituting animal-derived foods, and the primary focus is on minerals, fiber, and rheological properties in baking rather than protein as an alternative to animal products.</t>
  </si>
  <si>
    <t xml:space="preserve">Agreed, out of scope (bread only)</t>
  </si>
  <si>
    <t xml:space="preserve">pub.1172688819</t>
  </si>
  <si>
    <t xml:space="preserve">Cultivating blue food proteins: Innovating next-generation ingredients from macro and microalgae</t>
  </si>
  <si>
    <t xml:space="preserve">The rising global population has decreased available land, demanding food security. In reaction, sustainable sources like aquatic foods, or “blue foods,” derived from freshwater and marine ecosystems, arise from high-quality protein. Algae, a key blue food protein, is pivotal in meeting the food industry's needs. Algae are divided into two categories based on cellular structure: macroalgae, also known as seaweeds, which are large aquatic plants, and microalgae, which are tiny eukaryotic organisms. Both macro and microalgae are nutrient-dense, offering essential amino acids and bioactive compounds, making them a promising solution for the growing demand for sustainable protein sources. Algae proteins, with their remarkable functional properties such as solubility, emulsification, foaming, gelation, and coloring, can be produced sustainably without competing for agricultural land. Research has explored incorporating algae biomass into food products like cookies, bread, yogurt, snacks, and soups to boost protein content. This review delves into the origins, varieties, physical and techno-functional characteristics, and uses of macro and microalgae proteins in food, while also addressing the benefits and drawbacks of algae proteins.</t>
  </si>
  <si>
    <t xml:space="preserve">This review covers macro and microalgae as sustainable protein sources for human food applications, including their functional properties and incorporation into food products, which falls within the plant-based alternative protein category.</t>
  </si>
  <si>
    <t xml:space="preserve">pub.1174213774</t>
  </si>
  <si>
    <t xml:space="preserve">Sustainable Development of an Innovative Spreadable Plant-Based Product of High Added Value through the Valorization of an Agro-Food By-Product</t>
  </si>
  <si>
    <t xml:space="preserve">There is an increased demand for healthy foods by the consumer nowadays, while at the same time, circular bio-economy and sustainability in food production represent top priority issues for the food industry. In this context, purslane, a highly nutritious annual plant that grows abundant during the hottest months of the year but is considered a by-product of the agricultural process, was utilized for the development of an innovative, ready-to-eat food product suitable for a vegetarian diet in the form of a bread spread. Following an initial small-scale experimentation for the stabilization of apparent quality attributes, the product’s recipe was finalized on an industrial scale, and the hazard analysis and critical control point (HACCP) for the manufacturing process, the physicochemical (pH, water activity) and sensorial analysis of the end product, together with its nutritional value, shelf-life, and antioxidant capacity, were determined. The results suggested that the acidic (pH 4.3) product had a shelf-life of a minimum of six months to one year and, according to EU legislation, it comprised a source of (dietary) fibers and protein, while being high in poly-unsaturated (e.g., omega-3, omega-6), and mono-unsaturated (e.g., oleic acid) fatty acids. Total phenolic content (TPC) with the Folin–Ciocalteau assay and total antioxidant capacity (TAC) using the Ferric-Reducing Antioxidant Power assay of the product, presented concentrations of 0.95 mg of gallic acid equivalent/g and 0.016 mmol of Fe2+/g of dry weight of sample, respectively. However, the predicted bioavailability for TPC and TAC was 28% and 31%, respectively. The product was evaluated positively by a panel of potential consumers without significant differences compared to conventional familiar products. The potential of using agro-food chain by-products, such as purslane, for the development of novel foods representing a healthy and tasty food choice at any time of the day is a promising opportunity for the food industry to meet growing consumer demands for more sustainable, nutritious, and healthy food products with a reduced environmental footprint compared to the traditional plant-originated products of intensive agriculture.</t>
  </si>
  <si>
    <t xml:space="preserve">The product is a bread spread made from purslane (a plant by-product) and while it is plant-based and protein-containing, it is not positioned as an alternative protein or analogue to animal-derived foods — it is a novel vegetable-based spread for bread, which does not substitute meat, dairy, seafood, or eggs.</t>
  </si>
  <si>
    <t xml:space="preserve">Agreed, but may be controversial. Bread spread is not an animal product, so not an alt protein.</t>
  </si>
  <si>
    <t xml:space="preserve">pub.1192662776</t>
  </si>
  <si>
    <t xml:space="preserve">Impact of spirulina biomass physical form on texture, cooking properties, and sensory profile of enriched pasta and meat analogues</t>
  </si>
  <si>
    <t xml:space="preserve">The global rising demand for proteins requires sustainable alternatives. With bacterial proteins attracting increasing interest, this study compares the incorporation of fresh frozen and dried spirulina biomass into pasta and meat analogues. In addition to characterising the biomass, the experimental protocol examines different levels of spirulina in fresh or rehydrated dried form and explores the evaluation of cooking quality parameters, textural properties and the sensory profile of the corresponding products. Seven volatile molecules were detected in the fresh form, compared to twenty-four in the dried form. When fresh spirulina is incorporated into pasta at levels of 6 % and 10 % dry equivalent, the swelling index and weight increase are greater than those of equivalent pasta made with rehydrated dried biomass. In addition, the texture and sensory profile remain closer to spirulina-free pasta. For meat analogues, texture and cooking properties are not affected by the type of biomass. The sensory profile is influenced by the level of incorporation, although at high incorporation percentage, products made with fresh spirulina are perceived as less fishy. The results highlight the potential of fresh frozen spirulina as an ingredient that can significantly enrich food products with protein without compromising organoleptic aspect and textural properties, as is the case with dried spirulina.</t>
  </si>
  <si>
    <t xml:space="preserve">This study investigates spirulina (microalgae) biomass as a protein source incorporated into pasta and meat analogues, which falls under biomass fermentation/microalgae as an alternative protein ingredient for human food.</t>
  </si>
  <si>
    <t xml:space="preserve">Lean agree with LLM. Spirulina is a microalgae and the definitions have set that to be fermentation.</t>
  </si>
  <si>
    <t xml:space="preserve">pub.1153264331</t>
  </si>
  <si>
    <t xml:space="preserve">Valorization of Local Legumes and Nuts as Key Components of the Mediterranean Diet</t>
  </si>
  <si>
    <t xml:space="preserve">Legumes and nuts are components of high importance in the diet of many countries, mainly those in the Mediterranean region. They are also very versatile and culturally diverse foods found all over the world, acting as a basic protein source in certain countries. Their genetic diversity is needed to sustain the food supply and security for humans and livestock, especially because of the current loss of habitats, species, and genetic diversity worldwide, but also because of the ever present need to feed the increasing human population. Even though both legumes and nuts are considered as high-protein food and environmentally friendly crops, developed countries have lower consumption rates when compared to Asia or Africa. With a view to increasing the consumption of legumes and nuts, the objective of this review is to present the advantages on the use of autochthonous varieties from different countries around the world, thus providing a boost to the local market in the area. The consumption of these varieties could be helped by their use in ready-to-eat foods (RTE), which are now on the rise thanks to today's fast-paced lifestyles and the search for more nutritious and sustainable foods. The versatility of legumes and nuts covers a wide range of possibilities through their use in plant-based dairy analogues, providing alternative-protein and maximal amounts of nutrients and bioactive compounds, potential plant-based flours for bakery and pasta, and added-value traditional RTE meals. For this reason, information about legume and nut nutrition could possibly increase its acceptance with consumers.</t>
  </si>
  <si>
    <t xml:space="preserve">The review explicitly covers legumes and nuts as protein sources for plant-based dairy analogues and alternative protein applications, which falls within the scope of plant-based alternative proteins.</t>
  </si>
  <si>
    <t xml:space="preserve">metric</t>
  </si>
  <si>
    <t xml:space="preserve">value</t>
  </si>
  <si>
    <t xml:space="preserve">n</t>
  </si>
  <si>
    <t xml:space="preserve">scope_accuracy</t>
  </si>
  <si>
    <t xml:space="preserve">71%</t>
  </si>
  <si>
    <t xml:space="preserve">pillar_accuracy</t>
  </si>
  <si>
    <t xml:space="preserve">57%</t>
  </si>
  <si>
    <t xml:space="preserve">pillar_accuracy_both_in_scope</t>
  </si>
  <si>
    <t xml:space="preserve">80%</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</si>
</sst>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6">
    <fill>
      <patternFill patternType="none"/>
    </fill>
    <fill>
      <patternFill patternType="gray125"/>
    </fill>
    <fill>
      <patternFill patternType="solid">
        <fgColor rgb="FFFFFF00"/>
        <bgColor rgb="FFFFFF00"/>
      </patternFill>
    </fill>
    <fill>
      <patternFill patternType="solid">
        <fgColor rgb="FFFF0000"/>
        <bgColor rgb="FF993300"/>
      </patternFill>
    </fill>
    <fill>
      <patternFill patternType="solid">
        <fgColor rgb="FF81D41A"/>
        <bgColor rgb="FFD4EA6B"/>
      </patternFill>
    </fill>
    <fill>
      <patternFill patternType="solid">
        <fgColor rgb="FFD4EA6B"/>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6"/>
  <sheetViews>
    <sheetView showFormulas="false" showGridLines="true" showRowColHeaders="true" showZeros="true" rightToLeft="false" tabSelected="true" showOutlineSymbols="true" defaultGridColor="true" view="normal" topLeftCell="A19" colorId="64" zoomScale="100" zoomScaleNormal="100" zoomScalePageLayoutView="100" workbookViewId="0">
      <selection pane="topLeft" activeCell="A35" activeCellId="0" sqref="A35"/>
    </sheetView>
  </sheetViews>
  <sheetFormatPr defaultColWidth="8.34375" defaultRowHeight="15" customHeight="false" zeroHeight="false" outlineLevelRow="0" outlineLevelCol="0"/>
  <cols>
    <col collapsed="false" customWidth="false" hidden="false" outlineLevel="0" max="8" min="1" style="1" width="8.34"/>
    <col collapsed="false" customWidth="true" hidden="false" outlineLevel="0" max="9" min="9" style="2" width="5.42"/>
    <col collapsed="false" customWidth="true" hidden="false" outlineLevel="0" max="10" min="10" style="2" width="9.63"/>
    <col collapsed="false" customWidth="true" hidden="false" outlineLevel="0" max="11" min="11" style="2" width="11.91"/>
    <col collapsed="false" customWidth="true" hidden="false" outlineLevel="0" max="12" min="12" style="2" width="15.25"/>
    <col collapsed="false" customWidth="true" hidden="false" outlineLevel="0" max="13" min="13" style="2" width="15.98"/>
    <col collapsed="false" customWidth="true" hidden="false" outlineLevel="0" max="14" min="14" style="2" width="13.38"/>
    <col collapsed="false" customWidth="true" hidden="false" outlineLevel="0" max="15" min="15" style="2" width="15.92"/>
    <col collapsed="false" customWidth="true" hidden="false" outlineLevel="0" max="16" min="16" style="2" width="11.53"/>
    <col collapsed="false" customWidth="true" hidden="false" outlineLevel="0" max="18" min="17" style="3" width="22.25"/>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customFormat="false" ht="34.2" hidden="false" customHeight="false" outlineLevel="0" collapsed="false">
      <c r="A2" s="2" t="s">
        <v>15</v>
      </c>
      <c r="B2" s="2" t="s">
        <v>16</v>
      </c>
      <c r="C2" s="2" t="s">
        <v>17</v>
      </c>
      <c r="D2" s="2" t="s">
        <v>18</v>
      </c>
      <c r="E2" s="2" t="s">
        <v>19</v>
      </c>
      <c r="F2" s="2" t="n">
        <v>2</v>
      </c>
      <c r="G2" s="2" t="s">
        <v>20</v>
      </c>
      <c r="H2" s="4" t="b">
        <f aca="false">FALSE()</f>
        <v>0</v>
      </c>
      <c r="I2" s="2" t="s">
        <v>21</v>
      </c>
      <c r="J2" s="2" t="s">
        <v>22</v>
      </c>
      <c r="K2" s="2" t="b">
        <f aca="false">FALSE()</f>
        <v>0</v>
      </c>
      <c r="L2" s="2" t="b">
        <f aca="false">FALSE()</f>
        <v>0</v>
      </c>
      <c r="M2" s="2" t="b">
        <f aca="false">FALSE()</f>
        <v>0</v>
      </c>
      <c r="N2" s="2" t="b">
        <f aca="false">FALSE()</f>
        <v>0</v>
      </c>
      <c r="O2" s="2" t="b">
        <f aca="false">FALSE()</f>
        <v>0</v>
      </c>
      <c r="Q2" s="3" t="s">
        <v>23</v>
      </c>
    </row>
    <row r="3" customFormat="false" ht="15" hidden="false" customHeight="false" outlineLevel="0" collapsed="false">
      <c r="A3" s="2" t="s">
        <v>24</v>
      </c>
      <c r="B3" s="2" t="s">
        <v>25</v>
      </c>
      <c r="C3" s="2" t="s">
        <v>26</v>
      </c>
      <c r="D3" s="2" t="s">
        <v>18</v>
      </c>
      <c r="E3" s="2" t="s">
        <v>18</v>
      </c>
      <c r="F3" s="2" t="n">
        <v>5</v>
      </c>
      <c r="G3" s="2" t="s">
        <v>27</v>
      </c>
      <c r="H3" s="2" t="b">
        <f aca="false">TRUE()</f>
        <v>1</v>
      </c>
      <c r="I3" s="2" t="s">
        <v>21</v>
      </c>
      <c r="J3" s="2" t="s">
        <v>21</v>
      </c>
      <c r="K3" s="2" t="b">
        <f aca="false">TRUE()</f>
        <v>1</v>
      </c>
      <c r="L3" s="2" t="b">
        <f aca="false">TRUE()</f>
        <v>1</v>
      </c>
      <c r="M3" s="2" t="b">
        <f aca="false">FALSE()</f>
        <v>0</v>
      </c>
      <c r="N3" s="2" t="b">
        <f aca="false">FALSE()</f>
        <v>0</v>
      </c>
      <c r="O3" s="2" t="b">
        <f aca="false">FALSE()</f>
        <v>0</v>
      </c>
    </row>
    <row r="4" customFormat="false" ht="23.3" hidden="false" customHeight="false" outlineLevel="0" collapsed="false">
      <c r="A4" s="2" t="s">
        <v>28</v>
      </c>
      <c r="B4" s="2" t="s">
        <v>29</v>
      </c>
      <c r="C4" s="2" t="s">
        <v>30</v>
      </c>
      <c r="D4" s="2" t="s">
        <v>18</v>
      </c>
      <c r="E4" s="2" t="s">
        <v>18</v>
      </c>
      <c r="F4" s="2" t="n">
        <v>5</v>
      </c>
      <c r="G4" s="2" t="s">
        <v>31</v>
      </c>
      <c r="H4" s="2" t="b">
        <f aca="false">TRUE()</f>
        <v>1</v>
      </c>
      <c r="I4" s="2" t="s">
        <v>21</v>
      </c>
      <c r="J4" s="2" t="s">
        <v>32</v>
      </c>
      <c r="K4" s="5" t="b">
        <f aca="false">FALSE()</f>
        <v>0</v>
      </c>
      <c r="L4" s="2" t="b">
        <f aca="false">TRUE()</f>
        <v>1</v>
      </c>
      <c r="M4" s="2" t="b">
        <f aca="false">TRUE()</f>
        <v>1</v>
      </c>
      <c r="N4" s="2" t="b">
        <f aca="false">FALSE()</f>
        <v>0</v>
      </c>
      <c r="O4" s="2" t="b">
        <f aca="false">FALSE()</f>
        <v>0</v>
      </c>
      <c r="Q4" s="3" t="s">
        <v>33</v>
      </c>
    </row>
    <row r="5" customFormat="false" ht="23.3" hidden="false" customHeight="false" outlineLevel="0" collapsed="false">
      <c r="A5" s="2" t="s">
        <v>34</v>
      </c>
      <c r="B5" s="2" t="s">
        <v>35</v>
      </c>
      <c r="C5" s="6" t="s">
        <v>36</v>
      </c>
      <c r="D5" s="2" t="s">
        <v>18</v>
      </c>
      <c r="E5" s="2" t="s">
        <v>18</v>
      </c>
      <c r="F5" s="2" t="n">
        <v>5</v>
      </c>
      <c r="G5" s="2" t="s">
        <v>37</v>
      </c>
      <c r="H5" s="2" t="b">
        <f aca="false">TRUE()</f>
        <v>1</v>
      </c>
      <c r="I5" s="2" t="s">
        <v>21</v>
      </c>
      <c r="J5" s="2" t="s">
        <v>21</v>
      </c>
      <c r="K5" s="2" t="b">
        <f aca="false">TRUE()</f>
        <v>1</v>
      </c>
      <c r="L5" s="2" t="b">
        <f aca="false">TRUE()</f>
        <v>1</v>
      </c>
      <c r="M5" s="2" t="b">
        <f aca="false">FALSE()</f>
        <v>0</v>
      </c>
      <c r="N5" s="2" t="b">
        <f aca="false">FALSE()</f>
        <v>0</v>
      </c>
      <c r="O5" s="2" t="b">
        <f aca="false">FALSE()</f>
        <v>0</v>
      </c>
    </row>
    <row r="6" customFormat="false" ht="15" hidden="false" customHeight="false" outlineLevel="0" collapsed="false">
      <c r="A6" s="2" t="s">
        <v>38</v>
      </c>
      <c r="B6" s="2" t="s">
        <v>39</v>
      </c>
      <c r="C6" s="2" t="s">
        <v>40</v>
      </c>
      <c r="D6" s="2" t="s">
        <v>18</v>
      </c>
      <c r="E6" s="2" t="s">
        <v>18</v>
      </c>
      <c r="F6" s="2" t="n">
        <v>4</v>
      </c>
      <c r="G6" s="2" t="s">
        <v>41</v>
      </c>
      <c r="H6" s="2" t="b">
        <f aca="false">TRUE()</f>
        <v>1</v>
      </c>
      <c r="I6" s="2" t="s">
        <v>21</v>
      </c>
      <c r="J6" s="2" t="s">
        <v>21</v>
      </c>
      <c r="K6" s="2" t="b">
        <f aca="false">TRUE()</f>
        <v>1</v>
      </c>
      <c r="L6" s="2" t="b">
        <f aca="false">TRUE()</f>
        <v>1</v>
      </c>
      <c r="M6" s="2" t="b">
        <f aca="false">FALSE()</f>
        <v>0</v>
      </c>
      <c r="N6" s="2" t="b">
        <f aca="false">FALSE()</f>
        <v>0</v>
      </c>
      <c r="O6" s="2" t="b">
        <f aca="false">FALSE()</f>
        <v>0</v>
      </c>
    </row>
    <row r="7" customFormat="false" ht="15" hidden="false" customHeight="false" outlineLevel="0" collapsed="false">
      <c r="A7" s="2" t="s">
        <v>42</v>
      </c>
      <c r="B7" s="2" t="s">
        <v>43</v>
      </c>
      <c r="C7" s="2" t="s">
        <v>44</v>
      </c>
      <c r="D7" s="2" t="s">
        <v>18</v>
      </c>
      <c r="E7" s="2" t="s">
        <v>18</v>
      </c>
      <c r="F7" s="2" t="n">
        <v>4</v>
      </c>
      <c r="G7" s="2" t="s">
        <v>45</v>
      </c>
      <c r="H7" s="2" t="b">
        <f aca="false">TRUE()</f>
        <v>1</v>
      </c>
      <c r="I7" s="2" t="s">
        <v>21</v>
      </c>
      <c r="J7" s="2" t="s">
        <v>21</v>
      </c>
      <c r="K7" s="2" t="b">
        <f aca="false">TRUE()</f>
        <v>1</v>
      </c>
      <c r="L7" s="2" t="b">
        <f aca="false">TRUE()</f>
        <v>1</v>
      </c>
      <c r="M7" s="2" t="b">
        <f aca="false">FALSE()</f>
        <v>0</v>
      </c>
      <c r="N7" s="2" t="b">
        <f aca="false">FALSE()</f>
        <v>0</v>
      </c>
      <c r="O7" s="2" t="b">
        <f aca="false">FALSE()</f>
        <v>0</v>
      </c>
    </row>
    <row r="8" customFormat="false" ht="15" hidden="false" customHeight="false" outlineLevel="0" collapsed="false">
      <c r="A8" s="2" t="s">
        <v>46</v>
      </c>
      <c r="B8" s="2" t="s">
        <v>47</v>
      </c>
      <c r="C8" s="2" t="s">
        <v>48</v>
      </c>
      <c r="D8" s="2" t="s">
        <v>18</v>
      </c>
      <c r="E8" s="2" t="s">
        <v>18</v>
      </c>
      <c r="F8" s="2" t="n">
        <v>4</v>
      </c>
      <c r="G8" s="2" t="s">
        <v>49</v>
      </c>
      <c r="H8" s="2" t="b">
        <f aca="false">TRUE()</f>
        <v>1</v>
      </c>
      <c r="I8" s="2" t="s">
        <v>21</v>
      </c>
      <c r="J8" s="2" t="s">
        <v>21</v>
      </c>
      <c r="K8" s="2" t="b">
        <f aca="false">TRUE()</f>
        <v>1</v>
      </c>
      <c r="L8" s="2" t="b">
        <f aca="false">TRUE()</f>
        <v>1</v>
      </c>
      <c r="M8" s="2" t="b">
        <f aca="false">FALSE()</f>
        <v>0</v>
      </c>
      <c r="N8" s="2" t="b">
        <f aca="false">FALSE()</f>
        <v>0</v>
      </c>
      <c r="O8" s="2" t="b">
        <f aca="false">FALSE()</f>
        <v>0</v>
      </c>
    </row>
    <row r="9" customFormat="false" ht="15" hidden="false" customHeight="false" outlineLevel="0" collapsed="false">
      <c r="A9" s="2" t="s">
        <v>50</v>
      </c>
      <c r="B9" s="2" t="s">
        <v>51</v>
      </c>
      <c r="C9" s="2" t="s">
        <v>52</v>
      </c>
      <c r="D9" s="2" t="s">
        <v>18</v>
      </c>
      <c r="E9" s="2" t="s">
        <v>18</v>
      </c>
      <c r="F9" s="2" t="n">
        <v>4</v>
      </c>
      <c r="G9" s="2" t="s">
        <v>53</v>
      </c>
      <c r="H9" s="2" t="b">
        <f aca="false">TRUE()</f>
        <v>1</v>
      </c>
      <c r="I9" s="2" t="s">
        <v>32</v>
      </c>
      <c r="J9" s="2" t="s">
        <v>32</v>
      </c>
      <c r="K9" s="2" t="b">
        <f aca="false">TRUE()</f>
        <v>1</v>
      </c>
      <c r="L9" s="2" t="b">
        <f aca="false">TRUE()</f>
        <v>1</v>
      </c>
      <c r="M9" s="2" t="b">
        <f aca="false">FALSE()</f>
        <v>0</v>
      </c>
      <c r="N9" s="2" t="b">
        <f aca="false">TRUE()</f>
        <v>1</v>
      </c>
      <c r="O9" s="2" t="b">
        <f aca="false">TRUE()</f>
        <v>1</v>
      </c>
    </row>
    <row r="10" customFormat="false" ht="15" hidden="false" customHeight="false" outlineLevel="0" collapsed="false">
      <c r="A10" s="2" t="s">
        <v>54</v>
      </c>
      <c r="B10" s="2" t="s">
        <v>55</v>
      </c>
      <c r="C10" s="2" t="s">
        <v>56</v>
      </c>
      <c r="D10" s="2" t="s">
        <v>18</v>
      </c>
      <c r="E10" s="2" t="s">
        <v>18</v>
      </c>
      <c r="F10" s="2" t="n">
        <v>4</v>
      </c>
      <c r="G10" s="2" t="s">
        <v>57</v>
      </c>
      <c r="H10" s="2" t="b">
        <f aca="false">TRUE()</f>
        <v>1</v>
      </c>
      <c r="I10" s="2" t="s">
        <v>32</v>
      </c>
      <c r="J10" s="2" t="s">
        <v>32</v>
      </c>
      <c r="K10" s="2" t="b">
        <f aca="false">TRUE()</f>
        <v>1</v>
      </c>
      <c r="L10" s="2" t="b">
        <f aca="false">FALSE()</f>
        <v>0</v>
      </c>
      <c r="M10" s="2" t="b">
        <f aca="false">FALSE()</f>
        <v>0</v>
      </c>
      <c r="N10" s="2" t="b">
        <f aca="false">TRUE()</f>
        <v>1</v>
      </c>
      <c r="O10" s="2" t="b">
        <f aca="false">TRUE()</f>
        <v>1</v>
      </c>
    </row>
    <row r="11" customFormat="false" ht="15" hidden="false" customHeight="false" outlineLevel="0" collapsed="false">
      <c r="A11" s="2" t="s">
        <v>58</v>
      </c>
      <c r="B11" s="2" t="s">
        <v>59</v>
      </c>
      <c r="C11" s="2" t="s">
        <v>60</v>
      </c>
      <c r="D11" s="2" t="s">
        <v>18</v>
      </c>
      <c r="E11" s="2" t="s">
        <v>18</v>
      </c>
      <c r="F11" s="2" t="n">
        <v>5</v>
      </c>
      <c r="G11" s="2" t="s">
        <v>61</v>
      </c>
      <c r="H11" s="2" t="b">
        <f aca="false">TRUE()</f>
        <v>1</v>
      </c>
      <c r="I11" s="2" t="s">
        <v>21</v>
      </c>
      <c r="J11" s="2" t="s">
        <v>21</v>
      </c>
      <c r="K11" s="2" t="b">
        <f aca="false">TRUE()</f>
        <v>1</v>
      </c>
      <c r="L11" s="2" t="b">
        <f aca="false">TRUE()</f>
        <v>1</v>
      </c>
      <c r="M11" s="2" t="b">
        <f aca="false">FALSE()</f>
        <v>0</v>
      </c>
      <c r="N11" s="2" t="b">
        <f aca="false">FALSE()</f>
        <v>0</v>
      </c>
      <c r="O11" s="2" t="b">
        <f aca="false">FALSE()</f>
        <v>0</v>
      </c>
    </row>
    <row r="12" customFormat="false" ht="15" hidden="false" customHeight="false" outlineLevel="0" collapsed="false">
      <c r="A12" s="2" t="s">
        <v>62</v>
      </c>
      <c r="B12" s="2" t="s">
        <v>63</v>
      </c>
      <c r="C12" s="2" t="s">
        <v>64</v>
      </c>
      <c r="D12" s="2" t="s">
        <v>18</v>
      </c>
      <c r="E12" s="2" t="s">
        <v>18</v>
      </c>
      <c r="F12" s="2" t="n">
        <v>4</v>
      </c>
      <c r="G12" s="2" t="s">
        <v>65</v>
      </c>
      <c r="H12" s="2" t="b">
        <f aca="false">TRUE()</f>
        <v>1</v>
      </c>
      <c r="I12" s="2" t="s">
        <v>66</v>
      </c>
      <c r="J12" s="2" t="s">
        <v>66</v>
      </c>
      <c r="K12" s="2" t="b">
        <f aca="false">TRUE()</f>
        <v>1</v>
      </c>
      <c r="L12" s="2" t="b">
        <f aca="false">FALSE()</f>
        <v>0</v>
      </c>
      <c r="M12" s="2" t="b">
        <f aca="false">TRUE()</f>
        <v>1</v>
      </c>
      <c r="N12" s="2" t="b">
        <f aca="false">FALSE()</f>
        <v>0</v>
      </c>
      <c r="O12" s="2" t="b">
        <f aca="false">FALSE()</f>
        <v>0</v>
      </c>
    </row>
    <row r="13" customFormat="false" ht="15" hidden="false" customHeight="false" outlineLevel="0" collapsed="false">
      <c r="A13" s="2" t="s">
        <v>67</v>
      </c>
      <c r="B13" s="2" t="s">
        <v>68</v>
      </c>
      <c r="C13" s="2" t="s">
        <v>69</v>
      </c>
      <c r="D13" s="2" t="s">
        <v>18</v>
      </c>
      <c r="E13" s="2" t="s">
        <v>18</v>
      </c>
      <c r="F13" s="2" t="n">
        <v>5</v>
      </c>
      <c r="G13" s="2" t="s">
        <v>70</v>
      </c>
      <c r="H13" s="2" t="b">
        <f aca="false">TRUE()</f>
        <v>1</v>
      </c>
      <c r="I13" s="2" t="s">
        <v>21</v>
      </c>
      <c r="J13" s="2" t="s">
        <v>21</v>
      </c>
      <c r="K13" s="2" t="b">
        <f aca="false">TRUE()</f>
        <v>1</v>
      </c>
      <c r="L13" s="2" t="b">
        <f aca="false">TRUE()</f>
        <v>1</v>
      </c>
      <c r="M13" s="2" t="b">
        <f aca="false">FALSE()</f>
        <v>0</v>
      </c>
      <c r="N13" s="2" t="b">
        <f aca="false">FALSE()</f>
        <v>0</v>
      </c>
      <c r="O13" s="2" t="b">
        <f aca="false">FALSE()</f>
        <v>0</v>
      </c>
    </row>
    <row r="14" customFormat="false" ht="15" hidden="false" customHeight="false" outlineLevel="0" collapsed="false">
      <c r="A14" s="2" t="s">
        <v>71</v>
      </c>
      <c r="B14" s="2" t="s">
        <v>72</v>
      </c>
      <c r="C14" s="2" t="s">
        <v>73</v>
      </c>
      <c r="D14" s="2" t="s">
        <v>18</v>
      </c>
      <c r="E14" s="2" t="s">
        <v>18</v>
      </c>
      <c r="F14" s="2" t="n">
        <v>4</v>
      </c>
      <c r="G14" s="2" t="s">
        <v>74</v>
      </c>
      <c r="H14" s="2" t="b">
        <f aca="false">TRUE()</f>
        <v>1</v>
      </c>
      <c r="I14" s="2" t="s">
        <v>32</v>
      </c>
      <c r="J14" s="2" t="s">
        <v>21</v>
      </c>
      <c r="K14" s="7" t="b">
        <f aca="false">FALSE()</f>
        <v>0</v>
      </c>
      <c r="L14" s="2" t="b">
        <f aca="false">TRUE()</f>
        <v>1</v>
      </c>
      <c r="M14" s="2" t="b">
        <f aca="false">FALSE()</f>
        <v>0</v>
      </c>
      <c r="N14" s="2" t="b">
        <f aca="false">FALSE()</f>
        <v>0</v>
      </c>
      <c r="O14" s="2" t="b">
        <f aca="false">FALSE()</f>
        <v>0</v>
      </c>
    </row>
    <row r="15" customFormat="false" ht="45.1" hidden="false" customHeight="false" outlineLevel="0" collapsed="false">
      <c r="A15" s="2" t="s">
        <v>75</v>
      </c>
      <c r="B15" s="2" t="s">
        <v>76</v>
      </c>
      <c r="C15" s="2" t="s">
        <v>77</v>
      </c>
      <c r="D15" s="2" t="s">
        <v>18</v>
      </c>
      <c r="E15" s="2" t="s">
        <v>19</v>
      </c>
      <c r="F15" s="2" t="n">
        <v>2</v>
      </c>
      <c r="G15" s="2" t="s">
        <v>78</v>
      </c>
      <c r="H15" s="5" t="b">
        <f aca="false">FALSE()</f>
        <v>0</v>
      </c>
      <c r="I15" s="2" t="s">
        <v>21</v>
      </c>
      <c r="J15" s="2" t="s">
        <v>22</v>
      </c>
      <c r="K15" s="2" t="b">
        <f aca="false">FALSE()</f>
        <v>0</v>
      </c>
      <c r="L15" s="2" t="b">
        <f aca="false">FALSE()</f>
        <v>0</v>
      </c>
      <c r="M15" s="2" t="b">
        <f aca="false">FALSE()</f>
        <v>0</v>
      </c>
      <c r="N15" s="2" t="b">
        <f aca="false">FALSE()</f>
        <v>0</v>
      </c>
      <c r="O15" s="2" t="b">
        <f aca="false">FALSE()</f>
        <v>0</v>
      </c>
      <c r="Q15" s="3" t="s">
        <v>79</v>
      </c>
    </row>
    <row r="16" customFormat="false" ht="15" hidden="false" customHeight="false" outlineLevel="0" collapsed="false">
      <c r="A16" s="2" t="s">
        <v>80</v>
      </c>
      <c r="B16" s="2" t="s">
        <v>81</v>
      </c>
      <c r="C16" s="2" t="s">
        <v>82</v>
      </c>
      <c r="D16" s="2" t="s">
        <v>18</v>
      </c>
      <c r="E16" s="2" t="s">
        <v>19</v>
      </c>
      <c r="F16" s="2" t="n">
        <v>2</v>
      </c>
      <c r="G16" s="2" t="s">
        <v>83</v>
      </c>
      <c r="H16" s="4" t="b">
        <f aca="false">FALSE()</f>
        <v>0</v>
      </c>
      <c r="I16" s="2" t="s">
        <v>32</v>
      </c>
      <c r="J16" s="2" t="s">
        <v>22</v>
      </c>
      <c r="K16" s="2" t="b">
        <f aca="false">FALSE()</f>
        <v>0</v>
      </c>
      <c r="L16" s="2" t="b">
        <f aca="false">FALSE()</f>
        <v>0</v>
      </c>
      <c r="M16" s="2" t="b">
        <f aca="false">FALSE()</f>
        <v>0</v>
      </c>
      <c r="N16" s="2" t="b">
        <f aca="false">FALSE()</f>
        <v>0</v>
      </c>
      <c r="O16" s="2" t="b">
        <f aca="false">FALSE()</f>
        <v>0</v>
      </c>
      <c r="Q16" s="6" t="s">
        <v>84</v>
      </c>
    </row>
    <row r="17" customFormat="false" ht="15" hidden="false" customHeight="false" outlineLevel="0" collapsed="false">
      <c r="A17" s="2" t="s">
        <v>85</v>
      </c>
      <c r="B17" s="2" t="s">
        <v>86</v>
      </c>
      <c r="C17" s="2" t="s">
        <v>87</v>
      </c>
      <c r="D17" s="2" t="s">
        <v>18</v>
      </c>
      <c r="E17" s="2" t="s">
        <v>18</v>
      </c>
      <c r="F17" s="2" t="n">
        <v>4</v>
      </c>
      <c r="G17" s="2" t="s">
        <v>88</v>
      </c>
      <c r="H17" s="2" t="b">
        <f aca="false">TRUE()</f>
        <v>1</v>
      </c>
      <c r="I17" s="2" t="s">
        <v>21</v>
      </c>
      <c r="J17" s="2" t="s">
        <v>21</v>
      </c>
      <c r="K17" s="2" t="b">
        <f aca="false">TRUE()</f>
        <v>1</v>
      </c>
      <c r="L17" s="2" t="b">
        <f aca="false">TRUE()</f>
        <v>1</v>
      </c>
      <c r="M17" s="2" t="b">
        <f aca="false">FALSE()</f>
        <v>0</v>
      </c>
      <c r="N17" s="2" t="b">
        <f aca="false">FALSE()</f>
        <v>0</v>
      </c>
      <c r="O17" s="2" t="b">
        <f aca="false">FALSE()</f>
        <v>0</v>
      </c>
    </row>
    <row r="18" customFormat="false" ht="15" hidden="false" customHeight="false" outlineLevel="0" collapsed="false">
      <c r="A18" s="2" t="s">
        <v>89</v>
      </c>
      <c r="B18" s="2" t="s">
        <v>90</v>
      </c>
      <c r="C18" s="2" t="s">
        <v>91</v>
      </c>
      <c r="D18" s="2" t="s">
        <v>18</v>
      </c>
      <c r="E18" s="2" t="s">
        <v>19</v>
      </c>
      <c r="F18" s="2" t="n">
        <v>2</v>
      </c>
      <c r="G18" s="2" t="s">
        <v>92</v>
      </c>
      <c r="H18" s="4" t="b">
        <f aca="false">FALSE()</f>
        <v>0</v>
      </c>
      <c r="I18" s="2" t="s">
        <v>93</v>
      </c>
      <c r="J18" s="2" t="s">
        <v>22</v>
      </c>
      <c r="K18" s="2" t="b">
        <f aca="false">FALSE()</f>
        <v>0</v>
      </c>
      <c r="L18" s="2" t="b">
        <f aca="false">FALSE()</f>
        <v>0</v>
      </c>
      <c r="M18" s="2" t="b">
        <f aca="false">FALSE()</f>
        <v>0</v>
      </c>
      <c r="N18" s="2" t="b">
        <f aca="false">FALSE()</f>
        <v>0</v>
      </c>
      <c r="O18" s="2" t="b">
        <f aca="false">FALSE()</f>
        <v>0</v>
      </c>
      <c r="Q18" s="6" t="s">
        <v>84</v>
      </c>
    </row>
    <row r="19" customFormat="false" ht="15" hidden="false" customHeight="false" outlineLevel="0" collapsed="false">
      <c r="A19" s="2" t="s">
        <v>94</v>
      </c>
      <c r="B19" s="2" t="s">
        <v>95</v>
      </c>
      <c r="C19" s="2" t="s">
        <v>96</v>
      </c>
      <c r="D19" s="2" t="s">
        <v>18</v>
      </c>
      <c r="E19" s="2" t="s">
        <v>19</v>
      </c>
      <c r="F19" s="2" t="n">
        <v>2</v>
      </c>
      <c r="G19" s="2" t="s">
        <v>97</v>
      </c>
      <c r="H19" s="4" t="b">
        <f aca="false">FALSE()</f>
        <v>0</v>
      </c>
      <c r="I19" s="2" t="s">
        <v>21</v>
      </c>
      <c r="J19" s="2" t="s">
        <v>22</v>
      </c>
      <c r="K19" s="2" t="b">
        <f aca="false">FALSE()</f>
        <v>0</v>
      </c>
      <c r="L19" s="2" t="b">
        <f aca="false">FALSE()</f>
        <v>0</v>
      </c>
      <c r="M19" s="2" t="b">
        <f aca="false">FALSE()</f>
        <v>0</v>
      </c>
      <c r="N19" s="2" t="b">
        <f aca="false">FALSE()</f>
        <v>0</v>
      </c>
      <c r="O19" s="2" t="b">
        <f aca="false">FALSE()</f>
        <v>0</v>
      </c>
      <c r="Q19" s="6" t="s">
        <v>84</v>
      </c>
    </row>
    <row r="20" customFormat="false" ht="15" hidden="false" customHeight="false" outlineLevel="0" collapsed="false">
      <c r="A20" s="2" t="s">
        <v>98</v>
      </c>
      <c r="B20" s="2" t="s">
        <v>99</v>
      </c>
      <c r="C20" s="2" t="s">
        <v>100</v>
      </c>
      <c r="D20" s="2" t="s">
        <v>18</v>
      </c>
      <c r="E20" s="2" t="s">
        <v>18</v>
      </c>
      <c r="F20" s="2" t="n">
        <v>5</v>
      </c>
      <c r="G20" s="2" t="s">
        <v>101</v>
      </c>
      <c r="H20" s="2" t="b">
        <f aca="false">TRUE()</f>
        <v>1</v>
      </c>
      <c r="I20" s="2" t="s">
        <v>21</v>
      </c>
      <c r="J20" s="2" t="s">
        <v>21</v>
      </c>
      <c r="K20" s="2" t="b">
        <f aca="false">TRUE()</f>
        <v>1</v>
      </c>
      <c r="L20" s="2" t="b">
        <f aca="false">TRUE()</f>
        <v>1</v>
      </c>
      <c r="M20" s="2" t="b">
        <f aca="false">FALSE()</f>
        <v>0</v>
      </c>
      <c r="N20" s="2" t="b">
        <f aca="false">FALSE()</f>
        <v>0</v>
      </c>
      <c r="O20" s="2" t="b">
        <f aca="false">FALSE()</f>
        <v>0</v>
      </c>
    </row>
    <row r="21" customFormat="false" ht="15" hidden="false" customHeight="false" outlineLevel="0" collapsed="false">
      <c r="A21" s="2" t="s">
        <v>102</v>
      </c>
      <c r="B21" s="2" t="s">
        <v>103</v>
      </c>
      <c r="C21" s="2" t="s">
        <v>104</v>
      </c>
      <c r="D21" s="2" t="s">
        <v>18</v>
      </c>
      <c r="E21" s="2" t="s">
        <v>19</v>
      </c>
      <c r="F21" s="2" t="n">
        <v>2</v>
      </c>
      <c r="G21" s="2" t="s">
        <v>105</v>
      </c>
      <c r="H21" s="4" t="b">
        <f aca="false">FALSE()</f>
        <v>0</v>
      </c>
      <c r="I21" s="2" t="s">
        <v>21</v>
      </c>
      <c r="J21" s="2" t="s">
        <v>22</v>
      </c>
      <c r="K21" s="2" t="b">
        <f aca="false">FALSE()</f>
        <v>0</v>
      </c>
      <c r="L21" s="2" t="b">
        <f aca="false">FALSE()</f>
        <v>0</v>
      </c>
      <c r="M21" s="2" t="b">
        <f aca="false">FALSE()</f>
        <v>0</v>
      </c>
      <c r="N21" s="2" t="b">
        <f aca="false">FALSE()</f>
        <v>0</v>
      </c>
      <c r="O21" s="2" t="b">
        <f aca="false">FALSE()</f>
        <v>0</v>
      </c>
      <c r="Q21" s="6" t="s">
        <v>84</v>
      </c>
    </row>
    <row r="22" customFormat="false" ht="15" hidden="false" customHeight="false" outlineLevel="0" collapsed="false">
      <c r="A22" s="2" t="s">
        <v>106</v>
      </c>
      <c r="B22" s="2" t="s">
        <v>107</v>
      </c>
      <c r="D22" s="2" t="s">
        <v>18</v>
      </c>
      <c r="E22" s="2" t="s">
        <v>18</v>
      </c>
      <c r="F22" s="2" t="n">
        <v>3</v>
      </c>
      <c r="G22" s="2" t="s">
        <v>108</v>
      </c>
      <c r="H22" s="2" t="b">
        <f aca="false">TRUE()</f>
        <v>1</v>
      </c>
      <c r="I22" s="2" t="s">
        <v>21</v>
      </c>
      <c r="J22" s="2" t="s">
        <v>21</v>
      </c>
      <c r="K22" s="2" t="b">
        <f aca="false">TRUE()</f>
        <v>1</v>
      </c>
      <c r="L22" s="2" t="b">
        <f aca="false">TRUE()</f>
        <v>1</v>
      </c>
      <c r="M22" s="2" t="b">
        <f aca="false">FALSE()</f>
        <v>0</v>
      </c>
      <c r="N22" s="2" t="b">
        <f aca="false">FALSE()</f>
        <v>0</v>
      </c>
      <c r="O22" s="2" t="b">
        <f aca="false">FALSE()</f>
        <v>0</v>
      </c>
    </row>
    <row r="23" customFormat="false" ht="15" hidden="false" customHeight="false" outlineLevel="0" collapsed="false">
      <c r="A23" s="2" t="s">
        <v>109</v>
      </c>
      <c r="B23" s="2" t="s">
        <v>110</v>
      </c>
      <c r="C23" s="2" t="s">
        <v>111</v>
      </c>
      <c r="D23" s="2" t="s">
        <v>18</v>
      </c>
      <c r="E23" s="2" t="s">
        <v>18</v>
      </c>
      <c r="F23" s="2" t="n">
        <v>4</v>
      </c>
      <c r="G23" s="2" t="s">
        <v>112</v>
      </c>
      <c r="H23" s="2" t="b">
        <f aca="false">TRUE()</f>
        <v>1</v>
      </c>
      <c r="I23" s="2" t="s">
        <v>32</v>
      </c>
      <c r="J23" s="2" t="s">
        <v>32</v>
      </c>
      <c r="K23" s="2" t="b">
        <f aca="false">TRUE()</f>
        <v>1</v>
      </c>
      <c r="L23" s="2" t="b">
        <f aca="false">TRUE()</f>
        <v>1</v>
      </c>
      <c r="M23" s="2" t="b">
        <f aca="false">TRUE()</f>
        <v>1</v>
      </c>
      <c r="N23" s="2" t="b">
        <f aca="false">FALSE()</f>
        <v>0</v>
      </c>
      <c r="O23" s="2" t="b">
        <f aca="false">FALSE()</f>
        <v>0</v>
      </c>
    </row>
    <row r="24" customFormat="false" ht="15" hidden="false" customHeight="false" outlineLevel="0" collapsed="false">
      <c r="A24" s="2" t="s">
        <v>113</v>
      </c>
      <c r="B24" s="2" t="s">
        <v>114</v>
      </c>
      <c r="C24" s="2" t="s">
        <v>115</v>
      </c>
      <c r="D24" s="2" t="s">
        <v>18</v>
      </c>
      <c r="E24" s="2" t="s">
        <v>19</v>
      </c>
      <c r="F24" s="2" t="n">
        <v>2</v>
      </c>
      <c r="G24" s="2" t="s">
        <v>116</v>
      </c>
      <c r="H24" s="4" t="b">
        <f aca="false">FALSE()</f>
        <v>0</v>
      </c>
      <c r="I24" s="2" t="s">
        <v>21</v>
      </c>
      <c r="J24" s="2" t="s">
        <v>22</v>
      </c>
      <c r="K24" s="2" t="b">
        <f aca="false">FALSE()</f>
        <v>0</v>
      </c>
      <c r="L24" s="2" t="b">
        <f aca="false">FALSE()</f>
        <v>0</v>
      </c>
      <c r="M24" s="2" t="b">
        <f aca="false">FALSE()</f>
        <v>0</v>
      </c>
      <c r="N24" s="2" t="b">
        <f aca="false">FALSE()</f>
        <v>0</v>
      </c>
      <c r="O24" s="2" t="b">
        <f aca="false">FALSE()</f>
        <v>0</v>
      </c>
      <c r="Q24" s="6" t="s">
        <v>84</v>
      </c>
    </row>
    <row r="25" customFormat="false" ht="15" hidden="false" customHeight="false" outlineLevel="0" collapsed="false">
      <c r="A25" s="2" t="s">
        <v>117</v>
      </c>
      <c r="B25" s="2" t="s">
        <v>118</v>
      </c>
      <c r="C25" s="2" t="s">
        <v>119</v>
      </c>
      <c r="D25" s="2" t="s">
        <v>18</v>
      </c>
      <c r="E25" s="2" t="s">
        <v>18</v>
      </c>
      <c r="F25" s="2" t="n">
        <v>3</v>
      </c>
      <c r="G25" s="2" t="s">
        <v>120</v>
      </c>
      <c r="H25" s="2" t="b">
        <f aca="false">TRUE()</f>
        <v>1</v>
      </c>
      <c r="I25" s="2" t="s">
        <v>93</v>
      </c>
      <c r="J25" s="2" t="s">
        <v>93</v>
      </c>
      <c r="K25" s="2" t="b">
        <f aca="false">TRUE()</f>
        <v>1</v>
      </c>
      <c r="L25" s="2" t="b">
        <f aca="false">FALSE()</f>
        <v>0</v>
      </c>
      <c r="M25" s="2" t="b">
        <f aca="false">FALSE()</f>
        <v>0</v>
      </c>
      <c r="N25" s="2" t="b">
        <f aca="false">TRUE()</f>
        <v>1</v>
      </c>
      <c r="O25" s="2" t="b">
        <f aca="false">FALSE()</f>
        <v>0</v>
      </c>
    </row>
    <row r="26" customFormat="false" ht="15" hidden="false" customHeight="false" outlineLevel="0" collapsed="false">
      <c r="A26" s="2" t="s">
        <v>121</v>
      </c>
      <c r="B26" s="2" t="s">
        <v>122</v>
      </c>
      <c r="C26" s="2" t="s">
        <v>123</v>
      </c>
      <c r="D26" s="2" t="s">
        <v>18</v>
      </c>
      <c r="E26" s="2" t="s">
        <v>18</v>
      </c>
      <c r="F26" s="2" t="n">
        <v>3</v>
      </c>
      <c r="G26" s="2" t="s">
        <v>124</v>
      </c>
      <c r="H26" s="2" t="b">
        <f aca="false">TRUE()</f>
        <v>1</v>
      </c>
      <c r="I26" s="2" t="s">
        <v>93</v>
      </c>
      <c r="J26" s="2" t="s">
        <v>93</v>
      </c>
      <c r="K26" s="2" t="b">
        <f aca="false">TRUE()</f>
        <v>1</v>
      </c>
      <c r="L26" s="2" t="b">
        <f aca="false">FALSE()</f>
        <v>0</v>
      </c>
      <c r="M26" s="2" t="b">
        <f aca="false">FALSE()</f>
        <v>0</v>
      </c>
      <c r="N26" s="2" t="b">
        <f aca="false">TRUE()</f>
        <v>1</v>
      </c>
      <c r="O26" s="2" t="b">
        <f aca="false">FALSE()</f>
        <v>0</v>
      </c>
    </row>
    <row r="27" customFormat="false" ht="15" hidden="false" customHeight="false" outlineLevel="0" collapsed="false">
      <c r="A27" s="2" t="s">
        <v>125</v>
      </c>
      <c r="B27" s="2" t="s">
        <v>126</v>
      </c>
      <c r="C27" s="2" t="s">
        <v>127</v>
      </c>
      <c r="D27" s="2" t="s">
        <v>18</v>
      </c>
      <c r="E27" s="2" t="s">
        <v>18</v>
      </c>
      <c r="F27" s="2" t="n">
        <v>4</v>
      </c>
      <c r="G27" s="2" t="s">
        <v>128</v>
      </c>
      <c r="H27" s="2" t="b">
        <f aca="false">TRUE()</f>
        <v>1</v>
      </c>
      <c r="I27" s="2" t="s">
        <v>32</v>
      </c>
      <c r="J27" s="2" t="s">
        <v>32</v>
      </c>
      <c r="K27" s="2" t="b">
        <f aca="false">TRUE()</f>
        <v>1</v>
      </c>
      <c r="L27" s="2" t="b">
        <f aca="false">TRUE()</f>
        <v>1</v>
      </c>
      <c r="M27" s="2" t="b">
        <f aca="false">TRUE()</f>
        <v>1</v>
      </c>
      <c r="N27" s="2" t="b">
        <f aca="false">FALSE()</f>
        <v>0</v>
      </c>
      <c r="O27" s="2" t="b">
        <f aca="false">FALSE()</f>
        <v>0</v>
      </c>
    </row>
    <row r="28" customFormat="false" ht="23.3" hidden="false" customHeight="false" outlineLevel="0" collapsed="false">
      <c r="A28" s="2" t="s">
        <v>129</v>
      </c>
      <c r="B28" s="2" t="s">
        <v>130</v>
      </c>
      <c r="C28" s="2" t="s">
        <v>131</v>
      </c>
      <c r="D28" s="2" t="s">
        <v>18</v>
      </c>
      <c r="E28" s="2" t="s">
        <v>19</v>
      </c>
      <c r="F28" s="2" t="n">
        <v>2</v>
      </c>
      <c r="G28" s="2" t="s">
        <v>132</v>
      </c>
      <c r="H28" s="5" t="b">
        <f aca="false">FALSE()</f>
        <v>0</v>
      </c>
      <c r="I28" s="2" t="s">
        <v>66</v>
      </c>
      <c r="J28" s="2" t="s">
        <v>22</v>
      </c>
      <c r="K28" s="2" t="b">
        <f aca="false">FALSE()</f>
        <v>0</v>
      </c>
      <c r="L28" s="2" t="b">
        <f aca="false">FALSE()</f>
        <v>0</v>
      </c>
      <c r="M28" s="2" t="b">
        <f aca="false">FALSE()</f>
        <v>0</v>
      </c>
      <c r="N28" s="2" t="b">
        <f aca="false">FALSE()</f>
        <v>0</v>
      </c>
      <c r="O28" s="2" t="b">
        <f aca="false">FALSE()</f>
        <v>0</v>
      </c>
      <c r="Q28" s="3" t="s">
        <v>133</v>
      </c>
    </row>
    <row r="29" customFormat="false" ht="15" hidden="false" customHeight="false" outlineLevel="0" collapsed="false">
      <c r="A29" s="2" t="s">
        <v>134</v>
      </c>
      <c r="B29" s="2" t="s">
        <v>135</v>
      </c>
      <c r="C29" s="2" t="s">
        <v>136</v>
      </c>
      <c r="D29" s="2" t="s">
        <v>18</v>
      </c>
      <c r="E29" s="2" t="s">
        <v>18</v>
      </c>
      <c r="F29" s="2" t="n">
        <v>5</v>
      </c>
      <c r="G29" s="2" t="s">
        <v>137</v>
      </c>
      <c r="H29" s="2" t="b">
        <f aca="false">TRUE()</f>
        <v>1</v>
      </c>
      <c r="I29" s="2" t="s">
        <v>66</v>
      </c>
      <c r="J29" s="2" t="s">
        <v>32</v>
      </c>
      <c r="K29" s="7" t="b">
        <f aca="false">FALSE()</f>
        <v>0</v>
      </c>
      <c r="L29" s="2" t="b">
        <f aca="false">TRUE()</f>
        <v>1</v>
      </c>
      <c r="M29" s="2" t="b">
        <f aca="false">TRUE()</f>
        <v>1</v>
      </c>
      <c r="N29" s="2" t="b">
        <f aca="false">FALSE()</f>
        <v>0</v>
      </c>
      <c r="O29" s="2" t="b">
        <f aca="false">FALSE()</f>
        <v>0</v>
      </c>
    </row>
    <row r="30" customFormat="false" ht="15" hidden="false" customHeight="false" outlineLevel="0" collapsed="false">
      <c r="A30" s="2" t="s">
        <v>138</v>
      </c>
      <c r="B30" s="2" t="s">
        <v>139</v>
      </c>
      <c r="C30" s="2" t="s">
        <v>140</v>
      </c>
      <c r="D30" s="2" t="s">
        <v>18</v>
      </c>
      <c r="E30" s="2" t="s">
        <v>18</v>
      </c>
      <c r="F30" s="2" t="n">
        <v>4</v>
      </c>
      <c r="G30" s="2" t="s">
        <v>141</v>
      </c>
      <c r="H30" s="2" t="b">
        <f aca="false">TRUE()</f>
        <v>1</v>
      </c>
      <c r="I30" s="2" t="s">
        <v>21</v>
      </c>
      <c r="J30" s="2" t="s">
        <v>21</v>
      </c>
      <c r="K30" s="2" t="b">
        <f aca="false">TRUE()</f>
        <v>1</v>
      </c>
      <c r="L30" s="2" t="b">
        <f aca="false">TRUE()</f>
        <v>1</v>
      </c>
      <c r="M30" s="2" t="b">
        <f aca="false">FALSE()</f>
        <v>0</v>
      </c>
      <c r="N30" s="2" t="b">
        <f aca="false">FALSE()</f>
        <v>0</v>
      </c>
      <c r="O30" s="2" t="b">
        <f aca="false">FALSE()</f>
        <v>0</v>
      </c>
    </row>
    <row r="31" customFormat="false" ht="15" hidden="false" customHeight="false" outlineLevel="0" collapsed="false">
      <c r="A31" s="2" t="s">
        <v>142</v>
      </c>
      <c r="B31" s="2" t="s">
        <v>143</v>
      </c>
      <c r="C31" s="2" t="s">
        <v>144</v>
      </c>
      <c r="D31" s="2" t="s">
        <v>18</v>
      </c>
      <c r="E31" s="2" t="s">
        <v>18</v>
      </c>
      <c r="F31" s="2" t="n">
        <v>3</v>
      </c>
      <c r="G31" s="2" t="s">
        <v>145</v>
      </c>
      <c r="H31" s="2" t="b">
        <f aca="false">TRUE()</f>
        <v>1</v>
      </c>
      <c r="I31" s="2" t="s">
        <v>32</v>
      </c>
      <c r="J31" s="2" t="s">
        <v>32</v>
      </c>
      <c r="K31" s="2" t="b">
        <f aca="false">TRUE()</f>
        <v>1</v>
      </c>
      <c r="L31" s="2" t="b">
        <f aca="false">FALSE()</f>
        <v>0</v>
      </c>
      <c r="M31" s="2" t="b">
        <f aca="false">FALSE()</f>
        <v>0</v>
      </c>
      <c r="N31" s="2" t="b">
        <f aca="false">TRUE()</f>
        <v>1</v>
      </c>
      <c r="O31" s="2" t="b">
        <f aca="false">TRUE()</f>
        <v>1</v>
      </c>
    </row>
    <row r="32" customFormat="false" ht="23.3" hidden="false" customHeight="false" outlineLevel="0" collapsed="false">
      <c r="A32" s="2" t="s">
        <v>146</v>
      </c>
      <c r="B32" s="2" t="s">
        <v>147</v>
      </c>
      <c r="C32" s="2" t="s">
        <v>148</v>
      </c>
      <c r="D32" s="2" t="s">
        <v>18</v>
      </c>
      <c r="E32" s="2" t="s">
        <v>19</v>
      </c>
      <c r="F32" s="2" t="n">
        <v>2</v>
      </c>
      <c r="G32" s="2" t="s">
        <v>149</v>
      </c>
      <c r="H32" s="7" t="b">
        <f aca="false">FALSE()</f>
        <v>0</v>
      </c>
      <c r="I32" s="2" t="s">
        <v>21</v>
      </c>
      <c r="J32" s="2" t="s">
        <v>22</v>
      </c>
      <c r="K32" s="2" t="b">
        <f aca="false">FALSE()</f>
        <v>0</v>
      </c>
      <c r="L32" s="2" t="b">
        <f aca="false">FALSE()</f>
        <v>0</v>
      </c>
      <c r="M32" s="2" t="b">
        <f aca="false">FALSE()</f>
        <v>0</v>
      </c>
      <c r="N32" s="2" t="b">
        <f aca="false">FALSE()</f>
        <v>0</v>
      </c>
      <c r="O32" s="2" t="b">
        <f aca="false">FALSE()</f>
        <v>0</v>
      </c>
      <c r="Q32" s="6" t="s">
        <v>150</v>
      </c>
    </row>
    <row r="33" customFormat="false" ht="15" hidden="false" customHeight="false" outlineLevel="0" collapsed="false">
      <c r="A33" s="2" t="s">
        <v>151</v>
      </c>
      <c r="B33" s="2" t="s">
        <v>152</v>
      </c>
      <c r="C33" s="2" t="s">
        <v>153</v>
      </c>
      <c r="D33" s="2" t="s">
        <v>18</v>
      </c>
      <c r="E33" s="2" t="s">
        <v>18</v>
      </c>
      <c r="F33" s="2" t="n">
        <v>5</v>
      </c>
      <c r="G33" s="2" t="s">
        <v>154</v>
      </c>
      <c r="H33" s="2" t="b">
        <f aca="false">TRUE()</f>
        <v>1</v>
      </c>
      <c r="I33" s="2" t="s">
        <v>32</v>
      </c>
      <c r="J33" s="2" t="s">
        <v>21</v>
      </c>
      <c r="K33" s="2" t="b">
        <f aca="false">FALSE()</f>
        <v>0</v>
      </c>
      <c r="L33" s="2" t="b">
        <f aca="false">TRUE()</f>
        <v>1</v>
      </c>
      <c r="M33" s="2" t="b">
        <f aca="false">FALSE()</f>
        <v>0</v>
      </c>
      <c r="N33" s="2" t="b">
        <f aca="false">FALSE()</f>
        <v>0</v>
      </c>
      <c r="O33" s="2" t="b">
        <f aca="false">FALSE()</f>
        <v>0</v>
      </c>
    </row>
    <row r="34" customFormat="false" ht="45.1" hidden="false" customHeight="false" outlineLevel="0" collapsed="false">
      <c r="A34" s="2" t="s">
        <v>155</v>
      </c>
      <c r="B34" s="2" t="s">
        <v>156</v>
      </c>
      <c r="C34" s="2" t="s">
        <v>157</v>
      </c>
      <c r="D34" s="2" t="s">
        <v>18</v>
      </c>
      <c r="E34" s="2" t="s">
        <v>19</v>
      </c>
      <c r="F34" s="2" t="n">
        <v>2</v>
      </c>
      <c r="G34" s="2" t="s">
        <v>158</v>
      </c>
      <c r="H34" s="7" t="b">
        <f aca="false">FALSE()</f>
        <v>0</v>
      </c>
      <c r="I34" s="2" t="s">
        <v>21</v>
      </c>
      <c r="J34" s="2" t="s">
        <v>22</v>
      </c>
      <c r="K34" s="2" t="b">
        <f aca="false">FALSE()</f>
        <v>0</v>
      </c>
      <c r="L34" s="2" t="b">
        <f aca="false">FALSE()</f>
        <v>0</v>
      </c>
      <c r="M34" s="2" t="b">
        <f aca="false">FALSE()</f>
        <v>0</v>
      </c>
      <c r="N34" s="2" t="b">
        <f aca="false">FALSE()</f>
        <v>0</v>
      </c>
      <c r="O34" s="2" t="b">
        <f aca="false">FALSE()</f>
        <v>0</v>
      </c>
      <c r="Q34" s="6" t="s">
        <v>159</v>
      </c>
    </row>
    <row r="35" customFormat="false" ht="56" hidden="false" customHeight="false" outlineLevel="0" collapsed="false">
      <c r="A35" s="2" t="s">
        <v>160</v>
      </c>
      <c r="B35" s="2" t="s">
        <v>161</v>
      </c>
      <c r="C35" s="2" t="s">
        <v>162</v>
      </c>
      <c r="D35" s="2" t="s">
        <v>18</v>
      </c>
      <c r="E35" s="2" t="s">
        <v>18</v>
      </c>
      <c r="F35" s="2" t="n">
        <v>5</v>
      </c>
      <c r="G35" s="2" t="s">
        <v>163</v>
      </c>
      <c r="H35" s="2" t="b">
        <f aca="false">TRUE()</f>
        <v>1</v>
      </c>
      <c r="I35" s="2" t="s">
        <v>21</v>
      </c>
      <c r="J35" s="2" t="s">
        <v>66</v>
      </c>
      <c r="K35" s="8" t="b">
        <f aca="false">FALSE()</f>
        <v>0</v>
      </c>
      <c r="L35" s="2" t="b">
        <f aca="false">FALSE()</f>
        <v>0</v>
      </c>
      <c r="M35" s="2" t="b">
        <f aca="false">TRUE()</f>
        <v>1</v>
      </c>
      <c r="N35" s="2" t="b">
        <f aca="false">FALSE()</f>
        <v>0</v>
      </c>
      <c r="O35" s="2" t="b">
        <f aca="false">FALSE()</f>
        <v>0</v>
      </c>
      <c r="R35" s="3" t="s">
        <v>164</v>
      </c>
    </row>
    <row r="36" customFormat="false" ht="15" hidden="false" customHeight="false" outlineLevel="0" collapsed="false">
      <c r="A36" s="2" t="s">
        <v>165</v>
      </c>
      <c r="B36" s="2" t="s">
        <v>166</v>
      </c>
      <c r="C36" s="2" t="s">
        <v>167</v>
      </c>
      <c r="D36" s="2" t="s">
        <v>18</v>
      </c>
      <c r="E36" s="2" t="s">
        <v>18</v>
      </c>
      <c r="F36" s="2" t="n">
        <v>4</v>
      </c>
      <c r="G36" s="2" t="s">
        <v>168</v>
      </c>
      <c r="H36" s="2" t="b">
        <f aca="false">TRUE()</f>
        <v>1</v>
      </c>
      <c r="I36" s="2" t="s">
        <v>21</v>
      </c>
      <c r="J36" s="2" t="s">
        <v>21</v>
      </c>
      <c r="K36" s="2" t="b">
        <f aca="false">TRUE()</f>
        <v>1</v>
      </c>
      <c r="L36" s="2" t="b">
        <f aca="false">TRUE()</f>
        <v>1</v>
      </c>
      <c r="M36" s="2" t="b">
        <f aca="false">FALSE()</f>
        <v>0</v>
      </c>
      <c r="N36" s="2" t="b">
        <f aca="false">FALSE()</f>
        <v>0</v>
      </c>
      <c r="O36" s="2"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2" t="s">
        <v>169</v>
      </c>
      <c r="B1" s="2" t="s">
        <v>170</v>
      </c>
      <c r="C1" s="2" t="s">
        <v>171</v>
      </c>
    </row>
    <row r="2" customFormat="false" ht="15" hidden="false" customHeight="false" outlineLevel="0" collapsed="false">
      <c r="A2" s="2" t="s">
        <v>172</v>
      </c>
      <c r="B2" s="2" t="s">
        <v>173</v>
      </c>
      <c r="C2" s="2" t="n">
        <v>35</v>
      </c>
    </row>
    <row r="3" customFormat="false" ht="15" hidden="false" customHeight="false" outlineLevel="0" collapsed="false">
      <c r="A3" s="2" t="s">
        <v>174</v>
      </c>
      <c r="B3" s="2" t="s">
        <v>175</v>
      </c>
      <c r="C3" s="2" t="n">
        <v>35</v>
      </c>
    </row>
    <row r="4" customFormat="false" ht="15" hidden="false" customHeight="false" outlineLevel="0" collapsed="false">
      <c r="A4" s="2" t="s">
        <v>176</v>
      </c>
      <c r="B4" s="2" t="s">
        <v>177</v>
      </c>
      <c r="C4" s="2" t="n">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2026-06-12T16:02:37Z</dcterms:created>
  <dc:creator>openpyxl</dc:creator>
  <dc:description/>
  <dc:language>en-GB</dc:language>
  <cp:lastModifiedBy/>
  <dcterms:modified xsi:type="dcterms:W3CDTF">2026-06-13T21:39:35Z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