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<sst xmlns="http://schemas.openxmlformats.org/spreadsheetml/2006/main" count="918" uniqueCount="484">
  <si>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</si>
  <si>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</si>
  <si>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</si>
  <si>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</si>
  <si>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</si>
  <si>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</si>
  <si>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</si>
  <si>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</si>
  <si>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</si>
  <si>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</si>
  <si>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</si>
  <si>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</si>
  <si>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</si>
  <si>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</si>
  <si>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</si>
  <si>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</si>
  <si>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</si>
  <si>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pub.1185069089</t>
  </si>
  <si>
    <t xml:space="preserve">Wireless Stimulation of Barium Titanate@PEDOT Nanoparticles Toward Bioelectrical Modulation in Cancer</t>
  </si>
  <si>
    <t xml:space="preserve">Cancer cells possess distinct bioelectrical properties, yet therapies leveraging these characteristics remain underexplored. Herein, we introduce an innovative nanobioelectronic system combining a piezoelectric barium titanate nanoparticle core with a conducting poly(3,4-ethylenedioxythiophene) shell (BTO@PEDOT NPs), designed to modulate cancer cell bioelectricity through noninvasive, wireless stimulation. Our hypothesis is that acting as nanoantennas, BTO@PEDOT NPs convert mechanical inputs provided by ultrasound (US) into electrical signals, capable of interfering with the bioelectronic circuitry of two human breast cancer cell lines, MCF-7 and MDA-MB-231. Upon US stimulation, the viability of MCF-7 and MDA-MB-231 cells treated with 200 μg mL-1 BTO@PEDOT NPs and US reduced significantly to 31% and 24%, respectively, while healthy human mammary fibroblasts (HMF) were unaffected by the treatment. Subsequent assays shed light on how this approach could interact with cell's bioelectrical mechanisms, namely, by increasing intracellular reactive oxygen species (ROS) and calcium concentrations. Furthermore, this system was able to polarize cancer cell membranes, halting their cell cycle and potentially harnessing their tumorigenic characteristics. These findings underscore the crucial role of bioelectricity in cancer progression and highlight the potential of nanobioelectronic systems as an emerging and promising strategy for cancer intervention.</t>
  </si>
  <si>
    <t xml:space="preserve">out</t>
  </si>
  <si>
    <t xml:space="preserve">This publication concerns a nanobioelectronic cancer therapy system using piezoelectric nanoparticles and has no relevance to alternative proteins or food applications.</t>
  </si>
  <si>
    <t xml:space="preserve">NA</t>
  </si>
  <si>
    <t xml:space="preserve">Colour codes for manual vs LLM conflicts</t>
  </si>
  <si>
    <t xml:space="preserve">pub.1190780280</t>
  </si>
  <si>
    <t xml:space="preserve">Stabilization of double emulsions with anthocyanins using a plant protein–inositol hexaphosphate complex</t>
  </si>
  <si>
    <t xml:space="preserve">BACKGROUND: Double emulsions (water-in-oil-in-water - W/O/W) offer a promising strategy for encapsulating sensitive bioactive compounds like anthocyanins. Their performance depends on the choice of stabilizing agents and the structural integrity of the interfacial layer, particularly under processing conditions such as spray drying. This study combined plant-based proteins (pea and rice) with inositol hexaphosphate (IP6) to investigate their coacervation behavior and effectiveness in stabilizing anthocyanin-loaded double emulsions.
RESULTS: Eight formulations were evaluated, varying in protein type (pea - PP or rice - RP), protein-to-IP6 ratios (1:1 or 2:1), and wall-to-emulsion ratios (2:1 or 4:1). The highest anthocyanin retention (94.4%) was observed in RP-1:1-2:1, and the lowest (30.6%) occurred in RP-2:1-4:1. Scanning electron microscopy (SEM) revealed that higher wall-to-emulsion ratios led to smaller and more uniform microcapsules but retention efficiency decreased. Fourier-transform infrared (FTIR) analysis showed that rice protein systems exhibited higher α-helix content and α-helix:β-sheet ratios, correlating with better film cohesiveness, interfacial integrity, and controlled release. In contrast, pea protein systems were dominated by β-sheet and random coil structures, leading to more disordered matrices, greater surface irregularities, and increased anthocyanin leakage. These structural differences reflect protein-specific interactions with IP6 and are consistent with literature reporting superior mechanical and barrier properties for α-helical structures. Physical characterization showed that pea protein capsules retained more moisture and had higher tapped density, whereas rice protein capsules were lighter in color.
CONCLUSION: The use of protein-IP6 complexes is a viable strategy for stabilizing anthocyanin-rich double emulsions. Rice protein, due to its α-helical-rich structure, contributes to greater stability and encapsulation efficiency, whereas pea protein provides flexibility and moisture retention but lower structural cohesion. These findings highlight the importance of protein secondary structure in designing efficient plant-based encapsulation systems for food, pharmaceutical, and cosmetic applications. © 2025 Society of Chemical Industry.</t>
  </si>
  <si>
    <t xml:space="preserve">While plant proteins (pea and rice) are used, this study focuses on encapsulation of anthocyanins (a bioactive compound) for food, pharmaceutical, and cosmetic applications broadly, without a stated application in substituting animal-derived products or advancing alternative protein development — it is primarily a bioactive encapsulation/delivery study.</t>
  </si>
  <si>
    <t xml:space="preserve">Conflict, but LLM is correct, so no issues (original label is incorrect).</t>
  </si>
  <si>
    <t xml:space="preserve">pub.1187683375</t>
  </si>
  <si>
    <t xml:space="preserve">Assessing the impact of copper toxicity on soil ecosystems and barley growth: identification of robust indicators</t>
  </si>
  <si>
    <t xml:space="preserve">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</si>
  <si>
    <t xml:space="preserve">This study investigates copper toxicity effects on soil ecosystems and barley growth as a general agronomic/environmental concern, with no connection to alternative protein development or animal product substitution.</t>
  </si>
  <si>
    <t xml:space="preserve">Borderline case. Could be argued either way.</t>
  </si>
  <si>
    <t xml:space="preserve">pub.1188008903</t>
  </si>
  <si>
    <t xml:space="preserve">Large-Scale Chromatography for the Isolation of 7S Globulin Enriched Fraction from Pigeon Pea Seeds</t>
  </si>
  <si>
    <t xml:space="preserve">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</si>
  <si>
    <t xml:space="preserve">in</t>
  </si>
  <si>
    <t xml:space="preserve">This publication develops a purification protocol for pigeon pea globulin proteins, a high-protein pulse crop, with the stated aim of characterizing functional properties relevant to plant-based food ingredient applications.</t>
  </si>
  <si>
    <t xml:space="preserve">PB</t>
  </si>
  <si>
    <t xml:space="preserve">Incorrect decision by LLM.</t>
  </si>
  <si>
    <t xml:space="preserve">pub.1192893761</t>
  </si>
  <si>
    <t xml:space="preserve">Enhancing lupin protein extraction and functionality through defatting: Impact of different solvents</t>
  </si>
  <si>
    <t xml:space="preserve">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</si>
  <si>
    <t xml:space="preserve">This study directly investigates protein extraction and functional properties of lupin protein isolates using GRAS solvents, which is clearly relevant to plant-based alternative protein ingredient development.</t>
  </si>
  <si>
    <t xml:space="preserve">pub.1195946446</t>
  </si>
  <si>
    <t xml:space="preserve">Masculinity Perceptions and Hostile Sexism Shape Evaluations of Plant-Based Meat Alternatives</t>
  </si>
  <si>
    <t xml:space="preserve">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</si>
  <si>
    <t xml:space="preserve">This study directly examines consumer acceptance and psychological barriers to plant-based meat alternatives, which is clearly in scope as consumer acceptance research on alternative proteins.</t>
  </si>
  <si>
    <t xml:space="preserve">pub.1195989363</t>
  </si>
  <si>
    <t xml:space="preserve">Adaptive thermogenesis in response to weight loss and weight regain: first evidence in adolescents with severe obesity.</t>
  </si>
  <si>
    <t xml:space="preserve">While the effects of multidisciplinary weight loss (WL) on resting energy expenditure remain unclear in adolescents with obesity, the potential presence of adaptive thermogenesis (AT) has never been explored, which was the objective of the present work. Twenty-six adolescents (14·1 (sd 1·5) years) with severe obesity completed a 9-month inpatient multidisciplinary intervention followed by a 4-month follow-up. Anthropometric measurements, body composition (dual X-ray absorptiometry) and resting energy expenditure (REE, indirect calorimetry) were assessed before (T0) and after 9 months of WL intervention (T1) and after a 4-month follow-up (T2). AT, at the level of REE, was defined as a significantly lower measured v. predicted (using regression models with baseline data) REE. Two pre-cited REE equations were used, using both fat mass and fat-free mass (FFM) (predicted REE using equation 1) or FFM only (predicted REE using equation 2). Measured and predicted REE significantly decreased between T0 and T1 (P &lt; 0·001) and remained lower at T2 compared with T0 (measured REE: P = 0·017; predicted REE: P &lt; 0·001). Predicted REE using equation 2 was significantly higher than measured REE at T1 (P = 0·012), suggesting the presence of AT. FFM at T0 was negatively correlated with ATp1T1 (Rho = -0·428; P = 0·033) and ATp2T1 (Rho = -0·485; P = 0·014). The variation of FFM between T0 and T1 was negatively correlated with AT at T1 and T2. These preliminary results suggest the existence of AT in response to WL in adolescents with obesity, independently of the degree of WL. AT was associated with subsequent body weight and fat regain, suggesting AT may represent a damper to WL attempts while increasing the adolescents' risks for subsequent weight and adiposity rebounds.</t>
  </si>
  <si>
    <t xml:space="preserve">This study concerns adaptive thermogenesis and energy expenditure in adolescents with obesity undergoing weight loss interventions, with no relevance to alternative proteins or plant-based, fermentation-derived, or cultivated food products.</t>
  </si>
  <si>
    <t xml:space="preserve">pub.1185972884</t>
  </si>
  <si>
    <t xml:space="preserve">Can Plant-Based Cheese Substitutes Nutritionally and Sensorially Replace Cheese in Our Diet?</t>
  </si>
  <si>
    <t xml:space="preserve">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</si>
  <si>
    <t xml:space="preserve">This study directly evaluates plant-based cheese substitutes as dairy analogues, assessing their nutritional and sensory quality, which is clearly within the scope of alternative protein research on plant-based dairy alternatives.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</si>
  <si>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</si>
  <si>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</si>
  <si>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</si>
  <si>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This review explicitly addresses sensory challenges in alternative protein foods including plant-based and precision fermentation approaches for meat and dairy analogues, covering molecular interventions such as enzymatic treatments, gene editing, and structuring techniques directly relevant to alternative protein development.</t>
  </si>
  <si>
    <t xml:space="preserve">CC</t>
  </si>
  <si>
    <t xml:space="preserve">pub.1183886498</t>
  </si>
  <si>
    <t xml:space="preserve">Incubation of adipocytes with α-linolenic acid and non-protein-bound iron results in a higher accumulation of omega-3 fatty acids and iron and lower oxidized lipids compared to incubation with docosahexaenoic acid and protein-bound iron</t>
  </si>
  <si>
    <t xml:space="preserve">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</si>
  <si>
    <t xml:space="preserve">This study directly investigates nutrient enrichment in cultured adipocytes as a model for cultivated meat production, making it clearly in scope for cultivated meat research.</t>
  </si>
  <si>
    <t xml:space="preserve">CM</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</si>
  <si>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</si>
  <si>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</si>
  <si>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</si>
  <si>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This review explicitly covers meat substitutes from multiple alternative protein sources (plant-based, fermentation-derived, cultivated) and addresses technological, sustainability, socio-cultural, and policy dimensions, making it broadly cross-cutting and clearly in scope.</t>
  </si>
  <si>
    <t xml:space="preserve">pub.1194826958</t>
  </si>
  <si>
    <t xml:space="preserve">Edible Insects and Allergenic Potential: An Observational Study About In Vitro IgE-Reactivity to Recombinant Pan-Allergens of the Black Soldier Fly (Hermetia illucens) in Patients Sensitized to Crustaceans and Mites</t>
  </si>
  <si>
    <t xml:space="preserve">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</si>
  <si>
    <t xml:space="preserve">This study concerns insect-based proteins (black soldier fly larvae), which are explicitly listed as a topic that does not count as alternative proteins.</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</si>
  <si>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</si>
  <si>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</si>
  <si>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</si>
  <si>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This study screens microalgal strains (Chlorophyta) for biomass and protein production in bioreactors, which falls under fermentation/biomass fermentation as microalgae are used as a protein source, with Chlorella vulgaris and Chloroidium saccharophilum identified as candidates for protein production relevant to alternative protein development.</t>
  </si>
  <si>
    <t xml:space="preserve">F</t>
  </si>
  <si>
    <t xml:space="preserve">pub.1184595150</t>
  </si>
  <si>
    <t xml:space="preserve">(M)eat more plants: How category dimensions and inferences shape consumer acceptance of plant-based proteins</t>
  </si>
  <si>
    <t xml:space="preserve">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</si>
  <si>
    <t xml:space="preserve">This study directly investigates consumer acceptance and categorisation of plant-based proteins (including analogues, semi-analogues, and hybrids), which is clearly in scope as consumer acceptance research on alternative proteins.</t>
  </si>
  <si>
    <t xml:space="preserve">pub.1184123169</t>
  </si>
  <si>
    <t xml:space="preserve">Weeds and agro by-products for sustainable farming of edible field cricket, Gryllus madagascarensis (Orthoptera: Gryllidae)</t>
  </si>
  <si>
    <t xml:space="preserve">Gryllus madagascarensis (Orthoptera: Gryllidae) is a cricket species that shows promise to mitigate food insecurity and malnutrition. But whether this species will accept low- to no-cost weeds and agro by-products as feed, and how these feeds affect its performance, remains unknown. This study assessed the acceptability of 66 weed species and agro by-products (derived from a single plant species) by adult G. madagascarensis and compared the results to a reference feed (chicken feed). We further examined how the 11 top acceptable single plant products affected growth parameters of G. madagascarensis. The parameters assessed included development, survivorship, body mass and body length and reproductive fitness of the crickets on each of these diets. Finally, the costs of the 11 top accepted single plant products were compared. Our results demonstrated that the cricket accepted all 66 single plant products at varying degrees. Tropical white morning glory (Ipomoea alba), cassava tops (Manhot esculentum), taro leaves (Colocasia esculenta), cowpea bran (Vigna unguiculata), American hog-peanut (Afroamphica africana), gallant soldier (Galinsoga parviflora), wheat bran (Triticum aestivum), glycine (Neonotonia wightii), silver leaf Desmodium (Desmodium uncinatum), maize bran (Zea mays) and rice bran (Oryza sativa) were the most accepted. The analysed nutrient content varied across the top 11 accepted single plant products and the reference feed. The shortest development and highest survival rate were recorded with gallant soldier and cowpea bran powders. Wet body mass and body length were highly impacted by various single plant products tested compared to the reference feed. Reproductive parameters were significantly briefer on tropical white morning glory compared to other feeds and the reference diet. Single plant products cost two- to four-fold less than reference feed. The findings are valuable for developing blended diets that balance performance, cost and availability for household and commercial production of crickets as a "green" technology for producing edible sources of protein.</t>
  </si>
  <si>
    <t xml:space="preserve">This publication concerns insect-based protein (cricket farming), which is explicitly listed as a topic that does not count as alternative proteins.</t>
  </si>
  <si>
    <t xml:space="preserve">pub.1184830129</t>
  </si>
  <si>
    <t xml:space="preserve">Regulation of the quality, flavour, and microbial community of industrially fermented split red sour soup by Lentilactobacillus buchneri and Pediococcus ethanolidurans</t>
  </si>
  <si>
    <t xml:space="preserve">In order to study the changes in physicochemical properties, microbial diversity, and flavour substances during the industrial fermentation of split red sour soup (RSS) inoculated with lactic acid bacteria (LAB), two groups of samples from natural and inoculated fermentation were analyzed. The physicochemical properties in inoculated fermentation group were better than those of natural fermentation group. Compared to natural fermentation, inoculated fermentation led to rapid acidification, and the increased contents of key volatile compounds (isoamyl acetate, ethyl acetate, phenylethanol, acetic acid, etc.) in sour soup. The dominant bacterial genera in the inoculation group included Lentilactobacillus, Pediococcus, Lactobacillus and Lactiplantibacillus. The dominant bacterial genera in the natural fermentation group were Pediococcus, Lentilactobacillus, Levilactobacillus, and Weissella. The dominant fungal genera in the inoculated fermentation samples of tomato sour soup were Pichia and Hanseniaspora. The dominant genera in the remaining sour soup samples were Kazachstania. Spearman correlation analysis showed that Lentilactobacillus, Levilactobacillus, and other bacterial genera were positively correlated with phenylethanol, isoamyl acetate, and terpenoids in tomato sour soup, whereas Kazachstania, Pichia, Hanseniaspora, Candida, and other fungal spp. were positively correlated with alcohols 2-undecanol, cis-3-hexenyl acetate, etc. In chilli sour soup, most of the bacterial genera were negatively correlated with volatile flavour compounds. Acetic acid was positively correlated with Hanseniaspora and negatively correlated with Candida. This study revealed the effects of LAB fermentation on the flavour quality and microbial community of split RSS and laid the basis for the industrial production of split RSS.</t>
  </si>
  <si>
    <t xml:space="preserve">This study concerns the fermentation of sour soup (a traditional condiment made from tomatoes and chilli), which does not substitute animal-derived protein products and is not an alternative protein application.</t>
  </si>
  <si>
    <t xml:space="preserve">pub.1190066863</t>
  </si>
  <si>
    <t xml:space="preserve">Global developments in the regulation of cultivated meat: A comparative study of the EU, Singapore, US and Australia and New Zealand</t>
  </si>
  <si>
    <t xml:space="preserve">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</si>
  <si>
    <t xml:space="preserve">This publication directly addresses the regulatory frameworks governing cultivated meat across multiple jurisdictions, which is clearly in scope as policy/regulatory research on cultivated meat as an alternative protein.</t>
  </si>
  <si>
    <t xml:space="preserve">pub.1183667033</t>
  </si>
  <si>
    <t xml:space="preserve">Valorisation of white grape pomace sugars for optimized heterotrophic cultivation of Auxenochlorella protothecoides: A sustainable food ingredient</t>
  </si>
  <si>
    <t xml:space="preserve">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</si>
  <si>
    <t xml:space="preserve">This study concerns the heterotrophic cultivation of Auxenochlorella protothecoides microalgae as a high-protein biomass for use as a sustainable food ingredient, which falls under biomass fermentation within the alternative proteins category.</t>
  </si>
  <si>
    <t xml:space="preserve">pub.1196134250</t>
  </si>
  <si>
    <t xml:space="preserve">Post-translational modifications of proteins and their effect on techno-functional properties for food applications</t>
  </si>
  <si>
    <t xml:space="preserve">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</si>
  <si>
    <t xml:space="preserve">The review explicitly discusses post-translational modifications in the context of precision fermentation-derived recombinant proteins for alternative protein food applications, making it in scope under the fermentation pillar.</t>
  </si>
  <si>
    <t xml:space="preserve">pub.1185801276</t>
  </si>
  <si>
    <t xml:space="preserve">Maternal vitamin D status during pregnancy in relation to childhood cardiometabolic risk factors: The GraviD-Child prospective cohort study</t>
  </si>
  <si>
    <t xml:space="preserve">BACKGROUND &amp; AIMS: In utero exposure to deficiencies of certain nutritional factors such as vitamin D has been related to adverse cardiometabolic outcomes in the offspring, but results are conflicting. The aim of this study was to investigate the association between maternal vitamin D status during pregnancy and markers of cardiometabolic risk in childhood.
METHODS: Serum 25-hydroxyvitamin D (25OHD) concentrations were measured at 11- and 33-weeks' gestation. At 7-8 years of age, the children were examined regarding anthropometry, body composition (by bioelectrical impedance), and blood pressure, and a blood sample was drawn. Cardiometabolic risk was assessed using individual cardiometabolic risk factors and a composite score of adiposity, blood pressure, blood lipids, and hemoglobin A1c, using age- and sex-specific z-scores. Associations between maternal vitamin D status in early and late pregnancy and z-scores of markers of cardiometabolic risk were evaluated using adjusted linear and logistic regression analyses.
RESULTS: In total, n = 172 mother-child pairs were included. Neither was an association found between maternal 25OHD concentration with a composite score of cardiometabolic risk in childhood (Odds Ratio (OR) 1.02 (confidence interval (CI) 0.99-1.05), and OR 0.99 (CI 0.97-1.01) in early and late pregnancy, respectively), nor with any individual marker of cardiometabolic risk.
CONCLUSION: In conclusion, there were no evidence of an association between maternal vitamin D status during pregnancy and cardiometabolic risk factors in the child at 7-8 years of age.</t>
  </si>
  <si>
    <t xml:space="preserve">This study concerns maternal vitamin D status and childhood cardiometabolic risk, with no connection to alternative proteins or plant-based, fermentation-derived, or cultivated food products.</t>
  </si>
  <si>
    <t xml:space="preserve">pub.1193801647</t>
  </si>
  <si>
    <t xml:space="preserve">Two-step digestion pathways of hydrogels from pea proteins</t>
  </si>
  <si>
    <t xml:space="preserve">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</si>
  <si>
    <t xml:space="preserve">This study investigates the in-vitro digestion of pea protein hydrogels to optimize bioavailability and allergenicity for vegan/sustainable food products, directly advancing plant-based alternative protein ingredient development.</t>
  </si>
  <si>
    <t xml:space="preserve">pub.1189555755</t>
  </si>
  <si>
    <t xml:space="preserve">Propolis-Loaded Niosomes for Dermopharmaceutic and Cosmetic Applications: Development, Stability, Safety, and In Vitro Bioactivity Studies</t>
  </si>
  <si>
    <t xml:space="preserve">Propolis, produced bybees, is composed of several biologically relevant phenolic compounds with known analgesic, anti-inflammatory, antitumor, antioxidant, immunomodulatory, wound healing, and antibacterial effects, having gained significant interest for therapeutic and cosmetic purposes. Niosomes, self-assembled vesicular nanosystems, are highly researched for topical delivery due to providing controlled and sustained release, protecting encapsulated compounds from degradation, improving stability, and having good biocompatibility and biodegradability. This work aimed to develop novel propolis-loaded niosomes with small and homogeneous particle size, high encapsulation efficiency, controlled release, adequate stability, relevant bioactivity, and high safety for topical application, for therapeutic and/or cosmetic purposes. Aided by quality by design (QbD) analysis, niosomes containing Tween 20, Kolliphor RH 40, cetyl alcohol, and/or cholesterol were produced by thin-film hydration followed by extrusion, with small particle size (between 100 and 200 nm), homogeneous distribution (PDI below 0.2), relevant ζ-potential (around -38 mV), good stability both under refrigeration and at room temperature, high encapsulation efficiency (ranging from 78.8 to 87.4%), and a controlled release profile, relevant to ensure prolonged bioactivity at the application site. Adequate concentration-dependent in vitro safety in keratinocytes and fibroblasts (up to 12.5 or 25 μg/mL) was demonstrated as well, with some niosomal formulations also showing a low irritative potential in a HET-CAM test, and relevant in vitro anti-inflammatory potential (IC50 from 14.90 to 17.89 ng/mL). These novel nanoplatforms, containing a nature-derived hydrophobic compound with various relevant bioactivities, could serve as versatile and advantageous formulations in both pharmaceutical and cosmetic contexts of application.</t>
  </si>
  <si>
    <t xml:space="preserve">This publication concerns propolis-loaded niosomes for dermopharmaceutical and cosmetic topical applications, with no relevance to alternative proteins or substitution of animal-derived foods.</t>
  </si>
  <si>
    <t xml:space="preserve">pub.1195829095</t>
  </si>
  <si>
    <t xml:space="preserve">From Packaging to Posts: Multimodal Marketing Strategies for Alternative Proteins in Germany</t>
  </si>
  <si>
    <t xml:space="preserve">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</si>
  <si>
    <t xml:space="preserve">This study directly investigates marketing and communication strategies for alternative protein products in Germany, covering consumer acceptance and market communication, which falls under cross-cutting societal/consumer research on alternative proteins broadly.</t>
  </si>
  <si>
    <t xml:space="preserve">pub.1186779650</t>
  </si>
  <si>
    <t xml:space="preserve">Nutritional evaluation of high-value alternative proteins extracted from legume defective seeds</t>
  </si>
  <si>
    <t xml:space="preserve">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</si>
  <si>
    <t xml:space="preserve">This study evaluates protein concentrates from legumes (P. vulgaris, L. culinaris, L. albus, P. sativum) for use in plant-based food products, directly advancing alternative protein ingredient development.</t>
  </si>
  <si>
    <t xml:space="preserve">pub.1194151835</t>
  </si>
  <si>
    <t xml:space="preserve">A coordinated framework for enhancing oxygen dynamics to improve the production of sesquiterpene</t>
  </si>
  <si>
    <t xml:space="preserve">Combining bioprocess and system engineering optimization enhances the synthesis of oxygen-demanding products.
 Microbial production of sesquiterpene like β-farnesene is challenging owing to high energy demands, redox imbalances, and oxygen supply constraints. However, the underlying mechanisms governing these limitations remain poorly understood, making it challenging to optimize production through traditional metabolic engineering strategies. Here, we show a multi-scale framework focused on oxygen dynamics by integrating bioreactor optimization, transcriptomic sequencing, and metabolic engineering to efficiently produce β-farnesene. Starting with improved oxygen supply, we demonstrated high oxygen demand during β-farnesene synthesis and alleviated limitations through an impeller design, which enhanced the oxygen transfer efficiency. Modifications of genes GRE2 , SOD2 , ERG2 , and ALP1 boosted the production capacity, while the expression of hemoglobin improved oxygen utilization and redox homeostasis. These strategies led to a 242% enhancement in β-farnesene production, accompanied by substantial reductions in glucose and oxygen consumption. This work presents a comprehensive strategy to enhance sesquiterpene biosynthesis and provides insights into overcoming oxygen constraints in microbial cell factories.</t>
  </si>
  <si>
    <t xml:space="preserve">This research concerns microbial production of β-farnesene (a sesquiterpene hydrocarbon used as a biofuel/chemical), not an alternative protein or food ingredient intended to substitute animal-derived foods.</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</si>
  <si>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</si>
  <si>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</si>
  <si>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</si>
  <si>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This study investigates consumer acceptance and intention to consume alternative proteins (plant-based, insect-based, and cultured meat) among young Italian consumers, which is in scope as cross-cutting consumer behaviour research on alternative proteins, despite also including insect-based proteins.</t>
  </si>
  <si>
    <t xml:space="preserve">pub.1188305210</t>
  </si>
  <si>
    <t xml:space="preserve">Effect of pH and protein to polysaccharide ratio on coacervation of sesame protein isolate-Tragacanth gum: Structure-rheology function</t>
  </si>
  <si>
    <t xml:space="preserve">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</si>
  <si>
    <t xml:space="preserve">Sesame protein isolate is a plant-derived protein source and the research on its coacervation with Tragacanth gum is framed as contributing to sustainable plant-based food ingredients, making it marginally in scope as a functional plant protein ingredient study, though the application to alternative proteins specifically is not explicitly stated.</t>
  </si>
  <si>
    <t xml:space="preserve">pub.1193823756</t>
  </si>
  <si>
    <t xml:space="preserve">Unlocking the potential of oat okara: A review of origins, composition, and upcycling opportunities in plant-based foods</t>
  </si>
  <si>
    <t xml:space="preserve">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</si>
  <si>
    <t xml:space="preserve">This review directly concerns oat okara, a by-product of oat-based beverage production, and its upcycling into plant-based food products, which is clearly within the scope of plant-based alternative protein research.</t>
  </si>
  <si>
    <t xml:space="preserve">pub.1188483203</t>
  </si>
  <si>
    <t xml:space="preserve">A Balancing Act—20 Years of Nutrition and Health Claims Regulation in Europe: A Historical Perspective and Reflection</t>
  </si>
  <si>
    <t xml:space="preserve">The Nutrition and Health Claims Regulation (NHCR) has introduced a new regulatory perspective in food manufacturing, along with influencing consumers' perception of health-related food claims. Since 2006, a new standard of science-based claims has significantly impacted the European health food market. Over the years, numerous additional decisions have been made, and the ongoing process remains challenging for policymakers striving to harmonize consumer protection and trade within and outside the European Union (EU). This paper presents the current state of the NHCR's implementation, along with key events aimed at enhancing understanding among consumer organizations and food industry stakeholders, while also offering an insider perspective on relevant policy issues. Additionally, we address two pertinent policy issues to elucidate the associated challenges and opportunities, providing insights to support informed decision-making by policymakers. We use the nutrient profiles framework as a case study to illustrate considerations underpinning the objective of "consumer protection", while the "probiotics" market serves as an example for exploring the goal of "facilitation of trade". This historical perspective and reflection lead us to propose possible solutions for future food regulation.</t>
  </si>
  <si>
    <t xml:space="preserve">This paper reviews EU nutrition and health claims regulation broadly, with no specific focus on alternative proteins; the probiotics and nutrient profiles case studies do not concern alternative protein ingredients or products.</t>
  </si>
  <si>
    <t xml:space="preserve">pub.1185359123</t>
  </si>
  <si>
    <t xml:space="preserve">Impact of Trophic Mode-Driven Chlorella Biomass on Vegan Food Emulsions: Exploring Structure and Functionality</t>
  </si>
  <si>
    <t xml:space="preserve">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</si>
  <si>
    <t xml:space="preserve">This study investigates microalgae (Chlorella) biomass as a protein source in vegan food emulsions (mayonnaise analogues), which constitutes biomass fermentation/microalgae as an alternative protein ingredient substituting animal-derived products.</t>
  </si>
  <si>
    <t xml:space="preserve">pub.1190465784</t>
  </si>
  <si>
    <t xml:space="preserve">Challenges and innovations for sustainable ruminant production based upon One Health principles.</t>
  </si>
  <si>
    <t xml:space="preserve">Almost 12 % of the human population have insufficient access to food and hence are at risk from nutrient deficiencies and related conditions, such as anaemia and stunting. Ruminant meat and milk are rich in protein and micronutrients, making them a highly nutritious food source for human consumption. Conversely, ruminant production contributes to methane (CH4) emissions, a greenhouse gas (GHG) with a global warming potential (GWP) 27–30 times greater than that of carbon dioxide (CO2). Nonetheless, ruminant production plays a crucial role in the circular bioeconomy in terms of upcycling agricultural products that cannot be consumed by humans, into valuable and nutritional food, whilst delivering important ecosystem services. Taking on board the complexities of ruminant production and the need to improve both human and planetary health, there is increasing emphasis on developing innovative solutions to achieve sustainable ruminant production within the ‘One Health’ framework. Specifically, research and innovation will undoubtedly continue to focus on (1) Genetics and Breeding; (2) Animal nutrition and (3) Animal Health, to achieve food security and human health, whilst limiting environmental impact. Implementation of resultant innovations within the agri-food sector will require several enablers, including large-scale investment, multi-actor partnerships, scaling, regulatory approval and importantly social acceptability. This review outlines the grand challenges of achieving sustainable ruminant production and likely research and innovation landscape over the next 15 years and beyond, specifically outlining the pathways and enablers required to achieve sustainable ruminant production within the One Health framework.</t>
  </si>
  <si>
    <t xml:space="preserve">This publication focuses on sustainable ruminant (animal) production within a One Health framework, covering genetics, animal nutrition, and animal health — not alternative proteins intended to substitute animal-derived foods.</t>
  </si>
  <si>
    <t xml:space="preserve">pub.1186802256</t>
  </si>
  <si>
    <t xml:space="preserve">Generation Z as Innovation Drivers in the Luxury Hospitality Sector. The Case of Cultured Meat</t>
  </si>
  <si>
    <t xml:space="preserve">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</si>
  <si>
    <t xml:space="preserve">This study directly examines consumer acceptance and adoption of cultured meat among Generation Z in the luxury hospitality sector, which is clearly in scope as socioeconomic/consumer behaviour research on cultivated meat.</t>
  </si>
  <si>
    <t xml:space="preserve">pub.1194012217</t>
  </si>
  <si>
    <t xml:space="preserve">Plant-based alginate-guar gum-konjac glucomannan scaffold with enhanced thermal stability and biocompatibility for cultured meat production</t>
  </si>
  <si>
    <t xml:space="preserve">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</si>
  <si>
    <t xml:space="preserve">This study develops a plant-based hydrogel scaffold specifically engineered for cultured meat production, testing biocompatibility with myoblast cells and addressing thermal stability challenges in cultivated meat processing.</t>
  </si>
  <si>
    <t xml:space="preserve">pub.1190691295</t>
  </si>
  <si>
    <t xml:space="preserve">Radiofrequency and microwave 3D bioprinting of emulsion gel for dysphagia diets</t>
  </si>
  <si>
    <t xml:space="preserve">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</si>
  <si>
    <t xml:space="preserve">The study focuses on 3D bioprinting of emulsion gels for dysphagia diets using ovalbumin (egg protein) as the primary protein source, which is an animal-derived ingredient rather than an alternative protein, and while cultivated meat is briefly mentioned as a potential future application, this is incidental and not the focus of the research.</t>
  </si>
  <si>
    <t xml:space="preserve">Agreed out of scope – medical focus</t>
  </si>
  <si>
    <t xml:space="preserve">pub.1191203082</t>
  </si>
  <si>
    <t xml:space="preserve">Enhanced Media Optimize Bovine Myogenesis in 2D and 3D Models for Cultivated Meat Applications</t>
  </si>
  <si>
    <t xml:space="preserve">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</si>
  <si>
    <t xml:space="preserve">This publication directly concerns the optimization of bovine myogenic progenitor cell differentiation in 2D and 3D culture systems for cultivated meat production, a core cultivated meat research topic.</t>
  </si>
  <si>
    <t xml:space="preserve">pub.1184899770</t>
  </si>
  <si>
    <t xml:space="preserve">Impact of Implementing Female Genomic Selection and the Use of Sex-Selected Semen Technology on Genetic Gain in a Dairy Herd in New Zealand</t>
  </si>
  <si>
    <t xml:space="preserve">Genomic selection (GS) has changed cattle breeding, but its use so far has been in selecting superior bulls for breeding. However, its farm-level impact, particularly on female selection, remains less explored. This study aimed to investigate the impact of implementing GS to identify superior cows and using artificial mating of those cows with sex-selected semen in a New Zealand Holstein-Friesian (HF) dairy herd (n = 1800 cows). Heifers (n = 2061) born over four consecutive years between 2021 and 2024 were genotyped and their genomic breeding values (GBVs) were estimated. These heifers were ranked based on the Balanced Performance Index (BPI; DataGene, Dairy Australia) Lower-performing cows producing less than 15 L/day (or 20 L/day for older cows) and those with severe mastitis were culled. Cows were mated with HF genetics based on production and udder breeding values, while lower-performing cows were mated to beef genetics. Milking adult cows were mated to bulls with similar BPI value. Annual genetic change was measured using Australian breeding values (ABVg) for milk fat production (FAT), protein production (PROT), fertility (FER), Mastitis Resistance (MAS), and BPI. The genetic merits of the heifers improved annually, with BPI increasing from 136 to 184 between 2021 and 2023, corresponding to a financial gain of NZD 17.53 per animal per year. The predicted BPI gain from 2023 to 2026 is expected to rise from 184 to 384, resulting in a financial gain of NZD 72.96 per animal per year. Using sex-selected semen on the top 50% of BPI-rated heifers in 2024 further accelerated genetic gain. Predicted BPI values for progeny born in 2025 and 2026 are 320 and 384, respectively. These findings revealed that the female GS, combined with sex-selected semen from genomically selected bulls, significantly accelerates genetic gain by improving the intensity and accuracy of selection. The approach achieves genetic progress equivalent to what traditionally would have required eight years of breeding without female GS, and has potential to improve dairy herd performance and profitability.</t>
  </si>
  <si>
    <t xml:space="preserve">This study concerns conventional dairy cattle genomic selection and breeding for milk production traits, with no relevance to alternative proteins or plant-based, fermentation, or cultivated meat research.</t>
  </si>
  <si>
    <t xml:space="preserve">pub.1187502172</t>
  </si>
  <si>
    <t xml:space="preserve">Influence of cell disruption on techno-functional properties and digestibility of Chlorella vulgaris proteins</t>
  </si>
  <si>
    <t xml:space="preserve">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</si>
  <si>
    <t xml:space="preserve">This study investigates Chlorella vulgaris microalgae biomass as a protein source for food applications, which falls under biomass fermentation/microalgae as an alternative protein, examining processing methods to improve its techno-functional properties and digestibility for food use.</t>
  </si>
  <si>
    <t xml:space="preserve">pub.1187018361</t>
  </si>
  <si>
    <t xml:space="preserve">Microencapsulation techniques and encapsulating materials influenced the shelf life and digestion release of vitamin E and isoflavones in soymilk powder</t>
  </si>
  <si>
    <t xml:space="preserve">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</si>
  <si>
    <t xml:space="preserve">This study concerns soymilk powder, a plant-based dairy analogue, and investigates encapsulation techniques to improve the stability and bioaccessibility of bioactive compounds (vitamin E and isoflavones) in this alternative protein product, making it in scope for plant-based alternative proteins.</t>
  </si>
  <si>
    <t xml:space="preserve">pub.1193443344</t>
  </si>
  <si>
    <t xml:space="preserve">Structuro-optical optimization of ethyl cellulose-modified candelilla wax/canola oil oleogels for use as sustainable fat replacers in steamed bread systems</t>
  </si>
  <si>
    <t xml:space="preserve">The demand for healthier, sustainable alternatives to conventional solid fats is essential for creating sustainable food systems. This study explored the fat crystal engineering of candelilla wax (CW)/canola oil (CO) oleogels using ethyl cellulose (EC) as a crystal habit modifier. Herein, the aim was to optimize the structural, colorimetric, and mechanical properties of the CW/CO oleogel for use in steamed bread applications. EC concentration (0 % to 10 % (w/w)) was characterized using microscopy, colorimetry, hyperspectral imaging (HSI), X-ray diffraction (XRD), and mechanical testing. Notably, HSI and XRD served as key differentiating tools to decode supramolecular organization and light-scattering phenomena in the oleogels. The 5 % EC oleogel (ST10.0) among the formulations demonstrated the most favorable attributes. ST10.0 exhibited enhanced crystalline morphology, highest yellowness index (46.20 ± 2.17), and a strong reflectance peak at 619 nm (0.919 ± 0.002), indicating superior optical properties. HSI further revealed minimized dark zones and uniform pixel-wise chromaticity. XRD confirmed the rigid and compact molecular packing in ST10.0, evident from the lowest average d-spacing (4.002 Å). Mechanical testing showed that ST10.0 maintained a desirable firmness (548.17 ± 13.50 g) and cohesiveness (2310.44 ± 108.51 g-mm), making it suitable for bakery systems. Incorporation into steamed bread significantly enhanced product dimensions (diameter: 13.00 ± 0.08 cm; height: 4.83 ± 0.04 cm) and crumb aeration. Further, colorimetric evaluation showed improved brightness and diminished browning. These findings demonstrate that ST10.0 oleogel is a promising solid fat replacer with enhanced structural and sensory characteristics, holding significant potential for scalable industrial and clean-label bakery applications.</t>
  </si>
  <si>
    <t xml:space="preserve">This study concerns oleogel fat replacers for steamed bread (a bakery product), which does not substitute animal-derived protein foods and is not an alternative protein application.</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</si>
  <si>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</si>
  <si>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</si>
  <si>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</si>
  <si>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directly examines mushroom-based meat analogues, covering their physical, organoleptic, nutritional, and dietary fibre properties, which falls squarely within the plant-based alternative protein category.</t>
  </si>
  <si>
    <t xml:space="preserve">pub.1184251166</t>
  </si>
  <si>
    <t xml:space="preserve">Effects of instant controlled pressure drop on amaranth phytochemicals and antioxidant capacity</t>
  </si>
  <si>
    <t xml:space="preserve">Amaranth is a pre-Columbian staple crop used as a nutritious gluten-free grain associated with several health properties. Instant Controlled Pressure Drop (DIC) is an emerging technology used in many food industries. This study evaluates the effect of DIC treatment on amaranth. A. hypochondriacus was submitted to DIC treatments. Proximal analyses were assessed according to AOAC methodologies, phenolic compounds, flavonoids, and antioxidant capacity were measured using standard methods. The application of DIC treatments did not yield significant alterations in amaranth composition. However, a marginal yet statistically significant reduction was observed in the protein percentage. Pressure and time exert a visible increase in the phenolic and flavonoid contents and in the antioxidant activity. The combination of 0.36 MPa and 22 s held the best results in both varieties studied. The significant increase in TPC, TFC, and antioxidant capacities following DIC treatment highlights the potential of this technology as a novel method for enhancing the functional attributes of amaranth.</t>
  </si>
  <si>
    <t xml:space="preserve">While amaranth is a high-protein crop, this study focuses on phytochemicals, flavonoids, and antioxidant capacity rather than protein functionality or use as an alternative protein ingredient, and does not concern substitution of animal-derived foods.</t>
  </si>
  <si>
    <t xml:space="preserve">pub.1192807197</t>
  </si>
  <si>
    <t xml:space="preserve">Efficient Yeast Inactivation and Protein Extraction from Wine Lees Using Pulsed Electric Fields and Ultrasound: A Comparative Energy-Based Approach</t>
  </si>
  <si>
    <t xml:space="preserve">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</si>
  <si>
    <t xml:space="preserve">This study concerns the extraction of intracellular proteins from wine lees yeast biomass using non-thermal processing technologies, which falls under biomass fermentation as yeast (single-cell) is the protein source being recovered for potential food applications.</t>
  </si>
  <si>
    <t xml:space="preserve">Borderline – I would tend to agree it is in scope. There is a partial focus on protein and mentions agri-food sector.</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</si>
  <si>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</si>
  <si>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</si>
  <si>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</si>
  <si>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This review directly addresses allergenicity of alternative proteins (plant-based, fungal, algae, single-cell proteins) and processing strategies to reduce allergenic risks, which is clearly relevant to alternative protein development and safety, though it also covers insect-based proteins which are out of scope.</t>
  </si>
  <si>
    <t xml:space="preserve">pub.1192700455</t>
  </si>
  <si>
    <t xml:space="preserve">P12-08 Oxidative and inflammatory pathways after T-2 toxin exposure in HepG2 cells</t>
  </si>
  <si>
    <t xml:space="preserve">Mycotoxins are secondary metabolites produced by filamentous fungi, that are often present in food. Fusarium species produce the T-2 toxin (T-2), which is mainly found in oats. This is the most toxic mycotoxin of the trichothecenes group. The main toxic effects of T-2 are hepatotoxicity, nephrotoxicity, neurotoxicity and gastrointestinal disorders. Although the maximum tolerable levels of T-2 in cereals have been established, they need to be re-evaluated because of their toxicity. Therefore, it is necessary to carry out toxicity studies to understand its mechanisms of toxicity completely. So, in this study, the metabolic pathway associated with inflammatory and oxidative processes was evaluated, as this area has been little studied. The hepatocarcinoma (HepG2) cells were exposed to 7.5, 15 and 30 nM T-2 for 24 h to quantify the gene expression of the interleukins TNF-α, IL-1β and IL-6 and the proteins Nrf2 and HO-1. This was carried out by qPCR and the results were confirmed by western blotting. The results demonstrated alterations in HepG2 cell morphology in a concentration-dependent manner by indirect immunofluorescence analysis. Respect to inflammatory and oxidative factors, we observed that, the IL-1β mRNA, IL-6 and TNF- α mRNA were up-regulated at the highest concentration tested compared to the control. And, the Nrf2 mRNA was down-regulated by T-2 at all concentrations tested. Western blot results showed the bands referred to IL-6, which intensity was increased up to 1.95 folds at 30 nM of T-2, compared to the negative control. Regarding the bands of oxidative proteins, Nrf2 were detected with a decrease at the highest concentration (0.67 folds compared to the control) and a decrease of 2.31 folds of HO-1 compared to the control was detected at the lowest concentration of T-2. In , the overexpression of inflammatory pathway genes and downregulation of genes related to oxidative processes suggest that T-2 exposure produces toxicity through activation of the inflammatory pathway, and inhibition of the Nrf2/HO-1 pathway in HepG2 cells. Acknowledgments: Spanish Ministry of Science and Innovation(PID2020-115871RB-I00) and the State of Investigation Agency MCIN/AEI/10.13039/501100011033. Mercedes Taroncher is grateful for the postdoctoral grant PRE2021-096941 provided by the Spanish Ministry of Science and Innovation project.</t>
  </si>
  <si>
    <t xml:space="preserve">This study investigates the toxicity mechanisms of T-2 mycotoxin in liver cells, which is a food safety/toxicology topic unrelated to alternative protein development.</t>
  </si>
  <si>
    <t xml:space="preserve">pub.1185628821</t>
  </si>
  <si>
    <t xml:space="preserve">Production of protein-rich fungal biomass from pistachio dehulling waste using edible Neurospora intermedia</t>
  </si>
  <si>
    <t xml:space="preserve">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</si>
  <si>
    <t xml:space="preserve">This study produces protein-rich fungal biomass (Neurospora intermedia) via fermentation of agricultural waste, which qualifies as biomass fermentation for potential food applications, even though animal feed is also mentioned as an application.</t>
  </si>
  <si>
    <t xml:space="preserve">pub.1186677941</t>
  </si>
  <si>
    <t xml:space="preserve">Tailoring the physico-chemical properties and VOCs of pea-based fermented beverages through Lactobacillus delbrueckii subsp. bulgaricus and Streptococcus thermophilus fermentation</t>
  </si>
  <si>
    <t xml:space="preserve">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</si>
  <si>
    <t xml:space="preserve">This study investigates fermentation of pea protein emulsion beverages using LAB strains to develop dairy and soy alternatives, directly advancing plant-based alternative protein product development (traditional fermentation used as a processing method on plant protein, classified as plant-based).</t>
  </si>
  <si>
    <t xml:space="preserve">pub.1187676298</t>
  </si>
  <si>
    <t xml:space="preserve">Dinitrogen fixation by open purple non-sulfur bacteria cultures for protein production: Diazotrophy boosts photoheterotrophic uptake rates</t>
  </si>
  <si>
    <t xml:space="preserve">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</si>
  <si>
    <t xml:space="preserve">This study investigates purple non-sulfur bacteria (PNSB) as a microbial biomass protein source for human nutrition, which falls under biomass fermentation as an alternative protein production system.</t>
  </si>
  <si>
    <t xml:space="preserve">pub.1185804121</t>
  </si>
  <si>
    <t xml:space="preserve">Signs of Change: Estimating the Impact of Animal Cruelty Billboards on Plant-Based and Dairy Milk Consumption in the UK</t>
  </si>
  <si>
    <t xml:space="preserve">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</si>
  <si>
    <t xml:space="preserve">This field experiment evaluates a social marketing campaign aimed at shifting consumer behaviour toward plant-based milk consumption, directly addressing consumer acceptance and demand for plant-based alternatives to dairy.</t>
  </si>
  <si>
    <t xml:space="preserve">pub.1191474273</t>
  </si>
  <si>
    <t xml:space="preserve">Proteomics coupled machine learning—innovative approach in geographical origin authentication of green Coffea arabica</t>
  </si>
  <si>
    <t xml:space="preserve">The geographical authentication of green specialty coffee is an economically sensitive analytical task that is not yet fully resolved. We used an innovative combination of proteomic profiling with linear discriminant analysis for the authentication of the geographical origin of green specialty coffee beans from well-known harvesting regions in Central America, South America, Africa, and Asia. Out of 1596 identified proteins, we selected the top 30 target markers ranked by ANOVA. The model's prediction performance using leave-one-out cross-validation reached 85.3 %, with the lowest accuracy in the prediction rate for Asian samples. Besides, model performance and prediction sensitivity to random states were tested using 5-fold cross-validation. After 20 iterations, the model performance slightly decreased to 84.0 %. This research contributes to advancing traceability tools in the coffee industry, ensuring product authenticity, and promoting fair trade practices. Specificity and sensitivity confirmed that the model appears to be reliable at distinguishing Asian and African samples.</t>
  </si>
  <si>
    <t xml:space="preserve">This publication concerns geographical authentication of coffee beans using proteomics and machine learning, which is not related to alternative proteins or substitutes for animal-derived foods.</t>
  </si>
  <si>
    <t xml:space="preserve">pub.1190465743</t>
  </si>
  <si>
    <t xml:space="preserve">Application of protein modeling and molecular simulation techniques in the field of food microbial contamination: principles, research status and future prospects</t>
  </si>
  <si>
    <t xml:space="preserve">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</si>
  <si>
    <t xml:space="preserve">This publication concerns food safety and microbial contamination detection/prevention using molecular simulation techniques, with no relevance to alternative protein development or production.</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</si>
  <si>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</si>
  <si>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</si>
  <si>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</si>
  <si>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The study concerns the safety and processing of a plant-based fermented dry-cured sausage analogue, which is a direct plant-based meat analogue, making it in scope for alternative proteins research.</t>
  </si>
  <si>
    <t xml:space="preserve">pub.1187988461</t>
  </si>
  <si>
    <t xml:space="preserve">Amylase trypsin inhibitors activation of toll-like receptor 4 revisited: The dominance of lipopolysaccharides contamination</t>
  </si>
  <si>
    <t xml:space="preserve">Amylase trypsin inhibitors (ATIs) potentially play a role in irritable bowel syndrome (IBS) and non-celiac wheat sensitivity (NCWS). These cereal-derived inhibitors are suspected to bind to the TLR4-MD2-CD14 complex and trigger intestinal pro-inflammatory responses, but confirmation through more extensive cell line studies is required. In this study, an amylase trypsin inhibitors enriched fraction (AEF) was prepared and characterized. Then, AEF binding potential to TLR4-MD2-CD14 was investigated using the human TLR4 reporter cell line HEK-BlueTM. The method took into account the presence of lipopolysaccharides (LPS) using Polymyxin B (PMB) to block LPS binding to TLR4. Proteinase K was also used to hydrolyze AEF proteins and eliminate their induced response. The cell line experiments showed that PMB treatment of AEF reduced the binding signal by 92 %. Complete hydrolysis of the protein by Proteinase K doubled the TLR4 activation signal and might indicate that protein-LPS complexation reduced LPS's ability to activate the TLR4-receptor. These finding underline the need for future work to consider the non-protein part in cell assays, especially the LPS bias. Altogether, these results indicated that LPS activates TLR4-MD2-CD14 and challenges ATIs' intestinal inflammation capacity contributing in irritable bowel syndrome and non-celiac wheat sensitivity.</t>
  </si>
  <si>
    <t xml:space="preserve">This study investigates the biochemical mechanism of amylase trypsin inhibitors (ATIs) from wheat in relation to intestinal inflammation and IBS/NCWS, which is a medical/health research topic rather than alternative protein development or substitution of animal products.</t>
  </si>
  <si>
    <t xml:space="preserve">pub.1195339085</t>
  </si>
  <si>
    <t xml:space="preserve">Bioactive peptides as functional food ingredients: Production, mechanisms of action, market trends, and future perspectives with emphasis on andean crops</t>
  </si>
  <si>
    <t xml:space="preserve">The development of bioactive peptides is of great interest in the food and pharmaceutical industries because of their positive impact on health. However, peptide's bioavailability depends on their stability along the gastrointestinal tract and their ability to be transported to targets located in peripheral organs, whose mechanisms are still poorly understood. However, several studies, mainly in vitro and in vivo, have shown antimicrobial, antitumoral, antihypertensive, anti-inflammatory, antidiabetic, and antioxidative effects. Indeed, some bioactive peptides are already on the global market. One of the current and future perspectives includes the development of novel bioactive peptides from food plant proteins. In this regard, some grains and seeds, such as quinoa, maize, cañihua and tarwi, which were domesticated in the Andes, are attracting global interest due to their high nutritional value and potential as a source of novel bioactive peptides. Tarwi stands out for its high protein content compared to other legumes.</t>
  </si>
  <si>
    <t xml:space="preserve">This publication focuses on bioactive peptides for pharmaceutical and health applications (antimicrobial, antitumoral, antihypertensive, etc.) rather than as alternative protein ingredients substituting animal-derived foods, placing it outside the alternative proteins scope.</t>
  </si>
  <si>
    <t xml:space="preserve">pub.1188868537</t>
  </si>
  <si>
    <t xml:space="preserve">From CO2 to proteins and oils: innovative approach for valorizing acetate-rich gas fermentation stream using microalgae through a two-step process</t>
  </si>
  <si>
    <t xml:space="preserve">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</si>
  <si>
    <t xml:space="preserve">The study uses microalgae (Chlorella sorokiniana) cultivated heterotrophically on acetate from gas fermentation as a source of proteins and lipids for human food applications, which falls under biomass fermentation/microalgae as alternative protein sources.</t>
  </si>
  <si>
    <t xml:space="preserve">pub.1187305326</t>
  </si>
  <si>
    <t xml:space="preserve">In-depth exploration of the structure of pea albumin, its fractions and their heating and foaming properties</t>
  </si>
  <si>
    <t xml:space="preserve">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</si>
  <si>
    <t xml:space="preserve">This study characterizes the structure and functional properties (foaming, interfacial) of pea albumin fractions, directly relevant to plant-based protein ingredient development for food applications.</t>
  </si>
  <si>
    <t xml:space="preserve">pub.1190117241</t>
  </si>
  <si>
    <t xml:space="preserve">The impacts of a multispecies sward grazing system and stage of lactation on the processing-efficiency and compositional characteristics of milk and Cheddar cheese</t>
  </si>
  <si>
    <t xml:space="preserve">This study investigated Cheddar cheese manufacturing, using milks derived from biodiverse multispecies swards (MSS) or perennial ryegrass (PRG) monocultures, at mid- and late-lactation. The macro-composition and fatty-acid-profiles of milks were broadly equivalent, but MSS-derived milks had significantly higher protein and phosphorus contents, and significantly lower somatic cell counts, compared to PRG-derived milks. No significant differences in rennet coagulation properties were observed, and MSS-derived cheese had a typical macro-composition. Increased cheese yields resulted from MSS compared to PRG; actual yields of 11.13 % and 10.58 % respectively, and moisture-adjusted cheese yields adjusted for fat and protein of 18.78 % and 18.25 % respectively. As agri-food industries adapt to maximise efficiency and sustainability, investigations are required to pre-empt any possible negative consequence to milk or product quality. As such, within this study, MSS grazing did not appear to adversely impact the processing-efficiency of milk into Cheddar.</t>
  </si>
  <si>
    <t xml:space="preserve">This study concerns conventional dairy milk and Cheddar cheese production from different grazing systems, with no relevance to alternative proteins or plant-based, fermentation-derived, or cultivated alternatives to animal products.</t>
  </si>
  <si>
    <t xml:space="preserve">pub.1193910496</t>
  </si>
  <si>
    <t xml:space="preserve">Enabling protein-rich microalgae production from anaerobic digestate through direct aeration stripping for gaseous nitrogen and carbon supply</t>
  </si>
  <si>
    <t xml:space="preserve">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</si>
  <si>
    <t xml:space="preserve">This study focuses on producing protein-rich microalgal biomass with a nutritional amino acid profile meeting WHO/FAO guidelines for human consumption, which qualifies as biomass fermentation (microalgae as a protein source) within the alternative proteins scope.</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</si>
  <si>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</si>
  <si>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</si>
  <si>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</si>
  <si>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This study directly evaluates Jatropha curcas (Xuta) kernels as a plant-based alternative protein source for human consumption, assessing safety (genotoxicity, mutagenicity) and antinutritional factors relevant to its development as an alternative protein ingredient.</t>
  </si>
  <si>
    <t xml:space="preserve">pub.1195827327</t>
  </si>
  <si>
    <t xml:space="preserve">Physicochemical Properties and Bioactive Compounds of Leaf Protein Concentrate from Green Pea and Triticale Mixture: A Comparative Study of Thermal and Non-thermal Processing Techniques</t>
  </si>
  <si>
    <t xml:space="preserve">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</si>
  <si>
    <t xml:space="preserve">This study investigates leaf protein concentrate production from green pea and triticale, comparing extraction techniques for food applications, which is directly relevant to plant-based alternative protein ingredient development.</t>
  </si>
  <si>
    <t xml:space="preserve">pub.1189269751</t>
  </si>
  <si>
    <t xml:space="preserve">The impact of climate claims on meat alternative adoption: The underlying mechanism of taste inferences and anticipated guilt</t>
  </si>
  <si>
    <t xml:space="preserve">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</si>
  <si>
    <t xml:space="preserve">This study examines consumer adoption of meat alternatives through climate claims, taste inferences, and anticipated guilt, which is directly relevant to alternative protein consumer acceptance research.</t>
  </si>
  <si>
    <t xml:space="preserve">Should be CC. LLM tends to choose PB in general ‘meat alternative’ scenarios. May have been influenced by ‘plant-based diet’ at the end of the abstract.</t>
  </si>
  <si>
    <t xml:space="preserve">pub.1192392184</t>
  </si>
  <si>
    <t xml:space="preserve">Dispersion behaviour of insoluble particles with different surface properties in non-aqueous media – biopolymer based oleogels</t>
  </si>
  <si>
    <t xml:space="preserve">Particles with some degree of hydrophilicity are known to aggregate when directly dispersed in non-aqueous media. Proteins are generally insoluble in oil and have complex surface properties, but they may form networks in oil like more simple colloidal particles, depending on particle size and surface hydrophilicity. Here, the particle size of pea protein isolate (PPI) particles in oil was reduced to submicron sizes by stirred media milling. The rheology of milled PPI oil suspensions was compared to dispersions prepared with two types of colloidal silica particles - hydrophobic and hydrophilic. PPI particles form structured aggregates in oil which break down under shear that, similarly to silica, can form an elastic network like an oleogel system. As PPI size decreased, aggregation increased, shown by higher apparent viscosities and gel strength. PPI particles with an average size of 1 μm exhibited elastic behaviour (G' &gt; G'') at 11.2 wt%. Rheological scaling models obtained two fractal dimensions: a higher intra-floc dimension and a lower network backbone dimension, suggesting that colloidal PPI and silica particles have an inhomogeneous microstructure with denser particle flocs compared to a relatively sparse backbone. For smaller PPI particles the inter- and intra-floc fractal dimensions become like that of hydrophobic silica, suggesting that the average 'surface' character of the PPI may be close to that of the silica. Therefore despite the complexity of the protein surface, parallels can be drawn with simpler colloidal systems. Pre-wetting the particles with ethanol tuned this behaviour, highlighting the role of surface chemistry in gel formation.</t>
  </si>
  <si>
    <t xml:space="preserve">This study investigates the rheological and dispersion behaviour of pea protein isolate (PPI) particles in oil to form oleogels, which is relevant to plant-based alternative protein ingredient development and processing.</t>
  </si>
  <si>
    <t xml:space="preserve">Borderline – I would tend to agree it is in scope. Oleogels are used as an alternative to saturated fats, plus it uses pea protein isolate specifically.</t>
  </si>
  <si>
    <t xml:space="preserve">pub.1191786314</t>
  </si>
  <si>
    <t xml:space="preserve">Analyses of phenotypic and genomic based genetic diversity highlight useful trait variation for the improvement of grain and protein yield of pea (Pisum sativum L.) grown in Norway</t>
  </si>
  <si>
    <t xml:space="preserve">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</si>
  <si>
    <t xml:space="preserve">This study focuses on agronomic improvement of pea (Pisum sativum L.) specifically for grain and protein yield as a plant-based protein source for food, making it in scope as agronomic research on a high-protein crop used as an alternative protein feedstock.</t>
  </si>
  <si>
    <t xml:space="preserve">pub.1185641129</t>
  </si>
  <si>
    <t xml:space="preserve">The Impact of Trust on Chinese Consumers’ Acceptance of Meat Substitutes: The Mediating Role of Perceived Benefits and Perceived Risks, and the Moderating Role of Consumer Knowledge</t>
  </si>
  <si>
    <t xml:space="preserve">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</si>
  <si>
    <t xml:space="preserve">This study directly examines consumer acceptance of meat substitutes among Chinese consumers, covering trust, perceived benefits, risks, and knowledge — a cross-cutting consumer behaviour study explicitly focused on alternative proteins.</t>
  </si>
  <si>
    <t xml:space="preserve">pub.1194587671</t>
  </si>
  <si>
    <t xml:space="preserve">Alive and dead earthworms capture carbon during mineral weathering through different pathways</t>
  </si>
  <si>
    <t xml:space="preserve">Enhanced rock weathering aims at capturing atmospheric carbon dioxide as inorganic carbon, while potentially stabilizing soil organic carbon. However, the role of soil biota in this process remains underexplored. Earthworms, being key soil engineers, may impact carbon dynamics both when alive, through mineral ingestion and casting activities, and when dead, through microbial processes. Using stable isotope tracing, we investigate how live and dead earthworms affect carbon dynamics during rock weathering. We demonstrate that both living and dead earthworms contributed to carbon capture, albeit through distinct pathways. Live earthworms enhanced the formation of organo-mineral associations via their dejections over time, promoting organic carbon persistence. Dead earthworms boosted microbial abundance and activity, enhancing organo-mineral associations and atmospheric-derived inorganic carbon capture between 60 and 120 days. We show that earthworms influence carbon cycling beyond their lifespan, with contrasting physico-chemical and biological pathways driving carbon capture through rock weathering throughout their life cycle.</t>
  </si>
  <si>
    <t xml:space="preserve">This publication concerns soil science and carbon cycling via earthworm activity and rock weathering, with no relevance to alternative proteins or food systems.</t>
  </si>
  <si>
    <t xml:space="preserve">pub.1192698106</t>
  </si>
  <si>
    <t xml:space="preserve">P04-11 Metabolic alterations in human post-mortem frontal cortex and cerebrospinal fluid associated with high levels of nicotine metabolite cotinine</t>
  </si>
  <si>
    <t xml:space="preserve">Cigarette smoking is the single most significant cause of preventable death in the world. Tobacco smoking causes exposure to thousands of chemicals and disrupts biological pathways. It impacts several organs, including the brain, where its effects are mediated by nicotinic acetylcholine receptors. Women seem to be more susceptible to the negative health effects of smoking. In this study we focused on the changes in the metabolic profile of human postmortem frontal cortex and cerebrospinal fluid samples associated with high levels of the nicotine metabolite cotinine. We used non-targeted metabolomics to analyze post-mortem frontal cortex and cerebrospinal fluid (CSF) samples from the Tampere Sudden Death Study cohort. We identified 137 cases (24 females) with high cotinine levels, indicating nicotine exposure. For controls, we identified 82 subjects (20 females) with no cotinine in the frontal cortex or CSF samples and no known history of smoking based on medical records and autopsy reports. Cases had significantly higher levels of 1-methylhistamine (Cohen's d=0.66, p&lt;0.0001) and N-acetylputrescine (d=0.84, p&lt;0.0001), and lower levels of aspartic acid (d=-0.53, p&lt;0.001), 3-methylhistidine (d=-0.58, p=0.0004), and taurine (d=-0.47, p=0.0002) in the frontal cortex compared to controls. Compared to the frontal cortex, differences between cases and controls were smaller in the CSF samples. Most of the observed differences were similar in both sexes, with a few exceptions like low ergothioneine levels, observed especially in female cases. In conclusion, smoking or nicotine exposure is associated with alterations in metabolites linked to increased oxidative stress and neuroinflammation, as well as reduced neurotransmitter levels in the frontal cortex.</t>
  </si>
  <si>
    <t xml:space="preserve">This publication concerns the metabolic effects of nicotine/smoking on the human brain and has no relevance to alternative proteins or plant-based, fermentation-derived, or cultivated food products.</t>
  </si>
  <si>
    <t xml:space="preserve">pub.1195262622</t>
  </si>
  <si>
    <t xml:space="preserve">Starch‐Based Scaffolds for Cultivated Meat Production: Challenges and Perspectives</t>
  </si>
  <si>
    <t xml:space="preserve">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</si>
  <si>
    <t xml:space="preserve">This review explicitly focuses on starch-based scaffolds for cultivated meat production, covering edible scaffold design, bioprocessing, and technoeconomic aspects directly relevant to cultivated meat development.</t>
  </si>
  <si>
    <t xml:space="preserve">pub.1186769868</t>
  </si>
  <si>
    <t xml:space="preserve">Insight into the chemical and nutritional fat profile of Tenebrio molitor larvae reared on different Agri-food by-products</t>
  </si>
  <si>
    <t xml:space="preserve">Insects are capable of feeding with a variety of substrates, being possible obtaining products rich in protein using by-products from agri-food industry. Hence, the aim of this work was evaluating the effect of different diets based on three agri-food industry by-products of Tenebrio molitor larvae's total fat contents and fatty acid profiles. Stabilized Alperujo (ALP), Pleorotus ostreatus spent substrate (POS) and olive leaf flour (OLF) were used mixed with wheat bran, control diet, at different percentages (20-100 %). All substrates studied modified the parameter analysed respect to the control diet. OLF subtract led to the greatest effects on the total fat content at percentage higher than 40 %. Respect to fatty acid profile, the most relevant changes were the increases of total MUFA content in samples from all T. molitor larvae fed with ALP and in most of those fed with POS, due to the specific increases of oleic acid content. On the contrary, total PUFA content decreased in most cases except for OLF substrate when the addition percentages were lower than 100 %. Moreover, OLF substrate enhanced the presence of ω-3. Finally, according to European regulations on nutritional claims, this fat fraction could be labelled as "source of ω-3", "high in monounsaturated fat" and "high in unsaturated fats". We can therefore conclude that feeding T. molitor with these agri-food by-products, especially from olive oil industry, enhanced the fatty acids profile of their fat fraction.</t>
  </si>
  <si>
    <t xml:space="preserve">This publication concerns insect-based protein (Tenebrio molitor larvae), which is explicitly listed as a topic that does not count as alternative proteins and should not contribute to an in-scope classification.</t>
  </si>
  <si>
    <t xml:space="preserve">pub.1185128981</t>
  </si>
  <si>
    <t xml:space="preserve">“Planting” meat substitutes in the meat shelf: An online and two supermarket field experiments to explore the effect of placing meat substitutes next to meat</t>
  </si>
  <si>
    <t xml:space="preserve">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</si>
  <si>
    <t xml:space="preserve">This study investigates consumer purchasing behaviour of plant-based meat substitutes through retail shelf placement experiments, directly relevant to the acceptance and market uptake of alternative proteins.</t>
  </si>
  <si>
    <t xml:space="preserve">pub.1186340458</t>
  </si>
  <si>
    <t xml:space="preserve">A general viscosity model for high moisture extrudates of pea protein isolates/gluten blend</t>
  </si>
  <si>
    <t xml:space="preserve">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</si>
  <si>
    <t xml:space="preserve">This study directly investigates the rheological properties of pea protein isolate/gluten blends during high moisture extrusion, a key processing method for plant-based meat analogues with fibrous structures.</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</si>
  <si>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</si>
  <si>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</si>
  <si>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</si>
  <si>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publication concerns the extraction and fractionation of maize germ protein for use as a functional food ingredient, with foam stability compared to whey protein, indicating an intended application as a plant-based protein alternative to animal-derived proteins.</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</si>
  <si>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</si>
  <si>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</si>
  <si>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</si>
  <si>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study surveys the Belgian market for meat analogues alongside conventional meat products, analysing carbohydrate composition and protein density in plant-based meat alternatives, which is directly relevant to alternative protein development and characterisation.</t>
  </si>
  <si>
    <t xml:space="preserve">pub.1195057190</t>
  </si>
  <si>
    <t xml:space="preserve">Nudging Healthier and More Sustainable Eating Habits in University Cafeterias: The FOOD-HACK Project</t>
  </si>
  <si>
    <t xml:space="preserve">Background/Objectives: The global syndemic of obesity, undernutrition, and climate change highlight the complex health and environmental challenges faced by young adults. These challenges may intensify during the transition to university. As a matter of fact, limited budgets, time constraints, and insufficient culinary skills often lead to unbalanced diets and increased risk of obesity. University cafeterias, serving large numbers of students, represent an ideal setting to promote healthier and more sustainable eating behaviors. The FOOD-HACK Project aimed to design and implement a cafeteria-based intervention using nudging strategies to promote healthier and more sustainable lunch choices among university students. Methods: This pilot study employed a pre-post design with two independent phases in the Polo Cravino cafeteria at the University of Pavia. Food consumption was assessed over 12 non-consecutive days across four weeks. During the intervention, three nudging strategies were implemented: (1) choice architecture, (2) salient labeling, highlighting healthy and sustainable options, and (3) educational prompts. Results: Across both phases, 2400 tray photographs were collected. Post-intervention, the proportion of trays aligned with the Harvard Healthy Eating Plate and EAT-Lancet Planetary Diet models increased, reflecting higher consumption of vegetables and fruit. Legume-based first courses increased; however, legumes did not substantially replace animal proteins as the main protein source, and meat remained predominant in second courses. Reductions in trays containing multiple carbohydrate sources were also observed. Conclusions: The nudging intervention improved overall meal quality, demonstrating that subtle environmental modifications can guide students toward healthier dietary choices, particularly by increasing fruit and vegetable intake. However, the persistent preference for animal proteins highlights the challenge of shifting protein consumption toward more sustainable sources. These findings suggest that nudging can be an effective tool to promote healthier and more balanced eating behaviors in university settings, though complementary strategies may be needed to foster substantial changes in protein choices.</t>
  </si>
  <si>
    <t xml:space="preserve">This study focuses on nudging interventions to promote healthier eating in university cafeterias and does not specifically research alternative protein products or ingredients, but rather general dietary behavior change where legumes and animal proteins are mentioned only incidentally as food categories.</t>
  </si>
  <si>
    <t xml:space="preserve">pub.1195227492</t>
  </si>
  <si>
    <t xml:space="preserve">Germination time shapes digestibility, functionality, and structure of lupin–corn extrudates</t>
  </si>
  <si>
    <t xml:space="preserve">This study evaluated the impact of germination (3, 5, and 7 days) of lupin (Lupinus angustifolius L.) flour on the nutritional quality and antidiabetic potential of corn starch-based extruded formulations. Germination enhanced protein content (15.23 % in 7-day germinated flour vs. 13.64 % in control) and maintained essential amino acid adequacy. Microscopy revealed structural changes related to improved digestibility and bioactivity. Germinated samples, particularly GLE5 and GLE7, promoted the release of peptides &lt;10 kDa and increased bioaccessibility of peptides &lt;0.2 kDa after simulated intestinal digestion. GLE5 exhibited the lowest starch hydrolysis (12.66) and glycaemic indices (46.66), classifying it as a medium-glycaemic food. Although α-amylase inhibition was comparable among samples (IC50: 26.54-29.96 mg/mL), DPP-IV inhibitory activity improved with germinated flour (IC50: 8.35-8.51 mg/mL). Seven digestion-resistant peptides showed high predicted DPP-IV inhibition. These findings support the use of germinated lupin flour in the formulation of functional extruded foods with enhanced nutritional and antidiabetic properties.</t>
  </si>
  <si>
    <t xml:space="preserve">While lupin is a high-protein crop used in alternative protein research, this study focuses on antidiabetic bioactive peptides and glycaemic index of extruded corn-starch snacks, which is a medical nutrition/nutraceutical application rather than substitution of animal-derived foods.</t>
  </si>
  <si>
    <t xml:space="preserve">pub.1185997380</t>
  </si>
  <si>
    <t xml:space="preserve">Does label information reflect product properties? A Swiss case study of plant-based milk alternatives</t>
  </si>
  <si>
    <t xml:space="preserve">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</si>
  <si>
    <t xml:space="preserve">This study directly investigates plant-based milk alternatives in the Swiss market, examining labelling, nutritional properties, and consumer guidance, which is clearly in scope as research on consumer acceptance and characterisation of plant-based alternative protein products.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</si>
  <si>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</si>
  <si>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</si>
  <si>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</si>
  <si>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directly covers cultivated seafood across technology, consumer acceptance, environmental impact, and legislation, which are all in-scope aspects of alternative protein research.</t>
  </si>
  <si>
    <t xml:space="preserve">pub.1190175304</t>
  </si>
  <si>
    <t xml:space="preserve">A Comprehensive Study on Osmotic Dehydration and Edible Coatings with Bioactive Compounds for Improving the Storage Stability of Fresh Berries</t>
  </si>
  <si>
    <t xml:space="preserve">Berries are highly perishable due to their high water content, making them prone to rapid deterioration and spoilage. This study investigates the effects of osmotic dehydration and edible coatings, with and without bioactive compounds, on various quality attributes of blueberries, raspberries, and strawberries during storage. The berries were pretreated using osmotic dehydration with apple juice, followed by the application of edible coatings from Chlorella vulgaris protein, with or without the addition of aqueous rosemary extract as a source of bioactive compounds. The results indicated that the combination of the two methods significantly reduced weight loss in all berry types, with the incorporation of bioactive compounds further enhancing moisture retention up to approximately 3% for blueberries and raspberries and 5% for strawberries. Total phenolic content and antioxidant activity exhibited significantly increased stability in coated samples, with bioactive coatings contributing to improved antioxidant properties. The HPLC analysis proved that the bioactive profile was preserved after the treatments. Microbial analysis demonstrated that edible coatings, particularly those enriched with bioactive compounds, effectively inhibited microbial growth (TC approximately 4.5 log(CFU/g) with limit = 5 log(CFU/g) and YM approximately 3.5 log(CFU/g) with limit 4 log(CFU/g)), thereby extending the shelf life of the berries. These findings suggest that the synergistic application of osmotic dehydration and edible coatings, especially those containing bioactive compounds, significantly enhances the quality, shelf life, and potential health benefits of fresh berries during storage.</t>
  </si>
  <si>
    <t xml:space="preserve">While Chlorella vulgaris protein is used as an edible coating ingredient, the research focus is on berry preservation and shelf-life extension rather than developing alternative protein products or substituting animal-derived foods, making this out of scope for alternative proteins.</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</si>
  <si>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</si>
  <si>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</si>
  <si>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</si>
  <si>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The report is primarily a general consumer food attitudes survey, but it explicitly includes consumer awareness data on lab-grown/cell-cultivated meat, making it marginally in scope for alternative proteins under consumer acceptance and cross-cutting research.</t>
  </si>
  <si>
    <t xml:space="preserve">Borderline label. I think either CC or CM is fine.</t>
  </si>
  <si>
    <t xml:space="preserve">pub.1190127308</t>
  </si>
  <si>
    <t xml:space="preserve">Digestion, Metabolism, and Health Effects of Plant Proteins and Their Food Formulations: A Systematic Scoping Review of Clinical Postprandial Studies and in vitro Methods</t>
  </si>
  <si>
    <t xml:space="preserve">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</si>
  <si>
    <t xml:space="preserve">This systematic review explicitly focuses on plant proteins as sustainable alternatives to animal proteins, covering their digestion, metabolism, bioavailability, and health effects, which directly advances understanding of plant-based alternative protein ingredients.</t>
  </si>
  <si>
    <t xml:space="preserve">pub.1195929610</t>
  </si>
  <si>
    <t xml:space="preserve">Animal‐Based Brands Taking the Plant‐Based Opportunity: A Tasting Experiment Exploring Consumer Acceptance of Plant‐Based Brand Extensions</t>
  </si>
  <si>
    <t xml:space="preserve">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</si>
  <si>
    <t xml:space="preserve">This study directly investigates consumer acceptance and willingness to buy plant-based milk alternatives, examining brand equity and taste perception, which falls squarely within alternative protein consumer acceptance research.</t>
  </si>
  <si>
    <t xml:space="preserve">pub.1185531721</t>
  </si>
  <si>
    <t xml:space="preserve">Influence of different processing techniques on microalgal protein extraction</t>
  </si>
  <si>
    <t xml:space="preserve">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</si>
  <si>
    <t xml:space="preserve">This study investigates protein extraction techniques from microalgae biomass (Chlorella vulgaris, Nannochloropsis oceanica, Tetraselmis chui) as food ingredients, which falls under fermentation/biomass fermentation category for alternative proteins.</t>
  </si>
  <si>
    <t xml:space="preserve">pub.1188885304</t>
  </si>
  <si>
    <t xml:space="preserve">Stronger together: harnessing natural algal communities as potential probiotics for inhibition of aquaculture pathogens</t>
  </si>
  <si>
    <t xml:space="preserve">Intensive fish rearing in aquaculture is challenged by infectious diseases, and although vaccines have been successfully developed for mature fish, alternative disease control measures are needed for fish larvae and juveniles. Probiotics offer a promising alternative to antibiotics, with the potential to reduce the risk of antibiotic resistance. Probiotics are typically isolated and used as pure cultures; however, in natural environments, it is the concerted effort of the complex microbiome that keeps pathogens at bay. Here, we developed an in vitro assay to evaluate the anti-pathogen efficacy of mixed algal microbiomes from the live feed microalgae Tetraselmis suecica and Isochrysis galbana. The inhibition of a green fluorescent protein (GFP)-tagged Vibrio anguillarum, a key fish pathogen, by microbial communities was measured and quantified as reduction in fluorescence. The Isochrysis galbana microbiome was more inhibitory to V. anguillarum than the Tetraselmis suecica microbiome. During co-culture with the pathogen, the bacterial density of the Isochrysis microbiomes increased, while the diversity was reduced as determined by metataxonomic analyses. Bacteria isolated from the fully inhibitory microbiomes were members of Alteromonadaceae, Halomonadaceae, Rhodobacteraceae, Vibrionaceae, Flavobacteriaceae, and Erythrobacteraceae. Although some strains individually inhibited the pathogen, these were not the key members of the microbiome, and enhanced inhibition was observed when Sulfitobacter pontiacus D3 and Vreelandella alkaliphila D2 were co-cultured, even though neither was inhibitory as monocultures. Thus, this study demonstrates that microbial communities derived from natural algal microbiomes can have anti-pathogen effects, and that bacterial co-cultures may offer synergistic advantages over monocultures as probiotics, highlighting their promise for aquaculture health strategies.IMPORTANCEAquaculture is the fastest-growing food protein-producing sector, and sustainable disease control measures are required. Probiotics have gained interest as a promising solution for combating fish pathogens, and using mixtures of microorganisms rather than pure cultures may represent a more stable pathogen control. We developed an assay using green fluorescent protein (GFP) tagging of a fish pathogen, enabling the quantitative assessment of the anti-pathogen effects of complex microbiomes. We show that the efficiency of pathogen suppression can be increased with co-cultures compared to monocultures, thus emphasizing the potential in using mixtures of bacteria as probiotics.</t>
  </si>
  <si>
    <t xml:space="preserve">This study concerns probiotics for aquaculture disease control in fish larvae and juveniles, which is an aquafeed/animal health application rather than an alternative protein for human food.</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</si>
  <si>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</si>
  <si>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</si>
  <si>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</si>
  <si>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This study explicitly investigates PEMF stimulation for bovine myoblast differentiation and maturation in the context of cultured meat production, directly advancing bioprocessing methods for cultivated meat.</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</si>
  <si>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</si>
  <si>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</si>
  <si>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</si>
  <si>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meat/precision fermentation) as a disruptive technology, analyzing stakeholder values around sustainability and naturalness in the context of alternative protein production.</t>
  </si>
  <si>
    <t xml:space="preserve">pub.1188369681</t>
  </si>
  <si>
    <t xml:space="preserve">Advances in protein extraction methods from faba bean: a comprehensive review</t>
  </si>
  <si>
    <t xml:space="preserve">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</si>
  <si>
    <t xml:space="preserve">This review directly concerns protein extraction methods from faba bean, a high-protein crop used as an alternative protein feedstock, with explicit focus on food industry applications and sustainable protein production.</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</si>
  <si>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</si>
  <si>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</si>
  <si>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</si>
  <si>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study uses filamentous fungus Aspergillus oryzae biomass (mycoprotein) as a protein source for food product development, which falls under biomass fermentation, and the research advances the development and characterisation of this alternative protein product.</t>
  </si>
  <si>
    <t xml:space="preserve">pub.1190861681</t>
  </si>
  <si>
    <t xml:space="preserve">Protective Effect of Tomato By-Product in Refined Sunflower Oil with Different Lipid Profiles</t>
  </si>
  <si>
    <t xml:space="preserve">The recovery of carotenoids, particularly lycopene, from industrial tomato by-products is contingent upon the composition of the raw material, the harvesting season, and the specifics of the extraction process. Industrial tomato by-product from three harvest seasons (S1, S2, and S3) was revalorized and used as a lycopene natural source. Pressurization-assisted extraction of lycopene was carried out using two types of refined sunflower oil (high oleic, HO, and low oleic, LO). The carotenoid and tocopherol content, as well as the fatty acid profile, were analyzed in the resulting HO and LO oil samples, and thermooxidation stability was evaluated. Lycopene recovery was found to be higher in the LO oil than in the HO oil using the by-product from the S3 harvest. Conversely, the tocopherol content declined in both oil types following the incorporation of the S3 by-products. The addition of by-products did not affect the thermooxidation stability of the HO oil. Conversely, the thermooxidation stability of the LO oil increased by about 3.2 ± 0.6 h, irrespective of the season. The findings of this study demonstrate that the addition of tomato by-product, regardless of its lycopene content, provides a protective effect against the thermooxidation of conventional sunflower oil.</t>
  </si>
  <si>
    <t xml:space="preserve">This study concerns lycopene extraction from tomato by-products and its antioxidant effect on sunflower oil stability, with no connection to alternative protein development or animal product substitution.</t>
  </si>
  <si>
    <t xml:space="preserve">pub.1194507959</t>
  </si>
  <si>
    <t xml:space="preserve">Sports nutrition decoded: mechanistic perspectives on dietary components and athletic performance</t>
  </si>
  <si>
    <t xml:space="preserve">Abstract Sportsman nutrition is the scientific field which deals with the indispensable component which help in maintaining the active lifestyle and reduce the numerous numbers of life-threatening diseases. The sufficient intake of meal which provide the recommended nutritional component such as protein, vitamin, fat, carbohydrate, which directly enhance the athletic performance during training and competition. Sportsman nutrition and sustainability help to create the healthier planet for the present and future generation through targeting the diet which show the low environment impact and enhance the food and national security. In this review, we focused on the different nutritional components such as macronutrients and micronutrients and their specific mechanism which directly magnify the health and performance of athletes. Also, the misconceptions regarding the nutritional recommendations and their impact on human body were discussed. The present review will be beneficial for the personnel in the field of sportsman nutrition, dietitian, food engineering, and related domains.</t>
  </si>
  <si>
    <t xml:space="preserve">This review covers general sports nutrition and dietary components for athletic performance without naming or studying any specific alternative protein products or ingredients intended to substitute animal-derived foods.</t>
  </si>
  <si>
    <t xml:space="preserve">pub.1190503848</t>
  </si>
  <si>
    <t xml:space="preserve">Co‐Cultivation With New Glucose‐Sparing Chlorella Algae Boosts Tissue Culture Efficiency by Reducing Cell Waste</t>
  </si>
  <si>
    <t xml:space="preserve">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</si>
  <si>
    <t xml:space="preserve">The paper explicitly identifies cultivated meat as one of the intended applications of the Chlorella co-cultivation system developed to improve mammalian cell culture efficiency, oxygenation, and cost reduction.</t>
  </si>
  <si>
    <t xml:space="preserve">pub.1187316803</t>
  </si>
  <si>
    <t xml:space="preserve">Polyphenols as enhancers of emulsifying and antioxidant properties of egg and yeast protein emulsions: Understanding the molecular interactions behind their technological and functional potential</t>
  </si>
  <si>
    <t xml:space="preserve">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</si>
  <si>
    <t xml:space="preserve">The study investigates yeast protein extracts (enolase from yeast) as alternative protein sources and their functional properties for food applications, which falls under biomass fermentation/single-cell protein research.</t>
  </si>
  <si>
    <t xml:space="preserve">pub.1191555186</t>
  </si>
  <si>
    <t xml:space="preserve">Comparative life cycle assessment of industrial and artisanal spirulina production systems</t>
  </si>
  <si>
    <t xml:space="preserve">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</si>
  <si>
    <t xml:space="preserve">This study conducts a life cycle assessment of spirulina (a microalgae/cyanobacterium) production systems as a protein-rich alternative to animal proteins, which falls under fermentation/biomass fermentation category for alternative proteins.</t>
  </si>
  <si>
    <t xml:space="preserve">pub.1187813025</t>
  </si>
  <si>
    <t xml:space="preserve">A unique spontaneously immortalised cell line from pig with enhanced adipogenic capacity</t>
  </si>
  <si>
    <t xml:space="preserve">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</si>
  <si>
    <t xml:space="preserve">This publication directly concerns the development of a porcine cell line with enhanced adipogenic capacity for cultivated meat production, a core cultivated meat research topic.</t>
  </si>
  <si>
    <t xml:space="preserve">pub.1184072190</t>
  </si>
  <si>
    <t xml:space="preserve">Design and assessment of protein-fortified recipes for community-dwelling older adults to prevent the onset of undernutrition</t>
  </si>
  <si>
    <t xml:space="preserve">INTRODUCTION: Public health guidelines recommend food fortification (adding ingredients of nutritional importance into commonly consumed foods) to help older adults achieve sufficient protein intake. Despite the nutritional benefits of food fortification, there is a significant gap between nutritional research and sensory acceptance, which can limit older adults' compliance to fortified foods. The present study aimed at developing and testing the feasibility and liking of using "Do it yourself" protein-fortified recipes that could be easily prepared at home in France, Norway and the UK.
MATERIALS AND METHODS: A market review was conducted to identify available high-protein ingredients (n = 140). After screening for sensory, nutritional, food technology, and regulatory characteristics, two high-protein ingredients were selected: milk protein powder (isolate) and organic soya mince (extruded). In parallel, common food matrices that could serve as relevant candidates for fortification were identified through 4-day food diaries collected with 65 respondents in France, Norway, and the UK. Eight dishes were selected for recipe fortification and paired with high-protein ingredients (+ 6 to 11 g of protein per portion, mean = 8.1, SD = 2.3). Then, these fortified recipes were assessed for ease-of-use and acceptability in a home-use trial with healthy older adults in the three countries (&gt; 70 years; n = 158). Participants made the recipes themselves at home using their own cooking equipment.
RESULTS: Feedback from participants indicated that they found the recipes easy to follow and to prepare themselves. The fortified recipes were liked (mean liking from 5.3 to 5.9 on a 7-point scale) and perceived as being easy to chew, moisten (humidify in mouth) and swallow. More than 50% of the participants were willing to make the recipes again in the future and liked the fortified version equally or more to their usual recipes.
DISCUSSION: Making the recipes by themselves at home removed participants' barriers to using high-protein ingredients. Furthermore, participants modified dishes to their liking by adjusting seasoning and texture to their preference underling the flexibility of the fortification strategy.</t>
  </si>
  <si>
    <t xml:space="preserve">While soya mince is mentioned as one of two protein ingredients tested, the study is primarily a nutritional/public health intervention focused on protein fortification for older adults using conventional ingredients (milk protein isolate and soy), not advancing alternative protein development or substitution of animal products.</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</si>
  <si>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</si>
  <si>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</si>
  <si>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</si>
  <si>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focuses on an optical sensor system for monitoring fat and protein content in conventional milk products, with no connection to alternative protein development or substitution of animal-derived foods.</t>
  </si>
  <si>
    <t xml:space="preserve">pub.1183973926</t>
  </si>
  <si>
    <t xml:space="preserve">The heterogeneity of consumer preference for blockchain-based food traceability: The role of governmental trust and information-seeking behaviour</t>
  </si>
  <si>
    <t xml:space="preserve">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</si>
  <si>
    <t xml:space="preserve">This study focuses on consumer preferences for blockchain-based food traceability using Greek feta cheese as a case study, with no connection to alternative proteins or their development, production, or acceptance.</t>
  </si>
  <si>
    <t xml:space="preserve">pub.1182440563</t>
  </si>
  <si>
    <t xml:space="preserve">Localized enzymolysis and dual-frequency ultrasound modification of underutilized fava bean protein: Techno-functional, structural, in vitro digestibility, molecular docking, and interrelationship characteristics</t>
  </si>
  <si>
    <t xml:space="preserve">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</si>
  <si>
    <t xml:space="preserve">This study investigates the modification of fava bean protein (a high-protein crop used as an alternative protein feedstock) through enzymatic hydrolysis and ultrasound treatment to improve its techno-functional properties for food industry applications, clearly falling within plant-based alternative protein research.</t>
  </si>
  <si>
    <t xml:space="preserve">pub.1188720931</t>
  </si>
  <si>
    <t xml:space="preserve">Generation of bovine iPSCs from fetal fibroblasts for in vitro myogenesis and cultured meat</t>
  </si>
  <si>
    <t xml:space="preserve">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</si>
  <si>
    <t xml:space="preserve">This study directly concerns the generation of bovine iPSCs and their myogenic differentiation for cultivated meat production, which is core cultivated meat research.</t>
  </si>
  <si>
    <t xml:space="preserve">pub.1189767817</t>
  </si>
  <si>
    <t xml:space="preserve">Transforming Phaeodactylum tricornutum by-product biomass: from industrial residue to high-value protein extracts</t>
  </si>
  <si>
    <t xml:space="preserve">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</si>
  <si>
    <t xml:space="preserve">This publication concerns protein extraction from Phaeodactylum tricornutum microalgae biomass for food applications, which falls under fermentation/biomass fermentation as microalgae are classified as single-cell protein sources, and the functional properties assessed are relevant to alternative protein ingredient development.</t>
  </si>
  <si>
    <t xml:space="preserve">pub.1188501579</t>
  </si>
  <si>
    <t xml:space="preserve">Intention to adopt meat alternatives: Why gender-trait self-concept matters</t>
  </si>
  <si>
    <t xml:space="preserve">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</si>
  <si>
    <t xml:space="preserve">This study examines consumer intention to adopt plant-based meat alternatives through the lens of gender-trait self-concept, which is directly relevant to consumer acceptance and behavior research within the alternative proteins domain.</t>
  </si>
  <si>
    <t xml:space="preserve">Should be PB. Almost opposite of issue above. In this case, PB is clearly mentioned, but it chose CC, maybe because it is a consumer acceptance study?</t>
  </si>
  <si>
    <t xml:space="preserve">pub.1190615542</t>
  </si>
  <si>
    <t xml:space="preserve">Towards a cultivated ribeye</t>
  </si>
  <si>
    <t xml:space="preserve">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</si>
  <si>
    <t xml:space="preserve">The publication directly concerns cultivated meat engineering, specifically scaffolding and perfusion systems for producing full-thickness cultivated ribeye, which is clearly within the cultivated meat pillar of alternative proteins.</t>
  </si>
  <si>
    <t xml:space="preserve">pub.1194276634</t>
  </si>
  <si>
    <t xml:space="preserve">Valorization of whole herring (Clupea harengus) through trimming, mincing and antioxidant washing: Enhancing stability and color for food use</t>
  </si>
  <si>
    <t xml:space="preserve">Turning the valorizing of small herring (Clupea harengus) from primarily being a feed resource into being a valuable food ingredient requires strategies to overcome rapid lipid oxidation, dark color and processing losses. This study investigated trimming (deheading plus partial gutting or, deheading plus full gutting) and washing of mechanically separated meat (MSM) to improve oxidative stability and appearance of whole herring while maintaining maximum processing yields. Trimming reduced hemoglobin content and lipoxygenase activity gradually by up to 73% and 75% (dw), respectively, yet lipid oxidation was initiated within 1 day on ice for all samples. Washing MSM once or twice (1:3 ratio) further decreased these pro-oxidative factors but had limited effect on oxidation onset. Incorporating a rosemary-based antioxidant blend (0.5%) into the wash water delayed the start of oxidation to more than 11 days. Sufficient oxidative stability was achieved with a single antioxidant-assisted wash, which also minimized water use and processing losses of proteins and lipids. In terms of color, trimming and consecutive washes progressively increased lightness, while antioxidant-assisted washes also helped maintaining redness during storage. Correlation analysis revealed that lipid oxidation was more strongly associated with hemoglobin, lipoxygenase, and pre-formed hydroperoxides than total lipid content, highlighting these factors as important mitigation targets for the food industry. By combining targeted trimming with antioxidant-assisted washing, the oxidative stability, color, and processing efficiency of herring MSM can be improved, supporting a sustainable upcycling of small pelagic fish into nutritious food and thereby steering away from their current main use in feed production.</t>
  </si>
  <si>
    <t xml:space="preserve">This study concerns processing of herring (a conventional animal-derived seafood) to improve its quality as a food ingredient, not an alternative protein substituting animal products; while it mentions steering away from feed use, the product itself is conventional fish meat, not a cultivated, plant-based, or fermentation-derived alternative protein.</t>
  </si>
  <si>
    <t xml:space="preserve">pub.1184191011</t>
  </si>
  <si>
    <t xml:space="preserve">Preliminary Data of the Nutritive, Antioxidative, and Functional Properties of Watermelon (Citrullus lanatus L.) Flour and Seed Protein Concentrate</t>
  </si>
  <si>
    <t xml:space="preserve">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</si>
  <si>
    <t xml:space="preserve">This study characterises the nutritive and functional properties of watermelon seed protein concentrate as a plant-based protein source intended as an alternative to animal proteins in human food products.</t>
  </si>
  <si>
    <t xml:space="preserve">pub.1187845839</t>
  </si>
  <si>
    <t xml:space="preserve">Metabolomic profiling of a cholesterol lowering plant-based diet from two randomized controlled feeding trials</t>
  </si>
  <si>
    <t xml:space="preserve">BackgroundObjective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phytosterols.ObjectiveWe examined metabolomic profiles in response to the portfolio diet in two randomized controlled trials (RCTs), where all foods were provided to the participants, compared to a control vegetarian diet and the same control diet with a statin.MethodsThe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correction.ResultsOf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correction.ConclusionsMany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these metabolites as biomarkers of a plant-based dietary pattern.</t>
  </si>
  <si>
    <t xml:space="preserve">This study examines metabolomic responses to a cholesterol-lowering plant-based diet as a health intervention, but does not focus on alternative protein development, characterisation, or substitution of animal products — it is a dietary/health study where no specific alternative protein products or ingredients are named or studied as alternatives to animal-derived foods.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</si>
  <si>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</si>
  <si>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</si>
  <si>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</si>
  <si>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insects (out of scope) and feed applications are also mentioned.</t>
  </si>
  <si>
    <t xml:space="preserve">pub.1185995938</t>
  </si>
  <si>
    <t xml:space="preserve">Power-to-Protein: Electro-cultivation of microbial proteins from recycled nitrogen and carbon dioxide</t>
  </si>
  <si>
    <t xml:space="preserve">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</si>
  <si>
    <t xml:space="preserve">The review focuses on microbial protein production via electro-cultivation using hydrogen-oxidizing bacteria and electrochemical systems, which is biomass fermentation as an alternative protein source for human food, including regulatory, economic, and environmental aspects.</t>
  </si>
  <si>
    <t xml:space="preserve">pub.1185663045</t>
  </si>
  <si>
    <t xml:space="preserve">Development of a biomarker panel for cell characterization intended for cultivated meat</t>
  </si>
  <si>
    <t xml:space="preserve">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</si>
  <si>
    <t xml:space="preserve">This study develops biomarker panels for characterizing skeletal muscle cell populations specifically intended for cultivated meat production, directly advancing cell line development and characterization for cultivated meat.</t>
  </si>
  <si>
    <t xml:space="preserve">pub.1184663118</t>
  </si>
  <si>
    <t xml:space="preserve">Development of Lentil Flour-Enriched Chocolate Matrices for 3D Printing: Impact on Bioactivity, Rheology, and Texture</t>
  </si>
  <si>
    <t xml:space="preserve">The aim of the research was to evaluate the effects of incorporating lentil flour (0.5, 1.0, 2.0, and 3.0%) into a chocolate matrix for 3D printing, focusing on its antioxidant, rheological, and textural properties. Lentil flour, a rich source of polyphenols, vitamins, and flavonoids, was integrated to enhance the nutritional profile of the chocolate. Although the addition of lentil flour did not significantly (p &lt; 0.05) increase total polyphenol (TPC) or flavonoid content (TFC), some samples showed improvements in antioxidant capacity (DPPH, ABTS, FRAP, CUPRAC). After in vitro digestion, most samples exhibited higher TPC values and antioxidant capacities, though TFC levels decreased. Printed objects with lentil flour displayed greater height and area, with all matrices showing viscous and pseudoplastic behavior. The 2% lentil flour sample exhibited the highest shear viscosity, Tanδ values, and hardness, indicating optimal structural and textural qualities for 3D printing.</t>
  </si>
  <si>
    <t xml:space="preserve">This study incorporates lentil flour, a high-protein legume used as an alternative protein feedstock, into a food matrix, and evaluates its nutritional and functional properties, making it relevant to plant-based alternative protein research.</t>
  </si>
  <si>
    <t xml:space="preserve">Borderline – I tend to agree it is in scope. I am assuming chocolate counts as dairy and not a snack. If it should be excluded, I can just add chocolate as out of scope.</t>
  </si>
  <si>
    <t xml:space="preserve">pub.1176261063</t>
  </si>
  <si>
    <t xml:space="preserve">Protein extraction from the industrial solid residue of brown seaweed after alginate extraction</t>
  </si>
  <si>
    <t xml:space="preserve">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</si>
  <si>
    <t xml:space="preserve">This study investigates protein extraction from brown seaweed (macroalgae) residues for food industry applications, including functional properties relevant to alternative protein ingredient development, which falls within the plant-based alternative protein category.</t>
  </si>
  <si>
    <t xml:space="preserve">pub.1188351931</t>
  </si>
  <si>
    <t xml:space="preserve">Legume Proteins in Food Products: Extraction Techniques, Functional Properties, and Current Challenges</t>
  </si>
  <si>
    <t xml:space="preserve">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</si>
  <si>
    <t xml:space="preserve">This review directly concerns protein extraction from legumes as alternatives to animal-based proteins for food applications, covering extraction techniques and functional properties relevant to plant-based food development.</t>
  </si>
  <si>
    <t xml:space="preserve">pub.1184119508</t>
  </si>
  <si>
    <t xml:space="preserve">Comprehensive quantitative profiling of vegetable oil oxidation products by NMR-based oxylipidomics</t>
  </si>
  <si>
    <t xml:space="preserve">Lipid oxidation is one the major causes of food deterioration. Current advancement in mechanistic understanding is limited by the lack of high-throughput methods that can simultaneously quantify a wide range of oxidation product classes, such as lipid hydroperoxides, epoxides, ketones, hydroxides, and aldehydes. Here, we introduce an NMR-based 'oxylipidomics' platform by providing the annotation of 42 substructures formed during lipid oxidation in vegetable oils. The annotated substructures accounted for respectively 93, 90 and 70% of the oxidation products of triolein, trilinolein, and trilinolenin. The spectral assignments allowed for quantification of lipid oxidation products in vegetable oil at class (e.g., epoxides) and substructure level (e.g., trans-epoxides) at the commonly available field strength of 14.1 T (600 MHz). We anticipate that our workflow will enable rapid assessment of health risks, unravelling of precursor-sensory relationships, rational design of antioxidant strategies, and in-depth mechanistic studies into food lipid oxidation.</t>
  </si>
  <si>
    <t xml:space="preserve">This study concerns NMR-based profiling of lipid oxidation products in vegetable oils, which is a general food chemistry/quality method not specifically aimed at alternative protein development or animal product substitution.</t>
  </si>
  <si>
    <t xml:space="preserve">pub.1184520909</t>
  </si>
  <si>
    <t xml:space="preserve">Data recording and use of data tools for pig health management: perspectives of stakeholders in pig farming</t>
  </si>
  <si>
    <t xml:space="preserve">Introduction: Data-driven strategies might combat the spreading of infectious pig disease and improve the early detection of potential pig health problems. The current study aimed to explore individual views on data recording and use of data tools for pig health management by recruiting stakeholders (N = 202) in Spain, Ireland, and the Netherlands.
Methods: Questionnaire focused on current on-farm challenges, current status of data recording on farms, and evaluation of the two mock data tools. Particularly, "benchmarking tool" was designed to visualize individual farm's pig mortality, targeting the management of infectious respiratory and gastrointestinal diseases; and "early-warning tool" was designed to generate an alarm through monitoring coughs in pigs, targeting the management of infectious respiratory diseases.
Results: Results showed that respiratory and gastrointestinal diseases and aggressive behaviors were the most frequently mentioned health challenge and welfare challenge, respectively. Most of the data was more frequently recorded electronically than on paper. In general, the "benchmarking tool" was perceived as useful for the management of infectious respiratory and gastrointestinal diseases, and the "early-warning tool" was evaluated as useful for the management of infectious respiratory diseases. Several barriers to the perceived usefulness of these two tools were identified, such as the lack of contextual information, inconvenience of data input, limited internet access, reliance on one's own experience and observation, technical hurdles, and mistrust of information output. The perceived usefulness of both tools was higher among highly educated participants, and those who reported being integrators and positive toward technology for disease control. Female participants and those who came from integrated farms evaluated the "early-warning tool" as more useful compared to their counterparts. The perceived usefulness of the "early-warning tool" was negatively affected by age and work experience, but positively affected by extensiveness of data recording, positive attitude toward technology, and the current use of technology.
Discussion: In summary, participants showed optimistic views on the use of data tools to support their decision-making and management of infectious pig respiratory and gastrointestinal diseases. It is noteworthy that data tools should not only convey the value of data for informed decision-making but also consider stakeholders' preconditions and needs for data tools.</t>
  </si>
  <si>
    <t xml:space="preserve">This publication concerns pig health management and data tools for disease monitoring in pig farming, with no relevance to alternative proteins or plant-based, fermentation-derived, or cultivated food products.</t>
  </si>
  <si>
    <t xml:space="preserve">metric</t>
  </si>
  <si>
    <t xml:space="preserve">value</t>
  </si>
  <si>
    <t xml:space="preserve">n</t>
  </si>
  <si>
    <t xml:space="preserve">scope_accuracy</t>
  </si>
  <si>
    <t xml:space="preserve">96%</t>
  </si>
  <si>
    <t xml:space="preserve">pillar_accuracy</t>
  </si>
  <si>
    <t xml:space="preserve">93%</t>
  </si>
  <si>
    <t xml:space="preserve">pillar_accuracy_both_in_scope</t>
  </si>
  <si>
    <t xml:space="preserve">94%</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</si>
</sst>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5">
    <fill>
      <patternFill patternType="none"/>
    </fill>
    <fill>
      <patternFill patternType="gray125"/>
    </fill>
    <fill>
      <patternFill patternType="solid">
        <fgColor rgb="FF81D41A"/>
        <bgColor rgb="FF969696"/>
      </patternFill>
    </fill>
    <fill>
      <patternFill patternType="solid">
        <fgColor rgb="FFFFFF00"/>
        <bgColor rgb="FFFFFF00"/>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1"/>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T7" activeCellId="0" sqref="T7"/>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23.45"/>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15" hidden="false" customHeight="false" outlineLevel="0" collapsed="false">
      <c r="A2" s="3" t="s">
        <v>17</v>
      </c>
      <c r="B2" s="3" t="s">
        <v>18</v>
      </c>
      <c r="C2" s="3" t="s">
        <v>19</v>
      </c>
      <c r="D2" s="3" t="s">
        <v>20</v>
      </c>
      <c r="E2" s="3" t="s">
        <v>20</v>
      </c>
      <c r="F2" s="3" t="n">
        <v>1</v>
      </c>
      <c r="G2" s="3" t="s">
        <v>21</v>
      </c>
      <c r="H2" s="4" t="b">
        <f aca="false">TRUE()</f>
        <v>1</v>
      </c>
      <c r="I2" s="3" t="s">
        <v>22</v>
      </c>
      <c r="J2" s="3" t="s">
        <v>22</v>
      </c>
      <c r="K2" s="4" t="b">
        <f aca="false">TRUE()</f>
        <v>1</v>
      </c>
      <c r="L2" s="4" t="b">
        <f aca="false">FALSE()</f>
        <v>0</v>
      </c>
      <c r="M2" s="4" t="b">
        <f aca="false">FALSE()</f>
        <v>0</v>
      </c>
      <c r="N2" s="4" t="b">
        <f aca="false">FALSE()</f>
        <v>0</v>
      </c>
      <c r="O2" s="4" t="b">
        <f aca="false">FALSE()</f>
        <v>0</v>
      </c>
      <c r="S2" s="5" t="s">
        <v>23</v>
      </c>
    </row>
    <row r="3" customFormat="false" ht="34.2" hidden="false" customHeight="false" outlineLevel="0" collapsed="false">
      <c r="A3" s="3" t="s">
        <v>24</v>
      </c>
      <c r="B3" s="3" t="s">
        <v>25</v>
      </c>
      <c r="C3" s="6" t="s">
        <v>26</v>
      </c>
      <c r="D3" s="3" t="s">
        <v>20</v>
      </c>
      <c r="E3" s="3" t="s">
        <v>20</v>
      </c>
      <c r="F3" s="3" t="n">
        <v>2</v>
      </c>
      <c r="G3" s="3" t="s">
        <v>27</v>
      </c>
      <c r="H3" s="4" t="b">
        <f aca="false">TRUE()</f>
        <v>1</v>
      </c>
      <c r="I3" s="3" t="s">
        <v>22</v>
      </c>
      <c r="J3" s="3" t="s">
        <v>22</v>
      </c>
      <c r="K3" s="4" t="b">
        <f aca="false">TRUE()</f>
        <v>1</v>
      </c>
      <c r="L3" s="4" t="b">
        <f aca="false">FALSE()</f>
        <v>0</v>
      </c>
      <c r="M3" s="4" t="b">
        <f aca="false">FALSE()</f>
        <v>0</v>
      </c>
      <c r="N3" s="4" t="b">
        <f aca="false">FALSE()</f>
        <v>0</v>
      </c>
      <c r="O3" s="4" t="b">
        <f aca="false">FALSE()</f>
        <v>0</v>
      </c>
      <c r="S3" s="7"/>
      <c r="T3" s="3" t="s">
        <v>28</v>
      </c>
    </row>
    <row r="4" customFormat="false" ht="15" hidden="false" customHeight="false" outlineLevel="0" collapsed="false">
      <c r="A4" s="3" t="s">
        <v>29</v>
      </c>
      <c r="B4" s="3" t="s">
        <v>30</v>
      </c>
      <c r="C4" s="3" t="s">
        <v>31</v>
      </c>
      <c r="D4" s="3" t="s">
        <v>20</v>
      </c>
      <c r="E4" s="3" t="s">
        <v>20</v>
      </c>
      <c r="F4" s="3" t="n">
        <v>1</v>
      </c>
      <c r="G4" s="3" t="s">
        <v>32</v>
      </c>
      <c r="H4" s="4" t="b">
        <f aca="false">TRUE()</f>
        <v>1</v>
      </c>
      <c r="I4" s="3" t="s">
        <v>22</v>
      </c>
      <c r="J4" s="3" t="s">
        <v>22</v>
      </c>
      <c r="K4" s="4" t="b">
        <f aca="false">TRUE()</f>
        <v>1</v>
      </c>
      <c r="L4" s="4" t="b">
        <f aca="false">FALSE()</f>
        <v>0</v>
      </c>
      <c r="M4" s="4" t="b">
        <f aca="false">FALSE()</f>
        <v>0</v>
      </c>
      <c r="N4" s="4" t="b">
        <f aca="false">FALSE()</f>
        <v>0</v>
      </c>
      <c r="O4" s="4" t="b">
        <f aca="false">FALSE()</f>
        <v>0</v>
      </c>
      <c r="S4" s="8"/>
      <c r="T4" s="3" t="s">
        <v>33</v>
      </c>
    </row>
    <row r="5" customFormat="false" ht="15" hidden="false" customHeight="false" outlineLevel="0" collapsed="false">
      <c r="A5" s="3" t="s">
        <v>34</v>
      </c>
      <c r="B5" s="3" t="s">
        <v>35</v>
      </c>
      <c r="C5" s="3" t="s">
        <v>36</v>
      </c>
      <c r="D5" s="3" t="s">
        <v>37</v>
      </c>
      <c r="E5" s="3" t="s">
        <v>37</v>
      </c>
      <c r="F5" s="3" t="n">
        <v>4</v>
      </c>
      <c r="G5" s="3" t="s">
        <v>38</v>
      </c>
      <c r="H5" s="4" t="b">
        <f aca="false">TRUE()</f>
        <v>1</v>
      </c>
      <c r="I5" s="3" t="s">
        <v>39</v>
      </c>
      <c r="J5" s="3" t="s">
        <v>39</v>
      </c>
      <c r="K5" s="4" t="b">
        <f aca="false">TRUE()</f>
        <v>1</v>
      </c>
      <c r="L5" s="4" t="b">
        <f aca="false">TRUE()</f>
        <v>1</v>
      </c>
      <c r="M5" s="4" t="b">
        <f aca="false">FALSE()</f>
        <v>0</v>
      </c>
      <c r="N5" s="4" t="b">
        <f aca="false">FALSE()</f>
        <v>0</v>
      </c>
      <c r="O5" s="4" t="b">
        <f aca="false">FALSE()</f>
        <v>0</v>
      </c>
      <c r="S5" s="9"/>
      <c r="T5" s="0" t="s">
        <v>40</v>
      </c>
    </row>
    <row r="6" customFormat="false" ht="15" hidden="false" customHeight="false" outlineLevel="0" collapsed="false">
      <c r="A6" s="3" t="s">
        <v>41</v>
      </c>
      <c r="B6" s="3" t="s">
        <v>42</v>
      </c>
      <c r="C6" s="3" t="s">
        <v>43</v>
      </c>
      <c r="D6" s="3" t="s">
        <v>37</v>
      </c>
      <c r="E6" s="3" t="s">
        <v>37</v>
      </c>
      <c r="F6" s="3" t="n">
        <v>5</v>
      </c>
      <c r="G6" s="3" t="s">
        <v>44</v>
      </c>
      <c r="H6" s="4" t="b">
        <f aca="false">TRUE()</f>
        <v>1</v>
      </c>
      <c r="I6" s="3" t="s">
        <v>39</v>
      </c>
      <c r="J6" s="3" t="s">
        <v>39</v>
      </c>
      <c r="K6" s="4" t="b">
        <f aca="false">TRUE()</f>
        <v>1</v>
      </c>
      <c r="L6" s="4" t="b">
        <f aca="false">TRUE()</f>
        <v>1</v>
      </c>
      <c r="M6" s="4" t="b">
        <f aca="false">FALSE()</f>
        <v>0</v>
      </c>
      <c r="N6" s="4" t="b">
        <f aca="false">FALSE()</f>
        <v>0</v>
      </c>
      <c r="O6" s="4" t="b">
        <f aca="false">FALSE()</f>
        <v>0</v>
      </c>
    </row>
    <row r="7" customFormat="false" ht="15" hidden="false" customHeight="false" outlineLevel="0" collapsed="false">
      <c r="A7" s="3" t="s">
        <v>45</v>
      </c>
      <c r="B7" s="3" t="s">
        <v>46</v>
      </c>
      <c r="C7" s="3" t="s">
        <v>47</v>
      </c>
      <c r="D7" s="3" t="s">
        <v>37</v>
      </c>
      <c r="E7" s="3" t="s">
        <v>37</v>
      </c>
      <c r="F7" s="3" t="n">
        <v>5</v>
      </c>
      <c r="G7" s="3" t="s">
        <v>48</v>
      </c>
      <c r="H7" s="4" t="b">
        <f aca="false">TRUE()</f>
        <v>1</v>
      </c>
      <c r="I7" s="3" t="s">
        <v>39</v>
      </c>
      <c r="J7" s="3" t="s">
        <v>39</v>
      </c>
      <c r="K7" s="4" t="b">
        <f aca="false">TRUE()</f>
        <v>1</v>
      </c>
      <c r="L7" s="4" t="b">
        <f aca="false">TRUE()</f>
        <v>1</v>
      </c>
      <c r="M7" s="4" t="b">
        <f aca="false">FALSE()</f>
        <v>0</v>
      </c>
      <c r="N7" s="4" t="b">
        <f aca="false">FALSE()</f>
        <v>0</v>
      </c>
      <c r="O7" s="4" t="b">
        <f aca="false">FALSE()</f>
        <v>0</v>
      </c>
    </row>
    <row r="8" customFormat="false" ht="15" hidden="false" customHeight="false" outlineLevel="0" collapsed="false">
      <c r="A8" s="3" t="s">
        <v>49</v>
      </c>
      <c r="B8" s="3" t="s">
        <v>50</v>
      </c>
      <c r="C8" s="3" t="s">
        <v>51</v>
      </c>
      <c r="D8" s="3" t="s">
        <v>20</v>
      </c>
      <c r="E8" s="3" t="s">
        <v>20</v>
      </c>
      <c r="F8" s="3" t="n">
        <v>1</v>
      </c>
      <c r="G8" s="3" t="s">
        <v>52</v>
      </c>
      <c r="H8" s="4" t="b">
        <f aca="false">TRUE()</f>
        <v>1</v>
      </c>
      <c r="I8" s="3" t="s">
        <v>22</v>
      </c>
      <c r="J8" s="3" t="s">
        <v>22</v>
      </c>
      <c r="K8" s="4" t="b">
        <f aca="false">TRUE()</f>
        <v>1</v>
      </c>
      <c r="L8" s="4" t="b">
        <f aca="false">FALSE()</f>
        <v>0</v>
      </c>
      <c r="M8" s="4" t="b">
        <f aca="false">FALSE()</f>
        <v>0</v>
      </c>
      <c r="N8" s="4" t="b">
        <f aca="false">FALSE()</f>
        <v>0</v>
      </c>
      <c r="O8" s="4" t="b">
        <f aca="false">FALSE()</f>
        <v>0</v>
      </c>
    </row>
    <row r="9" customFormat="false" ht="15" hidden="false" customHeight="false" outlineLevel="0" collapsed="false">
      <c r="A9" s="3" t="s">
        <v>53</v>
      </c>
      <c r="B9" s="3" t="s">
        <v>54</v>
      </c>
      <c r="C9" s="3" t="s">
        <v>55</v>
      </c>
      <c r="D9" s="3" t="s">
        <v>37</v>
      </c>
      <c r="E9" s="3" t="s">
        <v>37</v>
      </c>
      <c r="F9" s="3" t="n">
        <v>5</v>
      </c>
      <c r="G9" s="3" t="s">
        <v>56</v>
      </c>
      <c r="H9" s="4" t="b">
        <f aca="false">TRUE()</f>
        <v>1</v>
      </c>
      <c r="I9" s="3" t="s">
        <v>39</v>
      </c>
      <c r="J9" s="3" t="s">
        <v>39</v>
      </c>
      <c r="K9" s="4" t="b">
        <f aca="false">TRUE()</f>
        <v>1</v>
      </c>
      <c r="L9" s="4" t="b">
        <f aca="false">TRUE()</f>
        <v>1</v>
      </c>
      <c r="M9" s="4" t="b">
        <f aca="false">FALSE()</f>
        <v>0</v>
      </c>
      <c r="N9" s="4" t="b">
        <f aca="false">FALSE()</f>
        <v>0</v>
      </c>
      <c r="O9" s="4" t="b">
        <f aca="false">FALSE()</f>
        <v>0</v>
      </c>
    </row>
    <row r="10" customFormat="false" ht="15" hidden="false" customHeight="false" outlineLevel="0" collapsed="false">
      <c r="A10" s="3" t="s">
        <v>57</v>
      </c>
      <c r="B10" s="3" t="s">
        <v>58</v>
      </c>
      <c r="C10" s="3" t="s">
        <v>59</v>
      </c>
      <c r="D10" s="3" t="s">
        <v>37</v>
      </c>
      <c r="E10" s="3" t="s">
        <v>37</v>
      </c>
      <c r="F10" s="3" t="n">
        <v>5</v>
      </c>
      <c r="G10" s="3" t="s">
        <v>60</v>
      </c>
      <c r="H10" s="4" t="b">
        <f aca="false">TRUE()</f>
        <v>1</v>
      </c>
      <c r="I10" s="3" t="s">
        <v>61</v>
      </c>
      <c r="J10" s="3" t="s">
        <v>61</v>
      </c>
      <c r="K10" s="4" t="b">
        <f aca="false">TRUE()</f>
        <v>1</v>
      </c>
      <c r="L10" s="4" t="b">
        <f aca="false">TRUE()</f>
        <v>1</v>
      </c>
      <c r="M10" s="4" t="b">
        <f aca="false">TRUE()</f>
        <v>1</v>
      </c>
      <c r="N10" s="4" t="b">
        <f aca="false">FALSE()</f>
        <v>0</v>
      </c>
      <c r="O10" s="4" t="b">
        <f aca="false">FALSE()</f>
        <v>0</v>
      </c>
    </row>
    <row r="11" customFormat="false" ht="15" hidden="false" customHeight="false" outlineLevel="0" collapsed="false">
      <c r="A11" s="3" t="s">
        <v>62</v>
      </c>
      <c r="B11" s="3" t="s">
        <v>63</v>
      </c>
      <c r="C11" s="3" t="s">
        <v>64</v>
      </c>
      <c r="D11" s="3" t="s">
        <v>37</v>
      </c>
      <c r="E11" s="3" t="s">
        <v>37</v>
      </c>
      <c r="F11" s="3" t="n">
        <v>5</v>
      </c>
      <c r="G11" s="3" t="s">
        <v>65</v>
      </c>
      <c r="H11" s="4" t="b">
        <f aca="false">TRUE()</f>
        <v>1</v>
      </c>
      <c r="I11" s="3" t="s">
        <v>66</v>
      </c>
      <c r="J11" s="3" t="s">
        <v>66</v>
      </c>
      <c r="K11" s="4" t="b">
        <f aca="false">TRUE()</f>
        <v>1</v>
      </c>
      <c r="L11" s="4" t="b">
        <f aca="false">FALSE()</f>
        <v>0</v>
      </c>
      <c r="M11" s="4" t="b">
        <f aca="false">FALSE()</f>
        <v>0</v>
      </c>
      <c r="N11" s="4" t="b">
        <f aca="false">TRUE()</f>
        <v>1</v>
      </c>
      <c r="O11" s="4" t="b">
        <f aca="false">FALSE()</f>
        <v>0</v>
      </c>
    </row>
    <row r="12" customFormat="false" ht="15" hidden="false" customHeight="false" outlineLevel="0" collapsed="false">
      <c r="A12" s="3" t="s">
        <v>67</v>
      </c>
      <c r="B12" s="3" t="s">
        <v>68</v>
      </c>
      <c r="C12" s="3" t="s">
        <v>69</v>
      </c>
      <c r="D12" s="3" t="s">
        <v>37</v>
      </c>
      <c r="E12" s="3" t="s">
        <v>37</v>
      </c>
      <c r="F12" s="3" t="n">
        <v>5</v>
      </c>
      <c r="G12" s="3" t="s">
        <v>70</v>
      </c>
      <c r="H12" s="4" t="b">
        <f aca="false">TRUE()</f>
        <v>1</v>
      </c>
      <c r="I12" s="3" t="s">
        <v>61</v>
      </c>
      <c r="J12" s="3" t="s">
        <v>61</v>
      </c>
      <c r="K12" s="4" t="b">
        <f aca="false">TRUE()</f>
        <v>1</v>
      </c>
      <c r="L12" s="4" t="b">
        <f aca="false">TRUE()</f>
        <v>1</v>
      </c>
      <c r="M12" s="4" t="b">
        <f aca="false">TRUE()</f>
        <v>1</v>
      </c>
      <c r="N12" s="4" t="b">
        <f aca="false">TRUE()</f>
        <v>1</v>
      </c>
      <c r="O12" s="4" t="b">
        <f aca="false">TRUE()</f>
        <v>1</v>
      </c>
    </row>
    <row r="13" customFormat="false" ht="15" hidden="false" customHeight="false" outlineLevel="0" collapsed="false">
      <c r="A13" s="3" t="s">
        <v>71</v>
      </c>
      <c r="B13" s="3" t="s">
        <v>72</v>
      </c>
      <c r="C13" s="3" t="s">
        <v>73</v>
      </c>
      <c r="D13" s="3" t="s">
        <v>20</v>
      </c>
      <c r="E13" s="3" t="s">
        <v>20</v>
      </c>
      <c r="F13" s="3" t="n">
        <v>1</v>
      </c>
      <c r="G13" s="3" t="s">
        <v>74</v>
      </c>
      <c r="H13" s="4" t="b">
        <f aca="false">TRUE()</f>
        <v>1</v>
      </c>
      <c r="I13" s="3" t="s">
        <v>22</v>
      </c>
      <c r="J13" s="3" t="s">
        <v>22</v>
      </c>
      <c r="K13" s="4" t="b">
        <f aca="false">TRUE()</f>
        <v>1</v>
      </c>
      <c r="L13" s="4" t="b">
        <f aca="false">FALSE()</f>
        <v>0</v>
      </c>
      <c r="M13" s="4" t="b">
        <f aca="false">FALSE()</f>
        <v>0</v>
      </c>
      <c r="N13" s="4" t="b">
        <f aca="false">FALSE()</f>
        <v>0</v>
      </c>
      <c r="O13" s="4" t="b">
        <f aca="false">FALSE()</f>
        <v>0</v>
      </c>
    </row>
    <row r="14" customFormat="false" ht="15" hidden="false" customHeight="false" outlineLevel="0" collapsed="false">
      <c r="A14" s="3" t="s">
        <v>75</v>
      </c>
      <c r="B14" s="3" t="s">
        <v>76</v>
      </c>
      <c r="C14" s="3" t="s">
        <v>77</v>
      </c>
      <c r="D14" s="3" t="s">
        <v>37</v>
      </c>
      <c r="E14" s="3" t="s">
        <v>37</v>
      </c>
      <c r="F14" s="3" t="n">
        <v>4</v>
      </c>
      <c r="G14" s="3" t="s">
        <v>78</v>
      </c>
      <c r="H14" s="4" t="b">
        <f aca="false">TRUE()</f>
        <v>1</v>
      </c>
      <c r="I14" s="3" t="s">
        <v>79</v>
      </c>
      <c r="J14" s="3" t="s">
        <v>79</v>
      </c>
      <c r="K14" s="4" t="b">
        <f aca="false">TRUE()</f>
        <v>1</v>
      </c>
      <c r="L14" s="4" t="b">
        <f aca="false">FALSE()</f>
        <v>0</v>
      </c>
      <c r="M14" s="4" t="b">
        <f aca="false">TRUE()</f>
        <v>1</v>
      </c>
      <c r="N14" s="4" t="b">
        <f aca="false">FALSE()</f>
        <v>0</v>
      </c>
      <c r="O14" s="4" t="b">
        <f aca="false">FALSE()</f>
        <v>0</v>
      </c>
    </row>
    <row r="15" customFormat="false" ht="15" hidden="false" customHeight="false" outlineLevel="0" collapsed="false">
      <c r="A15" s="3" t="s">
        <v>80</v>
      </c>
      <c r="B15" s="3" t="s">
        <v>81</v>
      </c>
      <c r="C15" s="3" t="s">
        <v>82</v>
      </c>
      <c r="D15" s="3" t="s">
        <v>37</v>
      </c>
      <c r="E15" s="3" t="s">
        <v>37</v>
      </c>
      <c r="F15" s="3" t="n">
        <v>5</v>
      </c>
      <c r="G15" s="3" t="s">
        <v>83</v>
      </c>
      <c r="H15" s="4" t="b">
        <f aca="false">TRUE()</f>
        <v>1</v>
      </c>
      <c r="I15" s="3" t="s">
        <v>39</v>
      </c>
      <c r="J15" s="3" t="s">
        <v>39</v>
      </c>
      <c r="K15" s="4" t="b">
        <f aca="false">TRUE()</f>
        <v>1</v>
      </c>
      <c r="L15" s="4" t="b">
        <f aca="false">TRUE()</f>
        <v>1</v>
      </c>
      <c r="M15" s="4" t="b">
        <f aca="false">FALSE()</f>
        <v>0</v>
      </c>
      <c r="N15" s="4" t="b">
        <f aca="false">FALSE()</f>
        <v>0</v>
      </c>
      <c r="O15" s="4" t="b">
        <f aca="false">FALSE()</f>
        <v>0</v>
      </c>
    </row>
    <row r="16" customFormat="false" ht="15" hidden="false" customHeight="false" outlineLevel="0" collapsed="false">
      <c r="A16" s="3" t="s">
        <v>84</v>
      </c>
      <c r="B16" s="3" t="s">
        <v>85</v>
      </c>
      <c r="C16" s="3" t="s">
        <v>86</v>
      </c>
      <c r="D16" s="3" t="s">
        <v>20</v>
      </c>
      <c r="E16" s="3" t="s">
        <v>20</v>
      </c>
      <c r="F16" s="3" t="n">
        <v>1</v>
      </c>
      <c r="G16" s="3" t="s">
        <v>87</v>
      </c>
      <c r="H16" s="4" t="b">
        <f aca="false">TRUE()</f>
        <v>1</v>
      </c>
      <c r="I16" s="3" t="s">
        <v>22</v>
      </c>
      <c r="J16" s="3" t="s">
        <v>22</v>
      </c>
      <c r="K16" s="4" t="b">
        <f aca="false">TRUE()</f>
        <v>1</v>
      </c>
      <c r="L16" s="4" t="b">
        <f aca="false">FALSE()</f>
        <v>0</v>
      </c>
      <c r="M16" s="4" t="b">
        <f aca="false">FALSE()</f>
        <v>0</v>
      </c>
      <c r="N16" s="4" t="b">
        <f aca="false">FALSE()</f>
        <v>0</v>
      </c>
      <c r="O16" s="4" t="b">
        <f aca="false">FALSE()</f>
        <v>0</v>
      </c>
    </row>
    <row r="17" customFormat="false" ht="15" hidden="false" customHeight="false" outlineLevel="0" collapsed="false">
      <c r="A17" s="3" t="s">
        <v>88</v>
      </c>
      <c r="B17" s="3" t="s">
        <v>89</v>
      </c>
      <c r="C17" s="3" t="s">
        <v>90</v>
      </c>
      <c r="D17" s="3" t="s">
        <v>20</v>
      </c>
      <c r="E17" s="3" t="s">
        <v>20</v>
      </c>
      <c r="F17" s="3" t="n">
        <v>2</v>
      </c>
      <c r="G17" s="3" t="s">
        <v>91</v>
      </c>
      <c r="H17" s="4" t="b">
        <f aca="false">TRUE()</f>
        <v>1</v>
      </c>
      <c r="I17" s="3" t="s">
        <v>22</v>
      </c>
      <c r="J17" s="3" t="s">
        <v>22</v>
      </c>
      <c r="K17" s="4" t="b">
        <f aca="false">TRUE()</f>
        <v>1</v>
      </c>
      <c r="L17" s="4" t="b">
        <f aca="false">FALSE()</f>
        <v>0</v>
      </c>
      <c r="M17" s="4" t="b">
        <f aca="false">FALSE()</f>
        <v>0</v>
      </c>
      <c r="N17" s="4" t="b">
        <f aca="false">FALSE()</f>
        <v>0</v>
      </c>
      <c r="O17" s="4" t="b">
        <f aca="false">FALSE()</f>
        <v>0</v>
      </c>
    </row>
    <row r="18" customFormat="false" ht="15" hidden="false" customHeight="false" outlineLevel="0" collapsed="false">
      <c r="A18" s="3" t="s">
        <v>92</v>
      </c>
      <c r="B18" s="3" t="s">
        <v>93</v>
      </c>
      <c r="C18" s="3" t="s">
        <v>94</v>
      </c>
      <c r="D18" s="3" t="s">
        <v>37</v>
      </c>
      <c r="E18" s="3" t="s">
        <v>37</v>
      </c>
      <c r="F18" s="3" t="n">
        <v>5</v>
      </c>
      <c r="G18" s="3" t="s">
        <v>95</v>
      </c>
      <c r="H18" s="4" t="b">
        <f aca="false">TRUE()</f>
        <v>1</v>
      </c>
      <c r="I18" s="3" t="s">
        <v>66</v>
      </c>
      <c r="J18" s="3" t="s">
        <v>66</v>
      </c>
      <c r="K18" s="4" t="b">
        <f aca="false">TRUE()</f>
        <v>1</v>
      </c>
      <c r="L18" s="4" t="b">
        <f aca="false">FALSE()</f>
        <v>0</v>
      </c>
      <c r="M18" s="4" t="b">
        <f aca="false">FALSE()</f>
        <v>0</v>
      </c>
      <c r="N18" s="4" t="b">
        <f aca="false">TRUE()</f>
        <v>1</v>
      </c>
      <c r="O18" s="4" t="b">
        <f aca="false">FALSE()</f>
        <v>0</v>
      </c>
    </row>
    <row r="19" customFormat="false" ht="15" hidden="false" customHeight="false" outlineLevel="0" collapsed="false">
      <c r="A19" s="3" t="s">
        <v>96</v>
      </c>
      <c r="B19" s="3" t="s">
        <v>97</v>
      </c>
      <c r="C19" s="3" t="s">
        <v>98</v>
      </c>
      <c r="D19" s="3" t="s">
        <v>37</v>
      </c>
      <c r="E19" s="3" t="s">
        <v>37</v>
      </c>
      <c r="F19" s="3" t="n">
        <v>5</v>
      </c>
      <c r="G19" s="3" t="s">
        <v>99</v>
      </c>
      <c r="H19" s="4" t="b">
        <f aca="false">TRUE()</f>
        <v>1</v>
      </c>
      <c r="I19" s="3" t="s">
        <v>79</v>
      </c>
      <c r="J19" s="3" t="s">
        <v>79</v>
      </c>
      <c r="K19" s="4" t="b">
        <f aca="false">TRUE()</f>
        <v>1</v>
      </c>
      <c r="L19" s="4" t="b">
        <f aca="false">FALSE()</f>
        <v>0</v>
      </c>
      <c r="M19" s="4" t="b">
        <f aca="false">TRUE()</f>
        <v>1</v>
      </c>
      <c r="N19" s="4" t="b">
        <f aca="false">FALSE()</f>
        <v>0</v>
      </c>
      <c r="O19" s="4" t="b">
        <f aca="false">FALSE()</f>
        <v>0</v>
      </c>
    </row>
    <row r="20" customFormat="false" ht="15" hidden="false" customHeight="false" outlineLevel="0" collapsed="false">
      <c r="A20" s="3" t="s">
        <v>100</v>
      </c>
      <c r="B20" s="3" t="s">
        <v>101</v>
      </c>
      <c r="C20" s="3" t="s">
        <v>102</v>
      </c>
      <c r="D20" s="3" t="s">
        <v>37</v>
      </c>
      <c r="E20" s="3" t="s">
        <v>37</v>
      </c>
      <c r="F20" s="3" t="n">
        <v>4</v>
      </c>
      <c r="G20" s="3" t="s">
        <v>103</v>
      </c>
      <c r="H20" s="4" t="b">
        <f aca="false">TRUE()</f>
        <v>1</v>
      </c>
      <c r="I20" s="3" t="s">
        <v>79</v>
      </c>
      <c r="J20" s="3" t="s">
        <v>79</v>
      </c>
      <c r="K20" s="4" t="b">
        <f aca="false">TRUE()</f>
        <v>1</v>
      </c>
      <c r="L20" s="4" t="b">
        <f aca="false">FALSE()</f>
        <v>0</v>
      </c>
      <c r="M20" s="4" t="b">
        <f aca="false">TRUE()</f>
        <v>1</v>
      </c>
      <c r="N20" s="4" t="b">
        <f aca="false">FALSE()</f>
        <v>0</v>
      </c>
      <c r="O20" s="4" t="b">
        <f aca="false">FALSE()</f>
        <v>0</v>
      </c>
    </row>
    <row r="21" customFormat="false" ht="45.1" hidden="false" customHeight="false" outlineLevel="0" collapsed="false">
      <c r="A21" s="3" t="s">
        <v>104</v>
      </c>
      <c r="B21" s="3" t="s">
        <v>105</v>
      </c>
      <c r="C21" s="6" t="s">
        <v>106</v>
      </c>
      <c r="D21" s="3" t="s">
        <v>20</v>
      </c>
      <c r="E21" s="3" t="s">
        <v>20</v>
      </c>
      <c r="F21" s="3" t="n">
        <v>1</v>
      </c>
      <c r="G21" s="3" t="s">
        <v>107</v>
      </c>
      <c r="H21" s="4" t="b">
        <f aca="false">TRUE()</f>
        <v>1</v>
      </c>
      <c r="I21" s="3" t="s">
        <v>22</v>
      </c>
      <c r="J21" s="3" t="s">
        <v>22</v>
      </c>
      <c r="K21" s="4" t="b">
        <f aca="false">TRUE()</f>
        <v>1</v>
      </c>
      <c r="L21" s="4" t="b">
        <f aca="false">FALSE()</f>
        <v>0</v>
      </c>
      <c r="M21" s="4" t="b">
        <f aca="false">FALSE()</f>
        <v>0</v>
      </c>
      <c r="N21" s="4" t="b">
        <f aca="false">FALSE()</f>
        <v>0</v>
      </c>
      <c r="O21" s="4" t="b">
        <f aca="false">FALSE()</f>
        <v>0</v>
      </c>
    </row>
    <row r="22" customFormat="false" ht="34.2" hidden="false" customHeight="false" outlineLevel="0" collapsed="false">
      <c r="A22" s="3" t="s">
        <v>108</v>
      </c>
      <c r="B22" s="3" t="s">
        <v>109</v>
      </c>
      <c r="C22" s="6" t="s">
        <v>110</v>
      </c>
      <c r="D22" s="3" t="s">
        <v>37</v>
      </c>
      <c r="E22" s="3" t="s">
        <v>37</v>
      </c>
      <c r="F22" s="3" t="n">
        <v>5</v>
      </c>
      <c r="G22" s="3" t="s">
        <v>111</v>
      </c>
      <c r="H22" s="4" t="b">
        <f aca="false">TRUE()</f>
        <v>1</v>
      </c>
      <c r="I22" s="3" t="s">
        <v>39</v>
      </c>
      <c r="J22" s="3" t="s">
        <v>39</v>
      </c>
      <c r="K22" s="4" t="b">
        <f aca="false">TRUE()</f>
        <v>1</v>
      </c>
      <c r="L22" s="4" t="b">
        <f aca="false">TRUE()</f>
        <v>1</v>
      </c>
      <c r="M22" s="4" t="b">
        <f aca="false">FALSE()</f>
        <v>0</v>
      </c>
      <c r="N22" s="4" t="b">
        <f aca="false">FALSE()</f>
        <v>0</v>
      </c>
      <c r="O22" s="4" t="b">
        <f aca="false">FALSE()</f>
        <v>0</v>
      </c>
    </row>
    <row r="23" customFormat="false" ht="15" hidden="false" customHeight="false" outlineLevel="0" collapsed="false">
      <c r="A23" s="3" t="s">
        <v>112</v>
      </c>
      <c r="B23" s="3" t="s">
        <v>113</v>
      </c>
      <c r="C23" s="3" t="s">
        <v>114</v>
      </c>
      <c r="D23" s="3" t="s">
        <v>20</v>
      </c>
      <c r="E23" s="3" t="s">
        <v>20</v>
      </c>
      <c r="F23" s="3" t="n">
        <v>1</v>
      </c>
      <c r="G23" s="3" t="s">
        <v>115</v>
      </c>
      <c r="H23" s="4" t="b">
        <f aca="false">TRUE()</f>
        <v>1</v>
      </c>
      <c r="I23" s="3" t="s">
        <v>22</v>
      </c>
      <c r="J23" s="3" t="s">
        <v>22</v>
      </c>
      <c r="K23" s="4" t="b">
        <f aca="false">TRUE()</f>
        <v>1</v>
      </c>
      <c r="L23" s="4" t="b">
        <f aca="false">FALSE()</f>
        <v>0</v>
      </c>
      <c r="M23" s="4" t="b">
        <f aca="false">FALSE()</f>
        <v>0</v>
      </c>
      <c r="N23" s="4" t="b">
        <f aca="false">FALSE()</f>
        <v>0</v>
      </c>
      <c r="O23" s="4" t="b">
        <f aca="false">FALSE()</f>
        <v>0</v>
      </c>
    </row>
    <row r="24" customFormat="false" ht="15" hidden="false" customHeight="false" outlineLevel="0" collapsed="false">
      <c r="A24" s="3" t="s">
        <v>116</v>
      </c>
      <c r="B24" s="3" t="s">
        <v>117</v>
      </c>
      <c r="C24" s="3" t="s">
        <v>118</v>
      </c>
      <c r="D24" s="3" t="s">
        <v>37</v>
      </c>
      <c r="E24" s="3" t="s">
        <v>37</v>
      </c>
      <c r="F24" s="3" t="n">
        <v>5</v>
      </c>
      <c r="G24" s="3" t="s">
        <v>119</v>
      </c>
      <c r="H24" s="4" t="b">
        <f aca="false">TRUE()</f>
        <v>1</v>
      </c>
      <c r="I24" s="3" t="s">
        <v>61</v>
      </c>
      <c r="J24" s="3" t="s">
        <v>61</v>
      </c>
      <c r="K24" s="4" t="b">
        <f aca="false">TRUE()</f>
        <v>1</v>
      </c>
      <c r="L24" s="4" t="b">
        <f aca="false">FALSE()</f>
        <v>0</v>
      </c>
      <c r="M24" s="4" t="b">
        <f aca="false">FALSE()</f>
        <v>0</v>
      </c>
      <c r="N24" s="4" t="b">
        <f aca="false">FALSE()</f>
        <v>0</v>
      </c>
      <c r="O24" s="4" t="b">
        <f aca="false">TRUE()</f>
        <v>1</v>
      </c>
    </row>
    <row r="25" customFormat="false" ht="15" hidden="false" customHeight="false" outlineLevel="0" collapsed="false">
      <c r="A25" s="3" t="s">
        <v>120</v>
      </c>
      <c r="B25" s="3" t="s">
        <v>121</v>
      </c>
      <c r="C25" s="3" t="s">
        <v>122</v>
      </c>
      <c r="D25" s="3" t="s">
        <v>37</v>
      </c>
      <c r="E25" s="3" t="s">
        <v>37</v>
      </c>
      <c r="F25" s="3" t="n">
        <v>5</v>
      </c>
      <c r="G25" s="3" t="s">
        <v>123</v>
      </c>
      <c r="H25" s="4" t="b">
        <f aca="false">TRUE()</f>
        <v>1</v>
      </c>
      <c r="I25" s="3" t="s">
        <v>39</v>
      </c>
      <c r="J25" s="3" t="s">
        <v>39</v>
      </c>
      <c r="K25" s="4" t="b">
        <f aca="false">TRUE()</f>
        <v>1</v>
      </c>
      <c r="L25" s="4" t="b">
        <f aca="false">TRUE()</f>
        <v>1</v>
      </c>
      <c r="M25" s="4" t="b">
        <f aca="false">FALSE()</f>
        <v>0</v>
      </c>
      <c r="N25" s="4" t="b">
        <f aca="false">FALSE()</f>
        <v>0</v>
      </c>
      <c r="O25" s="4" t="b">
        <f aca="false">FALSE()</f>
        <v>0</v>
      </c>
    </row>
    <row r="26" customFormat="false" ht="23.3" hidden="false" customHeight="false" outlineLevel="0" collapsed="false">
      <c r="A26" s="3" t="s">
        <v>124</v>
      </c>
      <c r="B26" s="3" t="s">
        <v>125</v>
      </c>
      <c r="C26" s="6" t="s">
        <v>126</v>
      </c>
      <c r="D26" s="3" t="s">
        <v>20</v>
      </c>
      <c r="E26" s="3" t="s">
        <v>20</v>
      </c>
      <c r="F26" s="3" t="n">
        <v>2</v>
      </c>
      <c r="G26" s="3" t="s">
        <v>127</v>
      </c>
      <c r="H26" s="4" t="b">
        <f aca="false">TRUE()</f>
        <v>1</v>
      </c>
      <c r="I26" s="3" t="s">
        <v>22</v>
      </c>
      <c r="J26" s="3" t="s">
        <v>22</v>
      </c>
      <c r="K26" s="4" t="b">
        <f aca="false">TRUE()</f>
        <v>1</v>
      </c>
      <c r="L26" s="4" t="b">
        <f aca="false">FALSE()</f>
        <v>0</v>
      </c>
      <c r="M26" s="4" t="b">
        <f aca="false">FALSE()</f>
        <v>0</v>
      </c>
      <c r="N26" s="4" t="b">
        <f aca="false">FALSE()</f>
        <v>0</v>
      </c>
      <c r="O26" s="4" t="b">
        <f aca="false">FALSE()</f>
        <v>0</v>
      </c>
    </row>
    <row r="27" customFormat="false" ht="15" hidden="false" customHeight="false" outlineLevel="0" collapsed="false">
      <c r="A27" s="3" t="s">
        <v>128</v>
      </c>
      <c r="B27" s="3" t="s">
        <v>129</v>
      </c>
      <c r="C27" s="3" t="s">
        <v>130</v>
      </c>
      <c r="D27" s="3" t="s">
        <v>37</v>
      </c>
      <c r="E27" s="3" t="s">
        <v>37</v>
      </c>
      <c r="F27" s="3" t="n">
        <v>4</v>
      </c>
      <c r="G27" s="3" t="s">
        <v>131</v>
      </c>
      <c r="H27" s="4" t="b">
        <f aca="false">TRUE()</f>
        <v>1</v>
      </c>
      <c r="I27" s="3" t="s">
        <v>61</v>
      </c>
      <c r="J27" s="3" t="s">
        <v>61</v>
      </c>
      <c r="K27" s="4" t="b">
        <f aca="false">TRUE()</f>
        <v>1</v>
      </c>
      <c r="L27" s="4" t="b">
        <f aca="false">TRUE()</f>
        <v>1</v>
      </c>
      <c r="M27" s="4" t="b">
        <f aca="false">FALSE()</f>
        <v>0</v>
      </c>
      <c r="N27" s="4" t="b">
        <f aca="false">TRUE()</f>
        <v>1</v>
      </c>
      <c r="O27" s="4" t="b">
        <f aca="false">TRUE()</f>
        <v>1</v>
      </c>
    </row>
    <row r="28" customFormat="false" ht="15" hidden="false" customHeight="false" outlineLevel="0" collapsed="false">
      <c r="A28" s="3" t="s">
        <v>132</v>
      </c>
      <c r="B28" s="3" t="s">
        <v>133</v>
      </c>
      <c r="C28" s="3" t="s">
        <v>134</v>
      </c>
      <c r="D28" s="3" t="s">
        <v>37</v>
      </c>
      <c r="E28" s="3" t="s">
        <v>37</v>
      </c>
      <c r="F28" s="3" t="n">
        <v>3</v>
      </c>
      <c r="G28" s="3" t="s">
        <v>135</v>
      </c>
      <c r="H28" s="4" t="b">
        <f aca="false">TRUE()</f>
        <v>1</v>
      </c>
      <c r="I28" s="3" t="s">
        <v>39</v>
      </c>
      <c r="J28" s="3" t="s">
        <v>39</v>
      </c>
      <c r="K28" s="4" t="b">
        <f aca="false">TRUE()</f>
        <v>1</v>
      </c>
      <c r="L28" s="4" t="b">
        <f aca="false">TRUE()</f>
        <v>1</v>
      </c>
      <c r="M28" s="4" t="b">
        <f aca="false">FALSE()</f>
        <v>0</v>
      </c>
      <c r="N28" s="4" t="b">
        <f aca="false">FALSE()</f>
        <v>0</v>
      </c>
      <c r="O28" s="4" t="b">
        <f aca="false">FALSE()</f>
        <v>0</v>
      </c>
    </row>
    <row r="29" customFormat="false" ht="15" hidden="false" customHeight="false" outlineLevel="0" collapsed="false">
      <c r="A29" s="3" t="s">
        <v>136</v>
      </c>
      <c r="B29" s="3" t="s">
        <v>137</v>
      </c>
      <c r="C29" s="3" t="s">
        <v>138</v>
      </c>
      <c r="D29" s="3" t="s">
        <v>37</v>
      </c>
      <c r="E29" s="3" t="s">
        <v>37</v>
      </c>
      <c r="F29" s="3" t="n">
        <v>5</v>
      </c>
      <c r="G29" s="3" t="s">
        <v>139</v>
      </c>
      <c r="H29" s="4" t="b">
        <f aca="false">TRUE()</f>
        <v>1</v>
      </c>
      <c r="I29" s="3" t="s">
        <v>39</v>
      </c>
      <c r="J29" s="3" t="s">
        <v>39</v>
      </c>
      <c r="K29" s="4" t="b">
        <f aca="false">TRUE()</f>
        <v>1</v>
      </c>
      <c r="L29" s="4" t="b">
        <f aca="false">TRUE()</f>
        <v>1</v>
      </c>
      <c r="M29" s="4" t="b">
        <f aca="false">FALSE()</f>
        <v>0</v>
      </c>
      <c r="N29" s="4" t="b">
        <f aca="false">FALSE()</f>
        <v>0</v>
      </c>
      <c r="O29" s="4" t="b">
        <f aca="false">FALSE()</f>
        <v>0</v>
      </c>
    </row>
    <row r="30" customFormat="false" ht="15" hidden="false" customHeight="false" outlineLevel="0" collapsed="false">
      <c r="A30" s="3" t="s">
        <v>140</v>
      </c>
      <c r="B30" s="3" t="s">
        <v>141</v>
      </c>
      <c r="C30" s="3" t="s">
        <v>142</v>
      </c>
      <c r="D30" s="3" t="s">
        <v>20</v>
      </c>
      <c r="E30" s="3" t="s">
        <v>20</v>
      </c>
      <c r="F30" s="3" t="n">
        <v>2</v>
      </c>
      <c r="G30" s="3" t="s">
        <v>143</v>
      </c>
      <c r="H30" s="4" t="b">
        <f aca="false">TRUE()</f>
        <v>1</v>
      </c>
      <c r="I30" s="3" t="s">
        <v>22</v>
      </c>
      <c r="J30" s="3" t="s">
        <v>22</v>
      </c>
      <c r="K30" s="4" t="b">
        <f aca="false">TRUE()</f>
        <v>1</v>
      </c>
      <c r="L30" s="4" t="b">
        <f aca="false">FALSE()</f>
        <v>0</v>
      </c>
      <c r="M30" s="4" t="b">
        <f aca="false">FALSE()</f>
        <v>0</v>
      </c>
      <c r="N30" s="4" t="b">
        <f aca="false">FALSE()</f>
        <v>0</v>
      </c>
      <c r="O30" s="4" t="b">
        <f aca="false">FALSE()</f>
        <v>0</v>
      </c>
    </row>
    <row r="31" customFormat="false" ht="15" hidden="false" customHeight="false" outlineLevel="0" collapsed="false">
      <c r="A31" s="3" t="s">
        <v>144</v>
      </c>
      <c r="B31" s="3" t="s">
        <v>145</v>
      </c>
      <c r="C31" s="3" t="s">
        <v>146</v>
      </c>
      <c r="D31" s="3" t="s">
        <v>37</v>
      </c>
      <c r="E31" s="3" t="s">
        <v>37</v>
      </c>
      <c r="F31" s="3" t="n">
        <v>5</v>
      </c>
      <c r="G31" s="3" t="s">
        <v>147</v>
      </c>
      <c r="H31" s="4" t="b">
        <f aca="false">TRUE()</f>
        <v>1</v>
      </c>
      <c r="I31" s="3" t="s">
        <v>79</v>
      </c>
      <c r="J31" s="3" t="s">
        <v>79</v>
      </c>
      <c r="K31" s="4" t="b">
        <f aca="false">TRUE()</f>
        <v>1</v>
      </c>
      <c r="L31" s="4" t="b">
        <f aca="false">FALSE()</f>
        <v>0</v>
      </c>
      <c r="M31" s="4" t="b">
        <f aca="false">TRUE()</f>
        <v>1</v>
      </c>
      <c r="N31" s="4" t="b">
        <f aca="false">FALSE()</f>
        <v>0</v>
      </c>
      <c r="O31" s="4" t="b">
        <f aca="false">FALSE()</f>
        <v>0</v>
      </c>
    </row>
    <row r="32" customFormat="false" ht="15" hidden="false" customHeight="false" outlineLevel="0" collapsed="false">
      <c r="A32" s="3" t="s">
        <v>148</v>
      </c>
      <c r="B32" s="3" t="s">
        <v>149</v>
      </c>
      <c r="C32" s="3" t="s">
        <v>150</v>
      </c>
      <c r="D32" s="3" t="s">
        <v>20</v>
      </c>
      <c r="E32" s="3" t="s">
        <v>20</v>
      </c>
      <c r="F32" s="3" t="n">
        <v>1</v>
      </c>
      <c r="G32" s="3" t="s">
        <v>151</v>
      </c>
      <c r="H32" s="4" t="b">
        <f aca="false">TRUE()</f>
        <v>1</v>
      </c>
      <c r="I32" s="3" t="s">
        <v>22</v>
      </c>
      <c r="J32" s="3" t="s">
        <v>22</v>
      </c>
      <c r="K32" s="4" t="b">
        <f aca="false">TRUE()</f>
        <v>1</v>
      </c>
      <c r="L32" s="4" t="b">
        <f aca="false">FALSE()</f>
        <v>0</v>
      </c>
      <c r="M32" s="4" t="b">
        <f aca="false">FALSE()</f>
        <v>0</v>
      </c>
      <c r="N32" s="4" t="b">
        <f aca="false">FALSE()</f>
        <v>0</v>
      </c>
      <c r="O32" s="4" t="b">
        <f aca="false">FALSE()</f>
        <v>0</v>
      </c>
    </row>
    <row r="33" customFormat="false" ht="15" hidden="false" customHeight="false" outlineLevel="0" collapsed="false">
      <c r="A33" s="3" t="s">
        <v>152</v>
      </c>
      <c r="B33" s="3" t="s">
        <v>153</v>
      </c>
      <c r="C33" s="3" t="s">
        <v>154</v>
      </c>
      <c r="D33" s="3" t="s">
        <v>37</v>
      </c>
      <c r="E33" s="3" t="s">
        <v>37</v>
      </c>
      <c r="F33" s="3" t="n">
        <v>5</v>
      </c>
      <c r="G33" s="3" t="s">
        <v>155</v>
      </c>
      <c r="H33" s="4" t="b">
        <f aca="false">TRUE()</f>
        <v>1</v>
      </c>
      <c r="I33" s="3" t="s">
        <v>66</v>
      </c>
      <c r="J33" s="3" t="s">
        <v>66</v>
      </c>
      <c r="K33" s="4" t="b">
        <f aca="false">TRUE()</f>
        <v>1</v>
      </c>
      <c r="L33" s="4" t="b">
        <f aca="false">FALSE()</f>
        <v>0</v>
      </c>
      <c r="M33" s="4" t="b">
        <f aca="false">FALSE()</f>
        <v>0</v>
      </c>
      <c r="N33" s="4" t="b">
        <f aca="false">TRUE()</f>
        <v>1</v>
      </c>
      <c r="O33" s="4" t="b">
        <f aca="false">FALSE()</f>
        <v>0</v>
      </c>
    </row>
    <row r="34" customFormat="false" ht="15" hidden="false" customHeight="false" outlineLevel="0" collapsed="false">
      <c r="A34" s="3" t="s">
        <v>156</v>
      </c>
      <c r="B34" s="3" t="s">
        <v>157</v>
      </c>
      <c r="C34" s="3" t="s">
        <v>158</v>
      </c>
      <c r="D34" s="3" t="s">
        <v>37</v>
      </c>
      <c r="E34" s="3" t="s">
        <v>37</v>
      </c>
      <c r="F34" s="3" t="n">
        <v>5</v>
      </c>
      <c r="G34" s="3" t="s">
        <v>159</v>
      </c>
      <c r="H34" s="4" t="b">
        <f aca="false">TRUE()</f>
        <v>1</v>
      </c>
      <c r="I34" s="3" t="s">
        <v>66</v>
      </c>
      <c r="J34" s="3" t="s">
        <v>66</v>
      </c>
      <c r="K34" s="4" t="b">
        <f aca="false">TRUE()</f>
        <v>1</v>
      </c>
      <c r="L34" s="4" t="b">
        <f aca="false">FALSE()</f>
        <v>0</v>
      </c>
      <c r="M34" s="4" t="b">
        <f aca="false">FALSE()</f>
        <v>0</v>
      </c>
      <c r="N34" s="4" t="b">
        <f aca="false">TRUE()</f>
        <v>1</v>
      </c>
      <c r="O34" s="4" t="b">
        <f aca="false">FALSE()</f>
        <v>0</v>
      </c>
    </row>
    <row r="35" customFormat="false" ht="23.3" hidden="false" customHeight="false" outlineLevel="0" collapsed="false">
      <c r="A35" s="3" t="s">
        <v>160</v>
      </c>
      <c r="B35" s="3" t="s">
        <v>161</v>
      </c>
      <c r="C35" s="3" t="s">
        <v>162</v>
      </c>
      <c r="D35" s="3" t="s">
        <v>37</v>
      </c>
      <c r="E35" s="3" t="s">
        <v>20</v>
      </c>
      <c r="F35" s="3" t="n">
        <v>2</v>
      </c>
      <c r="G35" s="3" t="s">
        <v>163</v>
      </c>
      <c r="H35" s="7" t="b">
        <f aca="false">FALSE()</f>
        <v>0</v>
      </c>
      <c r="I35" s="3" t="s">
        <v>66</v>
      </c>
      <c r="J35" s="3" t="s">
        <v>22</v>
      </c>
      <c r="K35" s="4" t="b">
        <f aca="false">FALSE()</f>
        <v>0</v>
      </c>
      <c r="L35" s="4" t="b">
        <f aca="false">FALSE()</f>
        <v>0</v>
      </c>
      <c r="M35" s="4" t="b">
        <f aca="false">FALSE()</f>
        <v>0</v>
      </c>
      <c r="N35" s="4" t="b">
        <f aca="false">FALSE()</f>
        <v>0</v>
      </c>
      <c r="O35" s="4" t="b">
        <f aca="false">FALSE()</f>
        <v>0</v>
      </c>
      <c r="Q35" s="2" t="s">
        <v>164</v>
      </c>
    </row>
    <row r="36" customFormat="false" ht="15" hidden="false" customHeight="false" outlineLevel="0" collapsed="false">
      <c r="A36" s="3" t="s">
        <v>165</v>
      </c>
      <c r="B36" s="3" t="s">
        <v>166</v>
      </c>
      <c r="C36" s="3" t="s">
        <v>167</v>
      </c>
      <c r="D36" s="3" t="s">
        <v>37</v>
      </c>
      <c r="E36" s="3" t="s">
        <v>37</v>
      </c>
      <c r="F36" s="3" t="n">
        <v>5</v>
      </c>
      <c r="G36" s="3" t="s">
        <v>168</v>
      </c>
      <c r="H36" s="4" t="b">
        <f aca="false">TRUE()</f>
        <v>1</v>
      </c>
      <c r="I36" s="3" t="s">
        <v>66</v>
      </c>
      <c r="J36" s="3" t="s">
        <v>66</v>
      </c>
      <c r="K36" s="4" t="b">
        <f aca="false">TRUE()</f>
        <v>1</v>
      </c>
      <c r="L36" s="4" t="b">
        <f aca="false">FALSE()</f>
        <v>0</v>
      </c>
      <c r="M36" s="4" t="b">
        <f aca="false">FALSE()</f>
        <v>0</v>
      </c>
      <c r="N36" s="4" t="b">
        <f aca="false">TRUE()</f>
        <v>1</v>
      </c>
      <c r="O36" s="4" t="b">
        <f aca="false">FALSE()</f>
        <v>0</v>
      </c>
    </row>
    <row r="37" customFormat="false" ht="15" hidden="false" customHeight="false" outlineLevel="0" collapsed="false">
      <c r="A37" s="3" t="s">
        <v>169</v>
      </c>
      <c r="B37" s="3" t="s">
        <v>170</v>
      </c>
      <c r="C37" s="3" t="s">
        <v>171</v>
      </c>
      <c r="D37" s="3" t="s">
        <v>20</v>
      </c>
      <c r="E37" s="3" t="s">
        <v>20</v>
      </c>
      <c r="F37" s="3" t="n">
        <v>1</v>
      </c>
      <c r="G37" s="3" t="s">
        <v>172</v>
      </c>
      <c r="H37" s="4" t="b">
        <f aca="false">TRUE()</f>
        <v>1</v>
      </c>
      <c r="I37" s="3" t="s">
        <v>22</v>
      </c>
      <c r="J37" s="3" t="s">
        <v>22</v>
      </c>
      <c r="K37" s="4" t="b">
        <f aca="false">TRUE()</f>
        <v>1</v>
      </c>
      <c r="L37" s="4" t="b">
        <f aca="false">FALSE()</f>
        <v>0</v>
      </c>
      <c r="M37" s="4" t="b">
        <f aca="false">FALSE()</f>
        <v>0</v>
      </c>
      <c r="N37" s="4" t="b">
        <f aca="false">FALSE()</f>
        <v>0</v>
      </c>
      <c r="O37" s="4" t="b">
        <f aca="false">FALSE()</f>
        <v>0</v>
      </c>
    </row>
    <row r="38" customFormat="false" ht="15" hidden="false" customHeight="false" outlineLevel="0" collapsed="false">
      <c r="A38" s="3" t="s">
        <v>173</v>
      </c>
      <c r="B38" s="3" t="s">
        <v>174</v>
      </c>
      <c r="C38" s="3" t="s">
        <v>175</v>
      </c>
      <c r="D38" s="3" t="s">
        <v>37</v>
      </c>
      <c r="E38" s="3" t="s">
        <v>37</v>
      </c>
      <c r="F38" s="3" t="n">
        <v>5</v>
      </c>
      <c r="G38" s="3" t="s">
        <v>176</v>
      </c>
      <c r="H38" s="4" t="b">
        <f aca="false">TRUE()</f>
        <v>1</v>
      </c>
      <c r="I38" s="3" t="s">
        <v>79</v>
      </c>
      <c r="J38" s="3" t="s">
        <v>79</v>
      </c>
      <c r="K38" s="4" t="b">
        <f aca="false">TRUE()</f>
        <v>1</v>
      </c>
      <c r="L38" s="4" t="b">
        <f aca="false">FALSE()</f>
        <v>0</v>
      </c>
      <c r="M38" s="4" t="b">
        <f aca="false">TRUE()</f>
        <v>1</v>
      </c>
      <c r="N38" s="4" t="b">
        <f aca="false">FALSE()</f>
        <v>0</v>
      </c>
      <c r="O38" s="4" t="b">
        <f aca="false">FALSE()</f>
        <v>0</v>
      </c>
    </row>
    <row r="39" customFormat="false" ht="15" hidden="false" customHeight="false" outlineLevel="0" collapsed="false">
      <c r="A39" s="3" t="s">
        <v>177</v>
      </c>
      <c r="B39" s="3" t="s">
        <v>178</v>
      </c>
      <c r="C39" s="3" t="s">
        <v>179</v>
      </c>
      <c r="D39" s="3" t="s">
        <v>37</v>
      </c>
      <c r="E39" s="3" t="s">
        <v>37</v>
      </c>
      <c r="F39" s="3" t="n">
        <v>4</v>
      </c>
      <c r="G39" s="3" t="s">
        <v>180</v>
      </c>
      <c r="H39" s="4" t="b">
        <f aca="false">TRUE()</f>
        <v>1</v>
      </c>
      <c r="I39" s="3" t="s">
        <v>39</v>
      </c>
      <c r="J39" s="3" t="s">
        <v>39</v>
      </c>
      <c r="K39" s="4" t="b">
        <f aca="false">TRUE()</f>
        <v>1</v>
      </c>
      <c r="L39" s="4" t="b">
        <f aca="false">TRUE()</f>
        <v>1</v>
      </c>
      <c r="M39" s="4" t="b">
        <f aca="false">FALSE()</f>
        <v>0</v>
      </c>
      <c r="N39" s="4" t="b">
        <f aca="false">FALSE()</f>
        <v>0</v>
      </c>
      <c r="O39" s="4" t="b">
        <f aca="false">FALSE()</f>
        <v>0</v>
      </c>
    </row>
    <row r="40" customFormat="false" ht="15" hidden="false" customHeight="false" outlineLevel="0" collapsed="false">
      <c r="A40" s="3" t="s">
        <v>181</v>
      </c>
      <c r="B40" s="3" t="s">
        <v>182</v>
      </c>
      <c r="C40" s="3" t="s">
        <v>183</v>
      </c>
      <c r="D40" s="3" t="s">
        <v>20</v>
      </c>
      <c r="E40" s="3" t="s">
        <v>20</v>
      </c>
      <c r="F40" s="3" t="n">
        <v>2</v>
      </c>
      <c r="G40" s="3" t="s">
        <v>184</v>
      </c>
      <c r="H40" s="4" t="b">
        <f aca="false">TRUE()</f>
        <v>1</v>
      </c>
      <c r="I40" s="3" t="s">
        <v>22</v>
      </c>
      <c r="J40" s="3" t="s">
        <v>22</v>
      </c>
      <c r="K40" s="4" t="b">
        <f aca="false">TRUE()</f>
        <v>1</v>
      </c>
      <c r="L40" s="4" t="b">
        <f aca="false">FALSE()</f>
        <v>0</v>
      </c>
      <c r="M40" s="4" t="b">
        <f aca="false">FALSE()</f>
        <v>0</v>
      </c>
      <c r="N40" s="4" t="b">
        <f aca="false">FALSE()</f>
        <v>0</v>
      </c>
      <c r="O40" s="4" t="b">
        <f aca="false">FALSE()</f>
        <v>0</v>
      </c>
    </row>
    <row r="41" customFormat="false" ht="15" hidden="false" customHeight="false" outlineLevel="0" collapsed="false">
      <c r="A41" s="3" t="s">
        <v>185</v>
      </c>
      <c r="B41" s="3" t="s">
        <v>186</v>
      </c>
      <c r="C41" s="3" t="s">
        <v>187</v>
      </c>
      <c r="D41" s="3" t="s">
        <v>37</v>
      </c>
      <c r="E41" s="3" t="s">
        <v>37</v>
      </c>
      <c r="F41" s="3" t="n">
        <v>5</v>
      </c>
      <c r="G41" s="3" t="s">
        <v>188</v>
      </c>
      <c r="H41" s="4" t="b">
        <f aca="false">TRUE()</f>
        <v>1</v>
      </c>
      <c r="I41" s="3" t="s">
        <v>39</v>
      </c>
      <c r="J41" s="3" t="s">
        <v>39</v>
      </c>
      <c r="K41" s="4" t="b">
        <f aca="false">TRUE()</f>
        <v>1</v>
      </c>
      <c r="L41" s="4" t="b">
        <f aca="false">TRUE()</f>
        <v>1</v>
      </c>
      <c r="M41" s="4" t="b">
        <f aca="false">FALSE()</f>
        <v>0</v>
      </c>
      <c r="N41" s="4" t="b">
        <f aca="false">FALSE()</f>
        <v>0</v>
      </c>
      <c r="O41" s="4" t="b">
        <f aca="false">FALSE()</f>
        <v>0</v>
      </c>
    </row>
    <row r="42" customFormat="false" ht="15" hidden="false" customHeight="false" outlineLevel="0" collapsed="false">
      <c r="A42" s="3" t="s">
        <v>189</v>
      </c>
      <c r="B42" s="3" t="s">
        <v>190</v>
      </c>
      <c r="C42" s="3" t="s">
        <v>191</v>
      </c>
      <c r="D42" s="3" t="s">
        <v>20</v>
      </c>
      <c r="E42" s="3" t="s">
        <v>20</v>
      </c>
      <c r="F42" s="3" t="n">
        <v>2</v>
      </c>
      <c r="G42" s="3" t="s">
        <v>192</v>
      </c>
      <c r="H42" s="4" t="b">
        <f aca="false">TRUE()</f>
        <v>1</v>
      </c>
      <c r="I42" s="3" t="s">
        <v>22</v>
      </c>
      <c r="J42" s="3" t="s">
        <v>22</v>
      </c>
      <c r="K42" s="4" t="b">
        <f aca="false">TRUE()</f>
        <v>1</v>
      </c>
      <c r="L42" s="4" t="b">
        <f aca="false">FALSE()</f>
        <v>0</v>
      </c>
      <c r="M42" s="4" t="b">
        <f aca="false">FALSE()</f>
        <v>0</v>
      </c>
      <c r="N42" s="4" t="b">
        <f aca="false">FALSE()</f>
        <v>0</v>
      </c>
      <c r="O42" s="4" t="b">
        <f aca="false">FALSE()</f>
        <v>0</v>
      </c>
    </row>
    <row r="43" customFormat="false" ht="45.1" hidden="false" customHeight="false" outlineLevel="0" collapsed="false">
      <c r="A43" s="3" t="s">
        <v>193</v>
      </c>
      <c r="B43" s="3" t="s">
        <v>194</v>
      </c>
      <c r="C43" s="3" t="s">
        <v>195</v>
      </c>
      <c r="D43" s="3" t="s">
        <v>20</v>
      </c>
      <c r="E43" s="3" t="s">
        <v>37</v>
      </c>
      <c r="F43" s="3" t="n">
        <v>4</v>
      </c>
      <c r="G43" s="3" t="s">
        <v>196</v>
      </c>
      <c r="H43" s="8" t="b">
        <f aca="false">FALSE()</f>
        <v>0</v>
      </c>
      <c r="I43" s="3" t="s">
        <v>22</v>
      </c>
      <c r="J43" s="3" t="s">
        <v>79</v>
      </c>
      <c r="K43" s="4" t="b">
        <f aca="false">FALSE()</f>
        <v>0</v>
      </c>
      <c r="L43" s="4" t="b">
        <f aca="false">FALSE()</f>
        <v>0</v>
      </c>
      <c r="M43" s="4" t="b">
        <f aca="false">TRUE()</f>
        <v>1</v>
      </c>
      <c r="N43" s="4" t="b">
        <f aca="false">FALSE()</f>
        <v>0</v>
      </c>
      <c r="O43" s="4" t="b">
        <f aca="false">FALSE()</f>
        <v>0</v>
      </c>
      <c r="Q43" s="2" t="s">
        <v>197</v>
      </c>
    </row>
    <row r="44" customFormat="false" ht="15" hidden="false" customHeight="false" outlineLevel="0" collapsed="false">
      <c r="A44" s="3" t="s">
        <v>198</v>
      </c>
      <c r="B44" s="3" t="s">
        <v>199</v>
      </c>
      <c r="C44" s="3" t="s">
        <v>200</v>
      </c>
      <c r="D44" s="3" t="s">
        <v>37</v>
      </c>
      <c r="E44" s="3" t="s">
        <v>37</v>
      </c>
      <c r="F44" s="3" t="n">
        <v>4</v>
      </c>
      <c r="G44" s="3" t="s">
        <v>201</v>
      </c>
      <c r="H44" s="4" t="b">
        <f aca="false">TRUE()</f>
        <v>1</v>
      </c>
      <c r="I44" s="3" t="s">
        <v>61</v>
      </c>
      <c r="J44" s="3" t="s">
        <v>61</v>
      </c>
      <c r="K44" s="4" t="b">
        <f aca="false">TRUE()</f>
        <v>1</v>
      </c>
      <c r="L44" s="4" t="b">
        <f aca="false">TRUE()</f>
        <v>1</v>
      </c>
      <c r="M44" s="4" t="b">
        <f aca="false">TRUE()</f>
        <v>1</v>
      </c>
      <c r="N44" s="4" t="b">
        <f aca="false">FALSE()</f>
        <v>0</v>
      </c>
      <c r="O44" s="4" t="b">
        <f aca="false">TRUE()</f>
        <v>1</v>
      </c>
    </row>
    <row r="45" customFormat="false" ht="15" hidden="false" customHeight="false" outlineLevel="0" collapsed="false">
      <c r="A45" s="3" t="s">
        <v>202</v>
      </c>
      <c r="B45" s="3" t="s">
        <v>203</v>
      </c>
      <c r="C45" s="3" t="s">
        <v>204</v>
      </c>
      <c r="D45" s="3" t="s">
        <v>20</v>
      </c>
      <c r="E45" s="3" t="s">
        <v>20</v>
      </c>
      <c r="F45" s="3" t="n">
        <v>1</v>
      </c>
      <c r="G45" s="3" t="s">
        <v>205</v>
      </c>
      <c r="H45" s="4" t="b">
        <f aca="false">TRUE()</f>
        <v>1</v>
      </c>
      <c r="I45" s="3" t="s">
        <v>22</v>
      </c>
      <c r="J45" s="3" t="s">
        <v>22</v>
      </c>
      <c r="K45" s="4" t="b">
        <f aca="false">TRUE()</f>
        <v>1</v>
      </c>
      <c r="L45" s="4" t="b">
        <f aca="false">FALSE()</f>
        <v>0</v>
      </c>
      <c r="M45" s="4" t="b">
        <f aca="false">FALSE()</f>
        <v>0</v>
      </c>
      <c r="N45" s="4" t="b">
        <f aca="false">FALSE()</f>
        <v>0</v>
      </c>
      <c r="O45" s="4" t="b">
        <f aca="false">FALSE()</f>
        <v>0</v>
      </c>
    </row>
    <row r="46" customFormat="false" ht="15" hidden="false" customHeight="false" outlineLevel="0" collapsed="false">
      <c r="A46" s="3" t="s">
        <v>206</v>
      </c>
      <c r="B46" s="3" t="s">
        <v>207</v>
      </c>
      <c r="C46" s="3" t="s">
        <v>208</v>
      </c>
      <c r="D46" s="3" t="s">
        <v>37</v>
      </c>
      <c r="E46" s="3" t="s">
        <v>37</v>
      </c>
      <c r="F46" s="3" t="n">
        <v>4</v>
      </c>
      <c r="G46" s="3" t="s">
        <v>209</v>
      </c>
      <c r="H46" s="4" t="b">
        <f aca="false">TRUE()</f>
        <v>1</v>
      </c>
      <c r="I46" s="3" t="s">
        <v>79</v>
      </c>
      <c r="J46" s="3" t="s">
        <v>79</v>
      </c>
      <c r="K46" s="4" t="b">
        <f aca="false">TRUE()</f>
        <v>1</v>
      </c>
      <c r="L46" s="4" t="b">
        <f aca="false">FALSE()</f>
        <v>0</v>
      </c>
      <c r="M46" s="4" t="b">
        <f aca="false">TRUE()</f>
        <v>1</v>
      </c>
      <c r="N46" s="4" t="b">
        <f aca="false">FALSE()</f>
        <v>0</v>
      </c>
      <c r="O46" s="4" t="b">
        <f aca="false">FALSE()</f>
        <v>0</v>
      </c>
    </row>
    <row r="47" customFormat="false" ht="15" hidden="false" customHeight="false" outlineLevel="0" collapsed="false">
      <c r="A47" s="3" t="s">
        <v>210</v>
      </c>
      <c r="B47" s="3" t="s">
        <v>211</v>
      </c>
      <c r="C47" s="3" t="s">
        <v>212</v>
      </c>
      <c r="D47" s="3" t="s">
        <v>37</v>
      </c>
      <c r="E47" s="3" t="s">
        <v>37</v>
      </c>
      <c r="F47" s="3" t="n">
        <v>5</v>
      </c>
      <c r="G47" s="3" t="s">
        <v>213</v>
      </c>
      <c r="H47" s="4" t="b">
        <f aca="false">TRUE()</f>
        <v>1</v>
      </c>
      <c r="I47" s="3" t="s">
        <v>39</v>
      </c>
      <c r="J47" s="3" t="s">
        <v>39</v>
      </c>
      <c r="K47" s="4" t="b">
        <f aca="false">TRUE()</f>
        <v>1</v>
      </c>
      <c r="L47" s="4" t="b">
        <f aca="false">TRUE()</f>
        <v>1</v>
      </c>
      <c r="M47" s="4" t="b">
        <f aca="false">FALSE()</f>
        <v>0</v>
      </c>
      <c r="N47" s="4" t="b">
        <f aca="false">FALSE()</f>
        <v>0</v>
      </c>
      <c r="O47" s="4" t="b">
        <f aca="false">FALSE()</f>
        <v>0</v>
      </c>
    </row>
    <row r="48" customFormat="false" ht="15" hidden="false" customHeight="false" outlineLevel="0" collapsed="false">
      <c r="A48" s="3" t="s">
        <v>214</v>
      </c>
      <c r="B48" s="3" t="s">
        <v>215</v>
      </c>
      <c r="C48" s="3" t="s">
        <v>216</v>
      </c>
      <c r="D48" s="3" t="s">
        <v>37</v>
      </c>
      <c r="E48" s="3" t="s">
        <v>37</v>
      </c>
      <c r="F48" s="3" t="n">
        <v>5</v>
      </c>
      <c r="G48" s="3" t="s">
        <v>217</v>
      </c>
      <c r="H48" s="4" t="b">
        <f aca="false">TRUE()</f>
        <v>1</v>
      </c>
      <c r="I48" s="3" t="s">
        <v>79</v>
      </c>
      <c r="J48" s="3" t="s">
        <v>79</v>
      </c>
      <c r="K48" s="4" t="b">
        <f aca="false">TRUE()</f>
        <v>1</v>
      </c>
      <c r="L48" s="4" t="b">
        <f aca="false">FALSE()</f>
        <v>0</v>
      </c>
      <c r="M48" s="4" t="b">
        <f aca="false">TRUE()</f>
        <v>1</v>
      </c>
      <c r="N48" s="4" t="b">
        <f aca="false">FALSE()</f>
        <v>0</v>
      </c>
      <c r="O48" s="4" t="b">
        <f aca="false">FALSE()</f>
        <v>0</v>
      </c>
    </row>
    <row r="49" customFormat="false" ht="15" hidden="false" customHeight="false" outlineLevel="0" collapsed="false">
      <c r="A49" s="3" t="s">
        <v>218</v>
      </c>
      <c r="B49" s="3" t="s">
        <v>219</v>
      </c>
      <c r="C49" s="3" t="s">
        <v>220</v>
      </c>
      <c r="D49" s="3" t="s">
        <v>37</v>
      </c>
      <c r="E49" s="3" t="s">
        <v>37</v>
      </c>
      <c r="F49" s="3" t="n">
        <v>4</v>
      </c>
      <c r="G49" s="3" t="s">
        <v>221</v>
      </c>
      <c r="H49" s="4" t="b">
        <f aca="false">TRUE()</f>
        <v>1</v>
      </c>
      <c r="I49" s="3" t="s">
        <v>39</v>
      </c>
      <c r="J49" s="3" t="s">
        <v>39</v>
      </c>
      <c r="K49" s="4" t="b">
        <f aca="false">TRUE()</f>
        <v>1</v>
      </c>
      <c r="L49" s="4" t="b">
        <f aca="false">TRUE()</f>
        <v>1</v>
      </c>
      <c r="M49" s="4" t="b">
        <f aca="false">FALSE()</f>
        <v>0</v>
      </c>
      <c r="N49" s="4" t="b">
        <f aca="false">FALSE()</f>
        <v>0</v>
      </c>
      <c r="O49" s="4" t="b">
        <f aca="false">FALSE()</f>
        <v>0</v>
      </c>
    </row>
    <row r="50" customFormat="false" ht="15" hidden="false" customHeight="false" outlineLevel="0" collapsed="false">
      <c r="A50" s="3" t="s">
        <v>222</v>
      </c>
      <c r="B50" s="3" t="s">
        <v>223</v>
      </c>
      <c r="C50" s="3" t="s">
        <v>224</v>
      </c>
      <c r="D50" s="3" t="s">
        <v>20</v>
      </c>
      <c r="E50" s="3" t="s">
        <v>20</v>
      </c>
      <c r="F50" s="3" t="n">
        <v>1</v>
      </c>
      <c r="G50" s="3" t="s">
        <v>225</v>
      </c>
      <c r="H50" s="4" t="b">
        <f aca="false">TRUE()</f>
        <v>1</v>
      </c>
      <c r="I50" s="3" t="s">
        <v>22</v>
      </c>
      <c r="J50" s="3" t="s">
        <v>22</v>
      </c>
      <c r="K50" s="4" t="b">
        <f aca="false">TRUE()</f>
        <v>1</v>
      </c>
      <c r="L50" s="4" t="b">
        <f aca="false">FALSE()</f>
        <v>0</v>
      </c>
      <c r="M50" s="4" t="b">
        <f aca="false">FALSE()</f>
        <v>0</v>
      </c>
      <c r="N50" s="4" t="b">
        <f aca="false">FALSE()</f>
        <v>0</v>
      </c>
      <c r="O50" s="4" t="b">
        <f aca="false">FALSE()</f>
        <v>0</v>
      </c>
    </row>
    <row r="51" customFormat="false" ht="15" hidden="false" customHeight="false" outlineLevel="0" collapsed="false">
      <c r="A51" s="3" t="s">
        <v>226</v>
      </c>
      <c r="B51" s="3" t="s">
        <v>227</v>
      </c>
      <c r="C51" s="3" t="s">
        <v>228</v>
      </c>
      <c r="D51" s="3" t="s">
        <v>20</v>
      </c>
      <c r="E51" s="3" t="s">
        <v>20</v>
      </c>
      <c r="F51" s="3" t="n">
        <v>1</v>
      </c>
      <c r="G51" s="3" t="s">
        <v>229</v>
      </c>
      <c r="H51" s="4" t="b">
        <f aca="false">TRUE()</f>
        <v>1</v>
      </c>
      <c r="I51" s="3" t="s">
        <v>22</v>
      </c>
      <c r="J51" s="3" t="s">
        <v>22</v>
      </c>
      <c r="K51" s="4" t="b">
        <f aca="false">TRUE()</f>
        <v>1</v>
      </c>
      <c r="L51" s="4" t="b">
        <f aca="false">FALSE()</f>
        <v>0</v>
      </c>
      <c r="M51" s="4" t="b">
        <f aca="false">FALSE()</f>
        <v>0</v>
      </c>
      <c r="N51" s="4" t="b">
        <f aca="false">FALSE()</f>
        <v>0</v>
      </c>
      <c r="O51" s="4" t="b">
        <f aca="false">FALSE()</f>
        <v>0</v>
      </c>
    </row>
    <row r="52" customFormat="false" ht="15" hidden="false" customHeight="false" outlineLevel="0" collapsed="false">
      <c r="A52" s="3" t="s">
        <v>230</v>
      </c>
      <c r="B52" s="3" t="s">
        <v>231</v>
      </c>
      <c r="C52" s="3" t="s">
        <v>232</v>
      </c>
      <c r="D52" s="3" t="s">
        <v>37</v>
      </c>
      <c r="E52" s="3" t="s">
        <v>37</v>
      </c>
      <c r="F52" s="3" t="n">
        <v>4</v>
      </c>
      <c r="G52" s="3" t="s">
        <v>233</v>
      </c>
      <c r="H52" s="4" t="b">
        <f aca="false">TRUE()</f>
        <v>1</v>
      </c>
      <c r="I52" s="3" t="s">
        <v>39</v>
      </c>
      <c r="J52" s="3" t="s">
        <v>39</v>
      </c>
      <c r="K52" s="4" t="b">
        <f aca="false">TRUE()</f>
        <v>1</v>
      </c>
      <c r="L52" s="4" t="b">
        <f aca="false">TRUE()</f>
        <v>1</v>
      </c>
      <c r="M52" s="4" t="b">
        <f aca="false">FALSE()</f>
        <v>0</v>
      </c>
      <c r="N52" s="4" t="b">
        <f aca="false">FALSE()</f>
        <v>0</v>
      </c>
      <c r="O52" s="4" t="b">
        <f aca="false">FALSE()</f>
        <v>0</v>
      </c>
    </row>
    <row r="53" customFormat="false" ht="15" hidden="false" customHeight="false" outlineLevel="0" collapsed="false">
      <c r="A53" s="3" t="s">
        <v>234</v>
      </c>
      <c r="B53" s="3" t="s">
        <v>235</v>
      </c>
      <c r="C53" s="3" t="s">
        <v>236</v>
      </c>
      <c r="D53" s="3" t="s">
        <v>20</v>
      </c>
      <c r="E53" s="3" t="s">
        <v>20</v>
      </c>
      <c r="F53" s="3" t="n">
        <v>2</v>
      </c>
      <c r="G53" s="3" t="s">
        <v>237</v>
      </c>
      <c r="H53" s="4" t="b">
        <f aca="false">TRUE()</f>
        <v>1</v>
      </c>
      <c r="I53" s="3" t="s">
        <v>22</v>
      </c>
      <c r="J53" s="3" t="s">
        <v>22</v>
      </c>
      <c r="K53" s="4" t="b">
        <f aca="false">TRUE()</f>
        <v>1</v>
      </c>
      <c r="L53" s="4" t="b">
        <f aca="false">FALSE()</f>
        <v>0</v>
      </c>
      <c r="M53" s="4" t="b">
        <f aca="false">FALSE()</f>
        <v>0</v>
      </c>
      <c r="N53" s="4" t="b">
        <f aca="false">FALSE()</f>
        <v>0</v>
      </c>
      <c r="O53" s="4" t="b">
        <f aca="false">FALSE()</f>
        <v>0</v>
      </c>
    </row>
    <row r="54" customFormat="false" ht="15" hidden="false" customHeight="false" outlineLevel="0" collapsed="false">
      <c r="A54" s="3" t="s">
        <v>238</v>
      </c>
      <c r="B54" s="3" t="s">
        <v>239</v>
      </c>
      <c r="C54" s="3" t="s">
        <v>240</v>
      </c>
      <c r="D54" s="3" t="s">
        <v>20</v>
      </c>
      <c r="E54" s="3" t="s">
        <v>20</v>
      </c>
      <c r="F54" s="3" t="n">
        <v>2</v>
      </c>
      <c r="G54" s="3" t="s">
        <v>241</v>
      </c>
      <c r="H54" s="4" t="b">
        <f aca="false">TRUE()</f>
        <v>1</v>
      </c>
      <c r="I54" s="3" t="s">
        <v>22</v>
      </c>
      <c r="J54" s="3" t="s">
        <v>22</v>
      </c>
      <c r="K54" s="4" t="b">
        <f aca="false">TRUE()</f>
        <v>1</v>
      </c>
      <c r="L54" s="4" t="b">
        <f aca="false">FALSE()</f>
        <v>0</v>
      </c>
      <c r="M54" s="4" t="b">
        <f aca="false">FALSE()</f>
        <v>0</v>
      </c>
      <c r="N54" s="4" t="b">
        <f aca="false">FALSE()</f>
        <v>0</v>
      </c>
      <c r="O54" s="4" t="b">
        <f aca="false">FALSE()</f>
        <v>0</v>
      </c>
    </row>
    <row r="55" customFormat="false" ht="15" hidden="false" customHeight="false" outlineLevel="0" collapsed="false">
      <c r="A55" s="3" t="s">
        <v>242</v>
      </c>
      <c r="B55" s="3" t="s">
        <v>243</v>
      </c>
      <c r="C55" s="3" t="s">
        <v>244</v>
      </c>
      <c r="D55" s="3" t="s">
        <v>37</v>
      </c>
      <c r="E55" s="3" t="s">
        <v>37</v>
      </c>
      <c r="F55" s="3" t="n">
        <v>4</v>
      </c>
      <c r="G55" s="3" t="s">
        <v>245</v>
      </c>
      <c r="H55" s="4" t="b">
        <f aca="false">TRUE()</f>
        <v>1</v>
      </c>
      <c r="I55" s="3" t="s">
        <v>79</v>
      </c>
      <c r="J55" s="3" t="s">
        <v>79</v>
      </c>
      <c r="K55" s="4" t="b">
        <f aca="false">TRUE()</f>
        <v>1</v>
      </c>
      <c r="L55" s="4" t="b">
        <f aca="false">FALSE()</f>
        <v>0</v>
      </c>
      <c r="M55" s="4" t="b">
        <f aca="false">TRUE()</f>
        <v>1</v>
      </c>
      <c r="N55" s="4" t="b">
        <f aca="false">FALSE()</f>
        <v>0</v>
      </c>
      <c r="O55" s="4" t="b">
        <f aca="false">FALSE()</f>
        <v>0</v>
      </c>
    </row>
    <row r="56" customFormat="false" ht="45.1" hidden="false" customHeight="false" outlineLevel="0" collapsed="false">
      <c r="A56" s="3" t="s">
        <v>246</v>
      </c>
      <c r="B56" s="3" t="s">
        <v>247</v>
      </c>
      <c r="C56" s="6" t="s">
        <v>248</v>
      </c>
      <c r="D56" s="3" t="s">
        <v>37</v>
      </c>
      <c r="E56" s="3" t="s">
        <v>37</v>
      </c>
      <c r="F56" s="3" t="n">
        <v>5</v>
      </c>
      <c r="G56" s="3" t="s">
        <v>249</v>
      </c>
      <c r="H56" s="4" t="b">
        <f aca="false">TRUE()</f>
        <v>1</v>
      </c>
      <c r="I56" s="3" t="s">
        <v>39</v>
      </c>
      <c r="J56" s="3" t="s">
        <v>39</v>
      </c>
      <c r="K56" s="4" t="b">
        <f aca="false">TRUE()</f>
        <v>1</v>
      </c>
      <c r="L56" s="4" t="b">
        <f aca="false">TRUE()</f>
        <v>1</v>
      </c>
      <c r="M56" s="4" t="b">
        <f aca="false">FALSE()</f>
        <v>0</v>
      </c>
      <c r="N56" s="4" t="b">
        <f aca="false">FALSE()</f>
        <v>0</v>
      </c>
      <c r="O56" s="4" t="b">
        <f aca="false">FALSE()</f>
        <v>0</v>
      </c>
    </row>
    <row r="57" customFormat="false" ht="15" hidden="false" customHeight="false" outlineLevel="0" collapsed="false">
      <c r="A57" s="3" t="s">
        <v>250</v>
      </c>
      <c r="B57" s="3" t="s">
        <v>251</v>
      </c>
      <c r="C57" s="3" t="s">
        <v>252</v>
      </c>
      <c r="D57" s="3" t="s">
        <v>20</v>
      </c>
      <c r="E57" s="3" t="s">
        <v>20</v>
      </c>
      <c r="F57" s="3" t="n">
        <v>1</v>
      </c>
      <c r="G57" s="3" t="s">
        <v>253</v>
      </c>
      <c r="H57" s="4" t="b">
        <f aca="false">TRUE()</f>
        <v>1</v>
      </c>
      <c r="I57" s="3" t="s">
        <v>22</v>
      </c>
      <c r="J57" s="3" t="s">
        <v>22</v>
      </c>
      <c r="K57" s="4" t="b">
        <f aca="false">TRUE()</f>
        <v>1</v>
      </c>
      <c r="L57" s="4" t="b">
        <f aca="false">FALSE()</f>
        <v>0</v>
      </c>
      <c r="M57" s="4" t="b">
        <f aca="false">FALSE()</f>
        <v>0</v>
      </c>
      <c r="N57" s="4" t="b">
        <f aca="false">FALSE()</f>
        <v>0</v>
      </c>
      <c r="O57" s="4" t="b">
        <f aca="false">FALSE()</f>
        <v>0</v>
      </c>
    </row>
    <row r="58" customFormat="false" ht="15" hidden="false" customHeight="false" outlineLevel="0" collapsed="false">
      <c r="A58" s="3" t="s">
        <v>254</v>
      </c>
      <c r="B58" s="3" t="s">
        <v>255</v>
      </c>
      <c r="C58" s="3" t="s">
        <v>256</v>
      </c>
      <c r="D58" s="3" t="s">
        <v>37</v>
      </c>
      <c r="E58" s="3" t="s">
        <v>37</v>
      </c>
      <c r="F58" s="3" t="n">
        <v>5</v>
      </c>
      <c r="G58" s="3" t="s">
        <v>257</v>
      </c>
      <c r="H58" s="4" t="b">
        <f aca="false">TRUE()</f>
        <v>1</v>
      </c>
      <c r="I58" s="3" t="s">
        <v>79</v>
      </c>
      <c r="J58" s="3" t="s">
        <v>79</v>
      </c>
      <c r="K58" s="4" t="b">
        <f aca="false">TRUE()</f>
        <v>1</v>
      </c>
      <c r="L58" s="4" t="b">
        <f aca="false">FALSE()</f>
        <v>0</v>
      </c>
      <c r="M58" s="4" t="b">
        <f aca="false">TRUE()</f>
        <v>1</v>
      </c>
      <c r="N58" s="4" t="b">
        <f aca="false">FALSE()</f>
        <v>0</v>
      </c>
      <c r="O58" s="4" t="b">
        <f aca="false">FALSE()</f>
        <v>0</v>
      </c>
    </row>
    <row r="59" customFormat="false" ht="15" hidden="false" customHeight="false" outlineLevel="0" collapsed="false">
      <c r="A59" s="3" t="s">
        <v>258</v>
      </c>
      <c r="B59" s="3" t="s">
        <v>259</v>
      </c>
      <c r="C59" s="3" t="s">
        <v>260</v>
      </c>
      <c r="D59" s="3" t="s">
        <v>37</v>
      </c>
      <c r="E59" s="3" t="s">
        <v>37</v>
      </c>
      <c r="F59" s="3" t="n">
        <v>5</v>
      </c>
      <c r="G59" s="3" t="s">
        <v>261</v>
      </c>
      <c r="H59" s="4" t="b">
        <f aca="false">TRUE()</f>
        <v>1</v>
      </c>
      <c r="I59" s="3" t="s">
        <v>39</v>
      </c>
      <c r="J59" s="3" t="s">
        <v>39</v>
      </c>
      <c r="K59" s="4" t="b">
        <f aca="false">TRUE()</f>
        <v>1</v>
      </c>
      <c r="L59" s="4" t="b">
        <f aca="false">TRUE()</f>
        <v>1</v>
      </c>
      <c r="M59" s="4" t="b">
        <f aca="false">FALSE()</f>
        <v>0</v>
      </c>
      <c r="N59" s="4" t="b">
        <f aca="false">FALSE()</f>
        <v>0</v>
      </c>
      <c r="O59" s="4" t="b">
        <f aca="false">FALSE()</f>
        <v>0</v>
      </c>
    </row>
    <row r="60" customFormat="false" ht="15" hidden="false" customHeight="false" outlineLevel="0" collapsed="false">
      <c r="A60" s="3" t="s">
        <v>262</v>
      </c>
      <c r="B60" s="3" t="s">
        <v>263</v>
      </c>
      <c r="C60" s="3" t="s">
        <v>264</v>
      </c>
      <c r="D60" s="3" t="s">
        <v>37</v>
      </c>
      <c r="E60" s="3" t="s">
        <v>37</v>
      </c>
      <c r="F60" s="3" t="n">
        <v>4</v>
      </c>
      <c r="G60" s="3" t="s">
        <v>265</v>
      </c>
      <c r="H60" s="4" t="b">
        <f aca="false">TRUE()</f>
        <v>1</v>
      </c>
      <c r="I60" s="3" t="s">
        <v>39</v>
      </c>
      <c r="J60" s="3" t="s">
        <v>39</v>
      </c>
      <c r="K60" s="4" t="b">
        <f aca="false">TRUE()</f>
        <v>1</v>
      </c>
      <c r="L60" s="4" t="b">
        <f aca="false">TRUE()</f>
        <v>1</v>
      </c>
      <c r="M60" s="4" t="b">
        <f aca="false">FALSE()</f>
        <v>0</v>
      </c>
      <c r="N60" s="4" t="b">
        <f aca="false">FALSE()</f>
        <v>0</v>
      </c>
      <c r="O60" s="4" t="b">
        <f aca="false">FALSE()</f>
        <v>0</v>
      </c>
    </row>
    <row r="61" customFormat="false" ht="66.9" hidden="false" customHeight="false" outlineLevel="0" collapsed="false">
      <c r="A61" s="3" t="s">
        <v>266</v>
      </c>
      <c r="B61" s="3" t="s">
        <v>267</v>
      </c>
      <c r="C61" s="3" t="s">
        <v>268</v>
      </c>
      <c r="D61" s="3" t="s">
        <v>37</v>
      </c>
      <c r="E61" s="3" t="s">
        <v>37</v>
      </c>
      <c r="F61" s="3" t="n">
        <v>5</v>
      </c>
      <c r="G61" s="3" t="s">
        <v>269</v>
      </c>
      <c r="H61" s="4" t="b">
        <f aca="false">TRUE()</f>
        <v>1</v>
      </c>
      <c r="I61" s="3" t="s">
        <v>61</v>
      </c>
      <c r="J61" s="3" t="s">
        <v>39</v>
      </c>
      <c r="K61" s="9" t="b">
        <f aca="false">FALSE()</f>
        <v>0</v>
      </c>
      <c r="L61" s="4" t="b">
        <f aca="false">TRUE()</f>
        <v>1</v>
      </c>
      <c r="M61" s="4" t="b">
        <f aca="false">FALSE()</f>
        <v>0</v>
      </c>
      <c r="N61" s="4" t="b">
        <f aca="false">FALSE()</f>
        <v>0</v>
      </c>
      <c r="O61" s="4" t="b">
        <f aca="false">FALSE()</f>
        <v>0</v>
      </c>
      <c r="R61" s="2" t="s">
        <v>270</v>
      </c>
    </row>
    <row r="62" customFormat="false" ht="66.9" hidden="false" customHeight="false" outlineLevel="0" collapsed="false">
      <c r="A62" s="3" t="s">
        <v>271</v>
      </c>
      <c r="B62" s="3" t="s">
        <v>272</v>
      </c>
      <c r="C62" s="3" t="s">
        <v>273</v>
      </c>
      <c r="D62" s="3" t="s">
        <v>20</v>
      </c>
      <c r="E62" s="3" t="s">
        <v>37</v>
      </c>
      <c r="F62" s="3" t="n">
        <v>4</v>
      </c>
      <c r="G62" s="3" t="s">
        <v>274</v>
      </c>
      <c r="H62" s="8" t="b">
        <f aca="false">FALSE()</f>
        <v>0</v>
      </c>
      <c r="I62" s="3" t="s">
        <v>22</v>
      </c>
      <c r="J62" s="3" t="s">
        <v>39</v>
      </c>
      <c r="K62" s="4" t="b">
        <f aca="false">FALSE()</f>
        <v>0</v>
      </c>
      <c r="L62" s="4" t="b">
        <f aca="false">TRUE()</f>
        <v>1</v>
      </c>
      <c r="M62" s="4" t="b">
        <f aca="false">FALSE()</f>
        <v>0</v>
      </c>
      <c r="N62" s="4" t="b">
        <f aca="false">FALSE()</f>
        <v>0</v>
      </c>
      <c r="O62" s="4" t="b">
        <f aca="false">FALSE()</f>
        <v>0</v>
      </c>
      <c r="Q62" s="6" t="s">
        <v>275</v>
      </c>
    </row>
    <row r="63" customFormat="false" ht="15" hidden="false" customHeight="false" outlineLevel="0" collapsed="false">
      <c r="A63" s="3" t="s">
        <v>276</v>
      </c>
      <c r="B63" s="3" t="s">
        <v>277</v>
      </c>
      <c r="C63" s="3" t="s">
        <v>278</v>
      </c>
      <c r="D63" s="3" t="s">
        <v>37</v>
      </c>
      <c r="E63" s="3" t="s">
        <v>37</v>
      </c>
      <c r="F63" s="3" t="n">
        <v>4</v>
      </c>
      <c r="G63" s="3" t="s">
        <v>279</v>
      </c>
      <c r="H63" s="4" t="b">
        <f aca="false">TRUE()</f>
        <v>1</v>
      </c>
      <c r="I63" s="3" t="s">
        <v>39</v>
      </c>
      <c r="J63" s="3" t="s">
        <v>39</v>
      </c>
      <c r="K63" s="4" t="b">
        <f aca="false">TRUE()</f>
        <v>1</v>
      </c>
      <c r="L63" s="4" t="b">
        <f aca="false">TRUE()</f>
        <v>1</v>
      </c>
      <c r="M63" s="4" t="b">
        <f aca="false">FALSE()</f>
        <v>0</v>
      </c>
      <c r="N63" s="4" t="b">
        <f aca="false">FALSE()</f>
        <v>0</v>
      </c>
      <c r="O63" s="4" t="b">
        <f aca="false">FALSE()</f>
        <v>0</v>
      </c>
    </row>
    <row r="64" customFormat="false" ht="15" hidden="false" customHeight="false" outlineLevel="0" collapsed="false">
      <c r="A64" s="3" t="s">
        <v>280</v>
      </c>
      <c r="B64" s="3" t="s">
        <v>281</v>
      </c>
      <c r="C64" s="3" t="s">
        <v>282</v>
      </c>
      <c r="D64" s="3" t="s">
        <v>37</v>
      </c>
      <c r="E64" s="3" t="s">
        <v>37</v>
      </c>
      <c r="F64" s="3" t="n">
        <v>5</v>
      </c>
      <c r="G64" s="3" t="s">
        <v>283</v>
      </c>
      <c r="H64" s="4" t="b">
        <f aca="false">TRUE()</f>
        <v>1</v>
      </c>
      <c r="I64" s="3" t="s">
        <v>61</v>
      </c>
      <c r="J64" s="3" t="s">
        <v>61</v>
      </c>
      <c r="K64" s="4" t="b">
        <f aca="false">TRUE()</f>
        <v>1</v>
      </c>
      <c r="L64" s="4" t="b">
        <f aca="false">FALSE()</f>
        <v>0</v>
      </c>
      <c r="M64" s="4" t="b">
        <f aca="false">FALSE()</f>
        <v>0</v>
      </c>
      <c r="N64" s="4" t="b">
        <f aca="false">FALSE()</f>
        <v>0</v>
      </c>
      <c r="O64" s="4" t="b">
        <f aca="false">TRUE()</f>
        <v>1</v>
      </c>
    </row>
    <row r="65" customFormat="false" ht="15" hidden="false" customHeight="false" outlineLevel="0" collapsed="false">
      <c r="A65" s="3" t="s">
        <v>284</v>
      </c>
      <c r="B65" s="3" t="s">
        <v>285</v>
      </c>
      <c r="C65" s="3" t="s">
        <v>286</v>
      </c>
      <c r="D65" s="3" t="s">
        <v>20</v>
      </c>
      <c r="E65" s="3" t="s">
        <v>20</v>
      </c>
      <c r="F65" s="3" t="n">
        <v>1</v>
      </c>
      <c r="G65" s="3" t="s">
        <v>287</v>
      </c>
      <c r="H65" s="4" t="b">
        <f aca="false">TRUE()</f>
        <v>1</v>
      </c>
      <c r="I65" s="3" t="s">
        <v>22</v>
      </c>
      <c r="J65" s="3" t="s">
        <v>22</v>
      </c>
      <c r="K65" s="4" t="b">
        <f aca="false">TRUE()</f>
        <v>1</v>
      </c>
      <c r="L65" s="4" t="b">
        <f aca="false">FALSE()</f>
        <v>0</v>
      </c>
      <c r="M65" s="4" t="b">
        <f aca="false">FALSE()</f>
        <v>0</v>
      </c>
      <c r="N65" s="4" t="b">
        <f aca="false">FALSE()</f>
        <v>0</v>
      </c>
      <c r="O65" s="4" t="b">
        <f aca="false">FALSE()</f>
        <v>0</v>
      </c>
    </row>
    <row r="66" customFormat="false" ht="15" hidden="false" customHeight="false" outlineLevel="0" collapsed="false">
      <c r="A66" s="3" t="s">
        <v>288</v>
      </c>
      <c r="B66" s="3" t="s">
        <v>289</v>
      </c>
      <c r="C66" s="3" t="s">
        <v>290</v>
      </c>
      <c r="D66" s="3" t="s">
        <v>20</v>
      </c>
      <c r="E66" s="3" t="s">
        <v>20</v>
      </c>
      <c r="F66" s="3" t="n">
        <v>1</v>
      </c>
      <c r="G66" s="3" t="s">
        <v>291</v>
      </c>
      <c r="H66" s="4" t="b">
        <f aca="false">TRUE()</f>
        <v>1</v>
      </c>
      <c r="I66" s="3" t="s">
        <v>22</v>
      </c>
      <c r="J66" s="3" t="s">
        <v>22</v>
      </c>
      <c r="K66" s="4" t="b">
        <f aca="false">TRUE()</f>
        <v>1</v>
      </c>
      <c r="L66" s="4" t="b">
        <f aca="false">FALSE()</f>
        <v>0</v>
      </c>
      <c r="M66" s="4" t="b">
        <f aca="false">FALSE()</f>
        <v>0</v>
      </c>
      <c r="N66" s="4" t="b">
        <f aca="false">FALSE()</f>
        <v>0</v>
      </c>
      <c r="O66" s="4" t="b">
        <f aca="false">FALSE()</f>
        <v>0</v>
      </c>
    </row>
    <row r="67" customFormat="false" ht="15" hidden="false" customHeight="false" outlineLevel="0" collapsed="false">
      <c r="A67" s="3" t="s">
        <v>292</v>
      </c>
      <c r="B67" s="3" t="s">
        <v>293</v>
      </c>
      <c r="C67" s="3" t="s">
        <v>294</v>
      </c>
      <c r="D67" s="3" t="s">
        <v>37</v>
      </c>
      <c r="E67" s="3" t="s">
        <v>37</v>
      </c>
      <c r="F67" s="3" t="n">
        <v>5</v>
      </c>
      <c r="G67" s="3" t="s">
        <v>295</v>
      </c>
      <c r="H67" s="4" t="b">
        <f aca="false">TRUE()</f>
        <v>1</v>
      </c>
      <c r="I67" s="3" t="s">
        <v>66</v>
      </c>
      <c r="J67" s="3" t="s">
        <v>66</v>
      </c>
      <c r="K67" s="4" t="b">
        <f aca="false">TRUE()</f>
        <v>1</v>
      </c>
      <c r="L67" s="4" t="b">
        <f aca="false">FALSE()</f>
        <v>0</v>
      </c>
      <c r="M67" s="4" t="b">
        <f aca="false">FALSE()</f>
        <v>0</v>
      </c>
      <c r="N67" s="4" t="b">
        <f aca="false">TRUE()</f>
        <v>1</v>
      </c>
      <c r="O67" s="4" t="b">
        <f aca="false">FALSE()</f>
        <v>0</v>
      </c>
    </row>
    <row r="68" customFormat="false" ht="15" hidden="false" customHeight="false" outlineLevel="0" collapsed="false">
      <c r="A68" s="3" t="s">
        <v>296</v>
      </c>
      <c r="B68" s="3" t="s">
        <v>297</v>
      </c>
      <c r="C68" s="3" t="s">
        <v>298</v>
      </c>
      <c r="D68" s="3" t="s">
        <v>20</v>
      </c>
      <c r="E68" s="3" t="s">
        <v>20</v>
      </c>
      <c r="F68" s="3" t="n">
        <v>5</v>
      </c>
      <c r="G68" s="3" t="s">
        <v>299</v>
      </c>
      <c r="H68" s="4" t="b">
        <f aca="false">TRUE()</f>
        <v>1</v>
      </c>
      <c r="I68" s="3" t="s">
        <v>22</v>
      </c>
      <c r="J68" s="3" t="s">
        <v>22</v>
      </c>
      <c r="K68" s="4" t="b">
        <f aca="false">TRUE()</f>
        <v>1</v>
      </c>
      <c r="L68" s="4" t="b">
        <f aca="false">FALSE()</f>
        <v>0</v>
      </c>
      <c r="M68" s="4" t="b">
        <f aca="false">FALSE()</f>
        <v>0</v>
      </c>
      <c r="N68" s="4" t="b">
        <f aca="false">FALSE()</f>
        <v>0</v>
      </c>
      <c r="O68" s="4" t="b">
        <f aca="false">FALSE()</f>
        <v>0</v>
      </c>
    </row>
    <row r="69" customFormat="false" ht="15" hidden="false" customHeight="false" outlineLevel="0" collapsed="false">
      <c r="A69" s="3" t="s">
        <v>300</v>
      </c>
      <c r="B69" s="3" t="s">
        <v>301</v>
      </c>
      <c r="C69" s="3" t="s">
        <v>302</v>
      </c>
      <c r="D69" s="3" t="s">
        <v>37</v>
      </c>
      <c r="E69" s="3" t="s">
        <v>37</v>
      </c>
      <c r="F69" s="3" t="n">
        <v>5</v>
      </c>
      <c r="G69" s="3" t="s">
        <v>303</v>
      </c>
      <c r="H69" s="4" t="b">
        <f aca="false">TRUE()</f>
        <v>1</v>
      </c>
      <c r="I69" s="3" t="s">
        <v>39</v>
      </c>
      <c r="J69" s="3" t="s">
        <v>39</v>
      </c>
      <c r="K69" s="4" t="b">
        <f aca="false">TRUE()</f>
        <v>1</v>
      </c>
      <c r="L69" s="4" t="b">
        <f aca="false">TRUE()</f>
        <v>1</v>
      </c>
      <c r="M69" s="4" t="b">
        <f aca="false">FALSE()</f>
        <v>0</v>
      </c>
      <c r="N69" s="4" t="b">
        <f aca="false">FALSE()</f>
        <v>0</v>
      </c>
      <c r="O69" s="4" t="b">
        <f aca="false">FALSE()</f>
        <v>0</v>
      </c>
    </row>
    <row r="70" customFormat="false" ht="15" hidden="false" customHeight="false" outlineLevel="0" collapsed="false">
      <c r="A70" s="3" t="s">
        <v>304</v>
      </c>
      <c r="B70" s="3" t="s">
        <v>305</v>
      </c>
      <c r="C70" s="3" t="s">
        <v>306</v>
      </c>
      <c r="D70" s="3" t="s">
        <v>37</v>
      </c>
      <c r="E70" s="3" t="s">
        <v>37</v>
      </c>
      <c r="F70" s="3" t="n">
        <v>5</v>
      </c>
      <c r="G70" s="3" t="s">
        <v>307</v>
      </c>
      <c r="H70" s="4" t="b">
        <f aca="false">TRUE()</f>
        <v>1</v>
      </c>
      <c r="I70" s="3" t="s">
        <v>39</v>
      </c>
      <c r="J70" s="3" t="s">
        <v>39</v>
      </c>
      <c r="K70" s="4" t="b">
        <f aca="false">TRUE()</f>
        <v>1</v>
      </c>
      <c r="L70" s="4" t="b">
        <f aca="false">TRUE()</f>
        <v>1</v>
      </c>
      <c r="M70" s="4" t="b">
        <f aca="false">FALSE()</f>
        <v>0</v>
      </c>
      <c r="N70" s="4" t="b">
        <f aca="false">FALSE()</f>
        <v>0</v>
      </c>
      <c r="O70" s="4" t="b">
        <f aca="false">FALSE()</f>
        <v>0</v>
      </c>
    </row>
    <row r="71" customFormat="false" ht="15" hidden="false" customHeight="false" outlineLevel="0" collapsed="false">
      <c r="A71" s="3" t="s">
        <v>308</v>
      </c>
      <c r="B71" s="3" t="s">
        <v>309</v>
      </c>
      <c r="C71" s="3" t="s">
        <v>310</v>
      </c>
      <c r="D71" s="3" t="s">
        <v>37</v>
      </c>
      <c r="E71" s="3" t="s">
        <v>37</v>
      </c>
      <c r="F71" s="3" t="n">
        <v>4</v>
      </c>
      <c r="G71" s="3" t="s">
        <v>311</v>
      </c>
      <c r="H71" s="4" t="b">
        <f aca="false">TRUE()</f>
        <v>1</v>
      </c>
      <c r="I71" s="3" t="s">
        <v>39</v>
      </c>
      <c r="J71" s="3" t="s">
        <v>39</v>
      </c>
      <c r="K71" s="4" t="b">
        <f aca="false">TRUE()</f>
        <v>1</v>
      </c>
      <c r="L71" s="4" t="b">
        <f aca="false">TRUE()</f>
        <v>1</v>
      </c>
      <c r="M71" s="4" t="b">
        <f aca="false">FALSE()</f>
        <v>0</v>
      </c>
      <c r="N71" s="4" t="b">
        <f aca="false">FALSE()</f>
        <v>0</v>
      </c>
      <c r="O71" s="4" t="b">
        <f aca="false">FALSE()</f>
        <v>0</v>
      </c>
    </row>
    <row r="72" customFormat="false" ht="66.9" hidden="false" customHeight="false" outlineLevel="0" collapsed="false">
      <c r="A72" s="3" t="s">
        <v>312</v>
      </c>
      <c r="B72" s="3" t="s">
        <v>313</v>
      </c>
      <c r="C72" s="3" t="s">
        <v>314</v>
      </c>
      <c r="D72" s="3" t="s">
        <v>37</v>
      </c>
      <c r="E72" s="3" t="s">
        <v>37</v>
      </c>
      <c r="F72" s="3" t="n">
        <v>4</v>
      </c>
      <c r="G72" s="3" t="s">
        <v>315</v>
      </c>
      <c r="H72" s="4" t="b">
        <f aca="false">TRUE()</f>
        <v>1</v>
      </c>
      <c r="I72" s="3" t="s">
        <v>61</v>
      </c>
      <c r="J72" s="3" t="s">
        <v>39</v>
      </c>
      <c r="K72" s="9" t="b">
        <f aca="false">FALSE()</f>
        <v>0</v>
      </c>
      <c r="L72" s="4" t="b">
        <f aca="false">TRUE()</f>
        <v>1</v>
      </c>
      <c r="M72" s="4" t="b">
        <f aca="false">FALSE()</f>
        <v>0</v>
      </c>
      <c r="N72" s="4" t="b">
        <f aca="false">FALSE()</f>
        <v>0</v>
      </c>
      <c r="O72" s="4" t="b">
        <f aca="false">FALSE()</f>
        <v>0</v>
      </c>
      <c r="R72" s="2" t="s">
        <v>270</v>
      </c>
    </row>
    <row r="73" customFormat="false" ht="15" hidden="false" customHeight="false" outlineLevel="0" collapsed="false">
      <c r="A73" s="3" t="s">
        <v>316</v>
      </c>
      <c r="B73" s="3" t="s">
        <v>317</v>
      </c>
      <c r="C73" s="3" t="s">
        <v>318</v>
      </c>
      <c r="D73" s="3" t="s">
        <v>20</v>
      </c>
      <c r="E73" s="3" t="s">
        <v>20</v>
      </c>
      <c r="F73" s="3" t="n">
        <v>2</v>
      </c>
      <c r="G73" s="3" t="s">
        <v>319</v>
      </c>
      <c r="H73" s="4" t="b">
        <f aca="false">TRUE()</f>
        <v>1</v>
      </c>
      <c r="I73" s="3" t="s">
        <v>22</v>
      </c>
      <c r="J73" s="3" t="s">
        <v>22</v>
      </c>
      <c r="K73" s="4" t="b">
        <f aca="false">TRUE()</f>
        <v>1</v>
      </c>
      <c r="L73" s="4" t="b">
        <f aca="false">FALSE()</f>
        <v>0</v>
      </c>
      <c r="M73" s="4" t="b">
        <f aca="false">FALSE()</f>
        <v>0</v>
      </c>
      <c r="N73" s="4" t="b">
        <f aca="false">FALSE()</f>
        <v>0</v>
      </c>
      <c r="O73" s="4" t="b">
        <f aca="false">FALSE()</f>
        <v>0</v>
      </c>
    </row>
    <row r="74" customFormat="false" ht="15" hidden="false" customHeight="false" outlineLevel="0" collapsed="false">
      <c r="A74" s="3" t="s">
        <v>320</v>
      </c>
      <c r="B74" s="3" t="s">
        <v>321</v>
      </c>
      <c r="C74" s="3" t="s">
        <v>322</v>
      </c>
      <c r="D74" s="3" t="s">
        <v>20</v>
      </c>
      <c r="E74" s="3" t="s">
        <v>20</v>
      </c>
      <c r="F74" s="3" t="n">
        <v>2</v>
      </c>
      <c r="G74" s="3" t="s">
        <v>323</v>
      </c>
      <c r="H74" s="4" t="b">
        <f aca="false">TRUE()</f>
        <v>1</v>
      </c>
      <c r="I74" s="3" t="s">
        <v>22</v>
      </c>
      <c r="J74" s="3" t="s">
        <v>22</v>
      </c>
      <c r="K74" s="4" t="b">
        <f aca="false">TRUE()</f>
        <v>1</v>
      </c>
      <c r="L74" s="4" t="b">
        <f aca="false">FALSE()</f>
        <v>0</v>
      </c>
      <c r="M74" s="4" t="b">
        <f aca="false">FALSE()</f>
        <v>0</v>
      </c>
      <c r="N74" s="4" t="b">
        <f aca="false">FALSE()</f>
        <v>0</v>
      </c>
      <c r="O74" s="4" t="b">
        <f aca="false">FALSE()</f>
        <v>0</v>
      </c>
    </row>
    <row r="75" customFormat="false" ht="15" hidden="false" customHeight="false" outlineLevel="0" collapsed="false">
      <c r="A75" s="3" t="s">
        <v>324</v>
      </c>
      <c r="B75" s="3" t="s">
        <v>325</v>
      </c>
      <c r="C75" s="3" t="s">
        <v>326</v>
      </c>
      <c r="D75" s="3" t="s">
        <v>37</v>
      </c>
      <c r="E75" s="3" t="s">
        <v>37</v>
      </c>
      <c r="F75" s="3" t="n">
        <v>5</v>
      </c>
      <c r="G75" s="3" t="s">
        <v>327</v>
      </c>
      <c r="H75" s="4" t="b">
        <f aca="false">TRUE()</f>
        <v>1</v>
      </c>
      <c r="I75" s="3" t="s">
        <v>39</v>
      </c>
      <c r="J75" s="3" t="s">
        <v>39</v>
      </c>
      <c r="K75" s="4" t="b">
        <f aca="false">TRUE()</f>
        <v>1</v>
      </c>
      <c r="L75" s="4" t="b">
        <f aca="false">TRUE()</f>
        <v>1</v>
      </c>
      <c r="M75" s="4" t="b">
        <f aca="false">FALSE()</f>
        <v>0</v>
      </c>
      <c r="N75" s="4" t="b">
        <f aca="false">FALSE()</f>
        <v>0</v>
      </c>
      <c r="O75" s="4" t="b">
        <f aca="false">FALSE()</f>
        <v>0</v>
      </c>
    </row>
    <row r="76" customFormat="false" ht="15" hidden="false" customHeight="false" outlineLevel="0" collapsed="false">
      <c r="A76" s="3" t="s">
        <v>328</v>
      </c>
      <c r="B76" s="3" t="s">
        <v>329</v>
      </c>
      <c r="C76" s="3" t="s">
        <v>330</v>
      </c>
      <c r="D76" s="3" t="s">
        <v>37</v>
      </c>
      <c r="E76" s="3" t="s">
        <v>37</v>
      </c>
      <c r="F76" s="3" t="n">
        <v>5</v>
      </c>
      <c r="G76" s="3" t="s">
        <v>331</v>
      </c>
      <c r="H76" s="4" t="b">
        <f aca="false">TRUE()</f>
        <v>1</v>
      </c>
      <c r="I76" s="3" t="s">
        <v>66</v>
      </c>
      <c r="J76" s="3" t="s">
        <v>66</v>
      </c>
      <c r="K76" s="4" t="b">
        <f aca="false">TRUE()</f>
        <v>1</v>
      </c>
      <c r="L76" s="4" t="b">
        <f aca="false">FALSE()</f>
        <v>0</v>
      </c>
      <c r="M76" s="4" t="b">
        <f aca="false">FALSE()</f>
        <v>0</v>
      </c>
      <c r="N76" s="4" t="b">
        <f aca="false">TRUE()</f>
        <v>1</v>
      </c>
      <c r="O76" s="4" t="b">
        <f aca="false">FALSE()</f>
        <v>0</v>
      </c>
    </row>
    <row r="77" customFormat="false" ht="15" hidden="false" customHeight="false" outlineLevel="0" collapsed="false">
      <c r="A77" s="3" t="s">
        <v>332</v>
      </c>
      <c r="B77" s="3" t="s">
        <v>333</v>
      </c>
      <c r="C77" s="3" t="s">
        <v>334</v>
      </c>
      <c r="D77" s="3" t="s">
        <v>20</v>
      </c>
      <c r="E77" s="3" t="s">
        <v>20</v>
      </c>
      <c r="F77" s="3" t="n">
        <v>2</v>
      </c>
      <c r="G77" s="3" t="s">
        <v>335</v>
      </c>
      <c r="H77" s="4" t="b">
        <f aca="false">TRUE()</f>
        <v>1</v>
      </c>
      <c r="I77" s="3" t="s">
        <v>22</v>
      </c>
      <c r="J77" s="3" t="s">
        <v>22</v>
      </c>
      <c r="K77" s="4" t="b">
        <f aca="false">TRUE()</f>
        <v>1</v>
      </c>
      <c r="L77" s="4" t="b">
        <f aca="false">FALSE()</f>
        <v>0</v>
      </c>
      <c r="M77" s="4" t="b">
        <f aca="false">FALSE()</f>
        <v>0</v>
      </c>
      <c r="N77" s="4" t="b">
        <f aca="false">FALSE()</f>
        <v>0</v>
      </c>
      <c r="O77" s="4" t="b">
        <f aca="false">FALSE()</f>
        <v>0</v>
      </c>
    </row>
    <row r="78" customFormat="false" ht="23.3" hidden="false" customHeight="false" outlineLevel="0" collapsed="false">
      <c r="A78" s="3" t="s">
        <v>336</v>
      </c>
      <c r="B78" s="3" t="s">
        <v>337</v>
      </c>
      <c r="C78" s="3" t="s">
        <v>338</v>
      </c>
      <c r="D78" s="3" t="s">
        <v>37</v>
      </c>
      <c r="E78" s="3" t="s">
        <v>37</v>
      </c>
      <c r="F78" s="3" t="n">
        <v>3</v>
      </c>
      <c r="G78" s="3" t="s">
        <v>339</v>
      </c>
      <c r="H78" s="4" t="b">
        <f aca="false">TRUE()</f>
        <v>1</v>
      </c>
      <c r="I78" s="3" t="s">
        <v>66</v>
      </c>
      <c r="J78" s="3" t="s">
        <v>61</v>
      </c>
      <c r="K78" s="8" t="b">
        <f aca="false">FALSE()</f>
        <v>0</v>
      </c>
      <c r="L78" s="4" t="b">
        <f aca="false">FALSE()</f>
        <v>0</v>
      </c>
      <c r="M78" s="4" t="b">
        <f aca="false">FALSE()</f>
        <v>0</v>
      </c>
      <c r="N78" s="4" t="b">
        <f aca="false">TRUE()</f>
        <v>1</v>
      </c>
      <c r="O78" s="4" t="b">
        <f aca="false">TRUE()</f>
        <v>1</v>
      </c>
      <c r="R78" s="6" t="s">
        <v>340</v>
      </c>
    </row>
    <row r="79" customFormat="false" ht="15" hidden="false" customHeight="false" outlineLevel="0" collapsed="false">
      <c r="A79" s="3" t="s">
        <v>341</v>
      </c>
      <c r="B79" s="3" t="s">
        <v>342</v>
      </c>
      <c r="C79" s="3" t="s">
        <v>343</v>
      </c>
      <c r="D79" s="3" t="s">
        <v>37</v>
      </c>
      <c r="E79" s="3" t="s">
        <v>37</v>
      </c>
      <c r="F79" s="3" t="n">
        <v>5</v>
      </c>
      <c r="G79" s="3" t="s">
        <v>344</v>
      </c>
      <c r="H79" s="4" t="b">
        <f aca="false">TRUE()</f>
        <v>1</v>
      </c>
      <c r="I79" s="3" t="s">
        <v>39</v>
      </c>
      <c r="J79" s="3" t="s">
        <v>39</v>
      </c>
      <c r="K79" s="4" t="b">
        <f aca="false">TRUE()</f>
        <v>1</v>
      </c>
      <c r="L79" s="4" t="b">
        <f aca="false">TRUE()</f>
        <v>1</v>
      </c>
      <c r="M79" s="4" t="b">
        <f aca="false">FALSE()</f>
        <v>0</v>
      </c>
      <c r="N79" s="4" t="b">
        <f aca="false">FALSE()</f>
        <v>0</v>
      </c>
      <c r="O79" s="4" t="b">
        <f aca="false">FALSE()</f>
        <v>0</v>
      </c>
    </row>
    <row r="80" customFormat="false" ht="15" hidden="false" customHeight="false" outlineLevel="0" collapsed="false">
      <c r="A80" s="3" t="s">
        <v>345</v>
      </c>
      <c r="B80" s="3" t="s">
        <v>346</v>
      </c>
      <c r="C80" s="3" t="s">
        <v>347</v>
      </c>
      <c r="D80" s="3" t="s">
        <v>37</v>
      </c>
      <c r="E80" s="3" t="s">
        <v>37</v>
      </c>
      <c r="F80" s="3" t="n">
        <v>5</v>
      </c>
      <c r="G80" s="3" t="s">
        <v>348</v>
      </c>
      <c r="H80" s="4" t="b">
        <f aca="false">TRUE()</f>
        <v>1</v>
      </c>
      <c r="I80" s="3" t="s">
        <v>39</v>
      </c>
      <c r="J80" s="3" t="s">
        <v>39</v>
      </c>
      <c r="K80" s="4" t="b">
        <f aca="false">TRUE()</f>
        <v>1</v>
      </c>
      <c r="L80" s="4" t="b">
        <f aca="false">TRUE()</f>
        <v>1</v>
      </c>
      <c r="M80" s="4" t="b">
        <f aca="false">FALSE()</f>
        <v>0</v>
      </c>
      <c r="N80" s="4" t="b">
        <f aca="false">FALSE()</f>
        <v>0</v>
      </c>
      <c r="O80" s="4" t="b">
        <f aca="false">FALSE()</f>
        <v>0</v>
      </c>
    </row>
    <row r="81" customFormat="false" ht="15" hidden="false" customHeight="false" outlineLevel="0" collapsed="false">
      <c r="A81" s="3" t="s">
        <v>349</v>
      </c>
      <c r="B81" s="3" t="s">
        <v>350</v>
      </c>
      <c r="C81" s="3" t="s">
        <v>351</v>
      </c>
      <c r="D81" s="3" t="s">
        <v>37</v>
      </c>
      <c r="E81" s="3" t="s">
        <v>37</v>
      </c>
      <c r="F81" s="3" t="n">
        <v>5</v>
      </c>
      <c r="G81" s="3" t="s">
        <v>352</v>
      </c>
      <c r="H81" s="4" t="b">
        <f aca="false">TRUE()</f>
        <v>1</v>
      </c>
      <c r="I81" s="3" t="s">
        <v>79</v>
      </c>
      <c r="J81" s="3" t="s">
        <v>79</v>
      </c>
      <c r="K81" s="4" t="b">
        <f aca="false">TRUE()</f>
        <v>1</v>
      </c>
      <c r="L81" s="4" t="b">
        <f aca="false">FALSE()</f>
        <v>0</v>
      </c>
      <c r="M81" s="4" t="b">
        <f aca="false">TRUE()</f>
        <v>1</v>
      </c>
      <c r="N81" s="4" t="b">
        <f aca="false">FALSE()</f>
        <v>0</v>
      </c>
      <c r="O81" s="4" t="b">
        <f aca="false">FALSE()</f>
        <v>0</v>
      </c>
    </row>
    <row r="82" customFormat="false" ht="15" hidden="false" customHeight="false" outlineLevel="0" collapsed="false">
      <c r="A82" s="3" t="s">
        <v>353</v>
      </c>
      <c r="B82" s="3" t="s">
        <v>354</v>
      </c>
      <c r="C82" s="3" t="s">
        <v>355</v>
      </c>
      <c r="D82" s="3" t="s">
        <v>20</v>
      </c>
      <c r="E82" s="3" t="s">
        <v>20</v>
      </c>
      <c r="F82" s="3" t="n">
        <v>2</v>
      </c>
      <c r="G82" s="3" t="s">
        <v>356</v>
      </c>
      <c r="H82" s="4" t="b">
        <f aca="false">TRUE()</f>
        <v>1</v>
      </c>
      <c r="I82" s="3" t="s">
        <v>22</v>
      </c>
      <c r="J82" s="3" t="s">
        <v>22</v>
      </c>
      <c r="K82" s="4" t="b">
        <f aca="false">TRUE()</f>
        <v>1</v>
      </c>
      <c r="L82" s="4" t="b">
        <f aca="false">FALSE()</f>
        <v>0</v>
      </c>
      <c r="M82" s="4" t="b">
        <f aca="false">FALSE()</f>
        <v>0</v>
      </c>
      <c r="N82" s="4" t="b">
        <f aca="false">FALSE()</f>
        <v>0</v>
      </c>
      <c r="O82" s="4" t="b">
        <f aca="false">FALSE()</f>
        <v>0</v>
      </c>
    </row>
    <row r="83" customFormat="false" ht="15" hidden="false" customHeight="false" outlineLevel="0" collapsed="false">
      <c r="A83" s="3" t="s">
        <v>357</v>
      </c>
      <c r="B83" s="3" t="s">
        <v>358</v>
      </c>
      <c r="C83" s="3" t="s">
        <v>359</v>
      </c>
      <c r="D83" s="3" t="s">
        <v>37</v>
      </c>
      <c r="E83" s="3" t="s">
        <v>37</v>
      </c>
      <c r="F83" s="3" t="n">
        <v>5</v>
      </c>
      <c r="G83" s="3" t="s">
        <v>360</v>
      </c>
      <c r="H83" s="4" t="b">
        <f aca="false">TRUE()</f>
        <v>1</v>
      </c>
      <c r="I83" s="3" t="s">
        <v>66</v>
      </c>
      <c r="J83" s="3" t="s">
        <v>66</v>
      </c>
      <c r="K83" s="4" t="b">
        <f aca="false">TRUE()</f>
        <v>1</v>
      </c>
      <c r="L83" s="4" t="b">
        <f aca="false">FALSE()</f>
        <v>0</v>
      </c>
      <c r="M83" s="4" t="b">
        <f aca="false">FALSE()</f>
        <v>0</v>
      </c>
      <c r="N83" s="4" t="b">
        <f aca="false">TRUE()</f>
        <v>1</v>
      </c>
      <c r="O83" s="4" t="b">
        <f aca="false">FALSE()</f>
        <v>0</v>
      </c>
    </row>
    <row r="84" customFormat="false" ht="15" hidden="false" customHeight="false" outlineLevel="0" collapsed="false">
      <c r="A84" s="3" t="s">
        <v>361</v>
      </c>
      <c r="B84" s="3" t="s">
        <v>362</v>
      </c>
      <c r="C84" s="3" t="s">
        <v>363</v>
      </c>
      <c r="D84" s="3" t="s">
        <v>37</v>
      </c>
      <c r="E84" s="3" t="s">
        <v>37</v>
      </c>
      <c r="F84" s="3" t="n">
        <v>5</v>
      </c>
      <c r="G84" s="3" t="s">
        <v>364</v>
      </c>
      <c r="H84" s="4" t="b">
        <f aca="false">TRUE()</f>
        <v>1</v>
      </c>
      <c r="I84" s="3" t="s">
        <v>61</v>
      </c>
      <c r="J84" s="3" t="s">
        <v>61</v>
      </c>
      <c r="K84" s="4" t="b">
        <f aca="false">TRUE()</f>
        <v>1</v>
      </c>
      <c r="L84" s="4" t="b">
        <f aca="false">FALSE()</f>
        <v>0</v>
      </c>
      <c r="M84" s="4" t="b">
        <f aca="false">FALSE()</f>
        <v>0</v>
      </c>
      <c r="N84" s="4" t="b">
        <f aca="false">TRUE()</f>
        <v>1</v>
      </c>
      <c r="O84" s="4" t="b">
        <f aca="false">TRUE()</f>
        <v>1</v>
      </c>
    </row>
    <row r="85" customFormat="false" ht="15" hidden="false" customHeight="false" outlineLevel="0" collapsed="false">
      <c r="A85" s="3" t="s">
        <v>365</v>
      </c>
      <c r="B85" s="3" t="s">
        <v>366</v>
      </c>
      <c r="C85" s="3" t="s">
        <v>367</v>
      </c>
      <c r="D85" s="3" t="s">
        <v>37</v>
      </c>
      <c r="E85" s="3" t="s">
        <v>37</v>
      </c>
      <c r="F85" s="3" t="n">
        <v>5</v>
      </c>
      <c r="G85" s="3" t="s">
        <v>368</v>
      </c>
      <c r="H85" s="4" t="b">
        <f aca="false">TRUE()</f>
        <v>1</v>
      </c>
      <c r="I85" s="3" t="s">
        <v>39</v>
      </c>
      <c r="J85" s="3" t="s">
        <v>39</v>
      </c>
      <c r="K85" s="4" t="b">
        <f aca="false">TRUE()</f>
        <v>1</v>
      </c>
      <c r="L85" s="4" t="b">
        <f aca="false">TRUE()</f>
        <v>1</v>
      </c>
      <c r="M85" s="4" t="b">
        <f aca="false">FALSE()</f>
        <v>0</v>
      </c>
      <c r="N85" s="4" t="b">
        <f aca="false">FALSE()</f>
        <v>0</v>
      </c>
      <c r="O85" s="4" t="b">
        <f aca="false">FALSE()</f>
        <v>0</v>
      </c>
    </row>
    <row r="86" customFormat="false" ht="15" hidden="false" customHeight="false" outlineLevel="0" collapsed="false">
      <c r="A86" s="3" t="s">
        <v>369</v>
      </c>
      <c r="B86" s="3" t="s">
        <v>370</v>
      </c>
      <c r="C86" s="3" t="s">
        <v>371</v>
      </c>
      <c r="D86" s="3" t="s">
        <v>37</v>
      </c>
      <c r="E86" s="3" t="s">
        <v>37</v>
      </c>
      <c r="F86" s="3" t="n">
        <v>5</v>
      </c>
      <c r="G86" s="3" t="s">
        <v>372</v>
      </c>
      <c r="H86" s="4" t="b">
        <f aca="false">TRUE()</f>
        <v>1</v>
      </c>
      <c r="I86" s="3" t="s">
        <v>79</v>
      </c>
      <c r="J86" s="3" t="s">
        <v>79</v>
      </c>
      <c r="K86" s="4" t="b">
        <f aca="false">TRUE()</f>
        <v>1</v>
      </c>
      <c r="L86" s="4" t="b">
        <f aca="false">FALSE()</f>
        <v>0</v>
      </c>
      <c r="M86" s="4" t="b">
        <f aca="false">TRUE()</f>
        <v>1</v>
      </c>
      <c r="N86" s="4" t="b">
        <f aca="false">FALSE()</f>
        <v>0</v>
      </c>
      <c r="O86" s="4" t="b">
        <f aca="false">FALSE()</f>
        <v>0</v>
      </c>
    </row>
    <row r="87" customFormat="false" ht="15" hidden="false" customHeight="false" outlineLevel="0" collapsed="false">
      <c r="A87" s="3" t="s">
        <v>373</v>
      </c>
      <c r="B87" s="3" t="s">
        <v>374</v>
      </c>
      <c r="C87" s="3" t="s">
        <v>375</v>
      </c>
      <c r="D87" s="3" t="s">
        <v>20</v>
      </c>
      <c r="E87" s="3" t="s">
        <v>20</v>
      </c>
      <c r="F87" s="3" t="n">
        <v>2</v>
      </c>
      <c r="G87" s="3" t="s">
        <v>376</v>
      </c>
      <c r="H87" s="4" t="b">
        <f aca="false">TRUE()</f>
        <v>1</v>
      </c>
      <c r="I87" s="3" t="s">
        <v>22</v>
      </c>
      <c r="J87" s="3" t="s">
        <v>22</v>
      </c>
      <c r="K87" s="4" t="b">
        <f aca="false">TRUE()</f>
        <v>1</v>
      </c>
      <c r="L87" s="4" t="b">
        <f aca="false">FALSE()</f>
        <v>0</v>
      </c>
      <c r="M87" s="4" t="b">
        <f aca="false">FALSE()</f>
        <v>0</v>
      </c>
      <c r="N87" s="4" t="b">
        <f aca="false">FALSE()</f>
        <v>0</v>
      </c>
      <c r="O87" s="4" t="b">
        <f aca="false">FALSE()</f>
        <v>0</v>
      </c>
    </row>
    <row r="88" customFormat="false" ht="15" hidden="false" customHeight="false" outlineLevel="0" collapsed="false">
      <c r="A88" s="3" t="s">
        <v>377</v>
      </c>
      <c r="B88" s="3" t="s">
        <v>378</v>
      </c>
      <c r="C88" s="3" t="s">
        <v>379</v>
      </c>
      <c r="D88" s="3" t="s">
        <v>20</v>
      </c>
      <c r="E88" s="3" t="s">
        <v>20</v>
      </c>
      <c r="F88" s="3" t="n">
        <v>1</v>
      </c>
      <c r="G88" s="3" t="s">
        <v>380</v>
      </c>
      <c r="H88" s="4" t="b">
        <f aca="false">TRUE()</f>
        <v>1</v>
      </c>
      <c r="I88" s="3" t="s">
        <v>22</v>
      </c>
      <c r="J88" s="3" t="s">
        <v>22</v>
      </c>
      <c r="K88" s="4" t="b">
        <f aca="false">TRUE()</f>
        <v>1</v>
      </c>
      <c r="L88" s="4" t="b">
        <f aca="false">FALSE()</f>
        <v>0</v>
      </c>
      <c r="M88" s="4" t="b">
        <f aca="false">FALSE()</f>
        <v>0</v>
      </c>
      <c r="N88" s="4" t="b">
        <f aca="false">FALSE()</f>
        <v>0</v>
      </c>
      <c r="O88" s="4" t="b">
        <f aca="false">FALSE()</f>
        <v>0</v>
      </c>
    </row>
    <row r="89" customFormat="false" ht="15" hidden="false" customHeight="false" outlineLevel="0" collapsed="false">
      <c r="A89" s="3" t="s">
        <v>381</v>
      </c>
      <c r="B89" s="3" t="s">
        <v>382</v>
      </c>
      <c r="C89" s="3" t="s">
        <v>383</v>
      </c>
      <c r="D89" s="3" t="s">
        <v>37</v>
      </c>
      <c r="E89" s="3" t="s">
        <v>37</v>
      </c>
      <c r="F89" s="3" t="n">
        <v>4</v>
      </c>
      <c r="G89" s="3" t="s">
        <v>384</v>
      </c>
      <c r="H89" s="4" t="b">
        <f aca="false">TRUE()</f>
        <v>1</v>
      </c>
      <c r="I89" s="3" t="s">
        <v>66</v>
      </c>
      <c r="J89" s="3" t="s">
        <v>66</v>
      </c>
      <c r="K89" s="4" t="b">
        <f aca="false">TRUE()</f>
        <v>1</v>
      </c>
      <c r="L89" s="4" t="b">
        <f aca="false">FALSE()</f>
        <v>0</v>
      </c>
      <c r="M89" s="4" t="b">
        <f aca="false">FALSE()</f>
        <v>0</v>
      </c>
      <c r="N89" s="4" t="b">
        <f aca="false">TRUE()</f>
        <v>1</v>
      </c>
      <c r="O89" s="4" t="b">
        <f aca="false">FALSE()</f>
        <v>0</v>
      </c>
    </row>
    <row r="90" customFormat="false" ht="15" hidden="false" customHeight="false" outlineLevel="0" collapsed="false">
      <c r="A90" s="3" t="s">
        <v>385</v>
      </c>
      <c r="B90" s="3" t="s">
        <v>386</v>
      </c>
      <c r="C90" s="3" t="s">
        <v>387</v>
      </c>
      <c r="D90" s="3" t="s">
        <v>37</v>
      </c>
      <c r="E90" s="3" t="s">
        <v>37</v>
      </c>
      <c r="F90" s="3" t="n">
        <v>5</v>
      </c>
      <c r="G90" s="3" t="s">
        <v>388</v>
      </c>
      <c r="H90" s="4" t="b">
        <f aca="false">TRUE()</f>
        <v>1</v>
      </c>
      <c r="I90" s="3" t="s">
        <v>79</v>
      </c>
      <c r="J90" s="3" t="s">
        <v>79</v>
      </c>
      <c r="K90" s="4" t="b">
        <f aca="false">TRUE()</f>
        <v>1</v>
      </c>
      <c r="L90" s="4" t="b">
        <f aca="false">FALSE()</f>
        <v>0</v>
      </c>
      <c r="M90" s="4" t="b">
        <f aca="false">TRUE()</f>
        <v>1</v>
      </c>
      <c r="N90" s="4" t="b">
        <f aca="false">FALSE()</f>
        <v>0</v>
      </c>
      <c r="O90" s="4" t="b">
        <f aca="false">FALSE()</f>
        <v>0</v>
      </c>
    </row>
    <row r="91" customFormat="false" ht="15" hidden="false" customHeight="false" outlineLevel="0" collapsed="false">
      <c r="A91" s="3" t="s">
        <v>389</v>
      </c>
      <c r="B91" s="3" t="s">
        <v>390</v>
      </c>
      <c r="C91" s="3" t="s">
        <v>391</v>
      </c>
      <c r="D91" s="3" t="s">
        <v>37</v>
      </c>
      <c r="E91" s="3" t="s">
        <v>37</v>
      </c>
      <c r="F91" s="3" t="n">
        <v>5</v>
      </c>
      <c r="G91" s="3" t="s">
        <v>392</v>
      </c>
      <c r="H91" s="4" t="b">
        <f aca="false">TRUE()</f>
        <v>1</v>
      </c>
      <c r="I91" s="3" t="s">
        <v>79</v>
      </c>
      <c r="J91" s="3" t="s">
        <v>79</v>
      </c>
      <c r="K91" s="4" t="b">
        <f aca="false">TRUE()</f>
        <v>1</v>
      </c>
      <c r="L91" s="4" t="b">
        <f aca="false">FALSE()</f>
        <v>0</v>
      </c>
      <c r="M91" s="4" t="b">
        <f aca="false">TRUE()</f>
        <v>1</v>
      </c>
      <c r="N91" s="4" t="b">
        <f aca="false">FALSE()</f>
        <v>0</v>
      </c>
      <c r="O91" s="4" t="b">
        <f aca="false">FALSE()</f>
        <v>0</v>
      </c>
    </row>
    <row r="92" customFormat="false" ht="15" hidden="false" customHeight="false" outlineLevel="0" collapsed="false">
      <c r="A92" s="3" t="s">
        <v>393</v>
      </c>
      <c r="B92" s="3" t="s">
        <v>394</v>
      </c>
      <c r="C92" s="3" t="s">
        <v>395</v>
      </c>
      <c r="D92" s="3" t="s">
        <v>37</v>
      </c>
      <c r="E92" s="3" t="s">
        <v>37</v>
      </c>
      <c r="F92" s="3" t="n">
        <v>5</v>
      </c>
      <c r="G92" s="3" t="s">
        <v>396</v>
      </c>
      <c r="H92" s="4" t="b">
        <f aca="false">TRUE()</f>
        <v>1</v>
      </c>
      <c r="I92" s="3" t="s">
        <v>66</v>
      </c>
      <c r="J92" s="3" t="s">
        <v>66</v>
      </c>
      <c r="K92" s="4" t="b">
        <f aca="false">TRUE()</f>
        <v>1</v>
      </c>
      <c r="L92" s="4" t="b">
        <f aca="false">FALSE()</f>
        <v>0</v>
      </c>
      <c r="M92" s="4" t="b">
        <f aca="false">FALSE()</f>
        <v>0</v>
      </c>
      <c r="N92" s="4" t="b">
        <f aca="false">TRUE()</f>
        <v>1</v>
      </c>
      <c r="O92" s="4" t="b">
        <f aca="false">FALSE()</f>
        <v>0</v>
      </c>
    </row>
    <row r="93" customFormat="false" ht="45.1" hidden="false" customHeight="false" outlineLevel="0" collapsed="false">
      <c r="A93" s="3" t="s">
        <v>397</v>
      </c>
      <c r="B93" s="3" t="s">
        <v>398</v>
      </c>
      <c r="C93" s="6" t="s">
        <v>399</v>
      </c>
      <c r="D93" s="3" t="s">
        <v>20</v>
      </c>
      <c r="E93" s="3" t="s">
        <v>20</v>
      </c>
      <c r="F93" s="3" t="n">
        <v>2</v>
      </c>
      <c r="G93" s="3" t="s">
        <v>400</v>
      </c>
      <c r="H93" s="4" t="b">
        <f aca="false">TRUE()</f>
        <v>1</v>
      </c>
      <c r="I93" s="3" t="s">
        <v>22</v>
      </c>
      <c r="J93" s="3" t="s">
        <v>22</v>
      </c>
      <c r="K93" s="4" t="b">
        <f aca="false">TRUE()</f>
        <v>1</v>
      </c>
      <c r="L93" s="4" t="b">
        <f aca="false">FALSE()</f>
        <v>0</v>
      </c>
      <c r="M93" s="4" t="b">
        <f aca="false">FALSE()</f>
        <v>0</v>
      </c>
      <c r="N93" s="4" t="b">
        <f aca="false">FALSE()</f>
        <v>0</v>
      </c>
      <c r="O93" s="4" t="b">
        <f aca="false">FALSE()</f>
        <v>0</v>
      </c>
    </row>
    <row r="94" customFormat="false" ht="15" hidden="false" customHeight="false" outlineLevel="0" collapsed="false">
      <c r="A94" s="3" t="s">
        <v>401</v>
      </c>
      <c r="B94" s="3" t="s">
        <v>402</v>
      </c>
      <c r="C94" s="3" t="s">
        <v>403</v>
      </c>
      <c r="D94" s="3" t="s">
        <v>20</v>
      </c>
      <c r="E94" s="3" t="s">
        <v>20</v>
      </c>
      <c r="F94" s="3" t="n">
        <v>2</v>
      </c>
      <c r="G94" s="3" t="s">
        <v>404</v>
      </c>
      <c r="H94" s="4" t="b">
        <f aca="false">TRUE()</f>
        <v>1</v>
      </c>
      <c r="I94" s="3" t="s">
        <v>22</v>
      </c>
      <c r="J94" s="3" t="s">
        <v>22</v>
      </c>
      <c r="K94" s="4" t="b">
        <f aca="false">TRUE()</f>
        <v>1</v>
      </c>
      <c r="L94" s="4" t="b">
        <f aca="false">FALSE()</f>
        <v>0</v>
      </c>
      <c r="M94" s="4" t="b">
        <f aca="false">FALSE()</f>
        <v>0</v>
      </c>
      <c r="N94" s="4" t="b">
        <f aca="false">FALSE()</f>
        <v>0</v>
      </c>
      <c r="O94" s="4" t="b">
        <f aca="false">FALSE()</f>
        <v>0</v>
      </c>
    </row>
    <row r="95" customFormat="false" ht="15" hidden="false" customHeight="false" outlineLevel="0" collapsed="false">
      <c r="A95" s="3" t="s">
        <v>405</v>
      </c>
      <c r="B95" s="3" t="s">
        <v>406</v>
      </c>
      <c r="C95" s="3" t="s">
        <v>407</v>
      </c>
      <c r="D95" s="3" t="s">
        <v>20</v>
      </c>
      <c r="E95" s="3" t="s">
        <v>20</v>
      </c>
      <c r="F95" s="3" t="n">
        <v>2</v>
      </c>
      <c r="G95" s="3" t="s">
        <v>408</v>
      </c>
      <c r="H95" s="4" t="b">
        <f aca="false">TRUE()</f>
        <v>1</v>
      </c>
      <c r="I95" s="3" t="s">
        <v>22</v>
      </c>
      <c r="J95" s="3" t="s">
        <v>22</v>
      </c>
      <c r="K95" s="4" t="b">
        <f aca="false">TRUE()</f>
        <v>1</v>
      </c>
      <c r="L95" s="4" t="b">
        <f aca="false">FALSE()</f>
        <v>0</v>
      </c>
      <c r="M95" s="4" t="b">
        <f aca="false">FALSE()</f>
        <v>0</v>
      </c>
      <c r="N95" s="4" t="b">
        <f aca="false">FALSE()</f>
        <v>0</v>
      </c>
      <c r="O95" s="4" t="b">
        <f aca="false">FALSE()</f>
        <v>0</v>
      </c>
    </row>
    <row r="96" customFormat="false" ht="15" hidden="false" customHeight="false" outlineLevel="0" collapsed="false">
      <c r="A96" s="3" t="s">
        <v>409</v>
      </c>
      <c r="B96" s="3" t="s">
        <v>410</v>
      </c>
      <c r="C96" s="3" t="s">
        <v>411</v>
      </c>
      <c r="D96" s="3" t="s">
        <v>37</v>
      </c>
      <c r="E96" s="3" t="s">
        <v>37</v>
      </c>
      <c r="F96" s="3" t="n">
        <v>5</v>
      </c>
      <c r="G96" s="3" t="s">
        <v>412</v>
      </c>
      <c r="H96" s="4" t="b">
        <f aca="false">TRUE()</f>
        <v>1</v>
      </c>
      <c r="I96" s="3" t="s">
        <v>39</v>
      </c>
      <c r="J96" s="3" t="s">
        <v>39</v>
      </c>
      <c r="K96" s="4" t="b">
        <f aca="false">TRUE()</f>
        <v>1</v>
      </c>
      <c r="L96" s="4" t="b">
        <f aca="false">TRUE()</f>
        <v>1</v>
      </c>
      <c r="M96" s="4" t="b">
        <f aca="false">FALSE()</f>
        <v>0</v>
      </c>
      <c r="N96" s="4" t="b">
        <f aca="false">FALSE()</f>
        <v>0</v>
      </c>
      <c r="O96" s="4" t="b">
        <f aca="false">FALSE()</f>
        <v>0</v>
      </c>
    </row>
    <row r="97" customFormat="false" ht="45.1" hidden="false" customHeight="false" outlineLevel="0" collapsed="false">
      <c r="A97" s="3" t="s">
        <v>413</v>
      </c>
      <c r="B97" s="3" t="s">
        <v>414</v>
      </c>
      <c r="C97" s="6" t="s">
        <v>415</v>
      </c>
      <c r="D97" s="3" t="s">
        <v>37</v>
      </c>
      <c r="E97" s="3" t="s">
        <v>37</v>
      </c>
      <c r="F97" s="3" t="n">
        <v>5</v>
      </c>
      <c r="G97" s="3" t="s">
        <v>416</v>
      </c>
      <c r="H97" s="4" t="b">
        <f aca="false">TRUE()</f>
        <v>1</v>
      </c>
      <c r="I97" s="3" t="s">
        <v>66</v>
      </c>
      <c r="J97" s="3" t="s">
        <v>66</v>
      </c>
      <c r="K97" s="4" t="b">
        <f aca="false">TRUE()</f>
        <v>1</v>
      </c>
      <c r="L97" s="4" t="b">
        <f aca="false">FALSE()</f>
        <v>0</v>
      </c>
      <c r="M97" s="4" t="b">
        <f aca="false">FALSE()</f>
        <v>0</v>
      </c>
      <c r="N97" s="4" t="b">
        <f aca="false">TRUE()</f>
        <v>1</v>
      </c>
      <c r="O97" s="4" t="b">
        <f aca="false">FALSE()</f>
        <v>0</v>
      </c>
    </row>
    <row r="98" customFormat="false" ht="15" hidden="false" customHeight="false" outlineLevel="0" collapsed="false">
      <c r="A98" s="3" t="s">
        <v>417</v>
      </c>
      <c r="B98" s="3" t="s">
        <v>418</v>
      </c>
      <c r="C98" s="3" t="s">
        <v>419</v>
      </c>
      <c r="D98" s="3" t="s">
        <v>37</v>
      </c>
      <c r="E98" s="3" t="s">
        <v>37</v>
      </c>
      <c r="F98" s="3" t="n">
        <v>4</v>
      </c>
      <c r="G98" s="3" t="s">
        <v>420</v>
      </c>
      <c r="H98" s="4" t="b">
        <f aca="false">TRUE()</f>
        <v>1</v>
      </c>
      <c r="I98" s="3" t="s">
        <v>79</v>
      </c>
      <c r="J98" s="3" t="s">
        <v>79</v>
      </c>
      <c r="K98" s="4" t="b">
        <f aca="false">TRUE()</f>
        <v>1</v>
      </c>
      <c r="L98" s="4" t="b">
        <f aca="false">FALSE()</f>
        <v>0</v>
      </c>
      <c r="M98" s="4" t="b">
        <f aca="false">TRUE()</f>
        <v>1</v>
      </c>
      <c r="N98" s="4" t="b">
        <f aca="false">FALSE()</f>
        <v>0</v>
      </c>
      <c r="O98" s="4" t="b">
        <f aca="false">FALSE()</f>
        <v>0</v>
      </c>
    </row>
    <row r="99" customFormat="false" ht="66.9" hidden="false" customHeight="false" outlineLevel="0" collapsed="false">
      <c r="A99" s="3" t="s">
        <v>421</v>
      </c>
      <c r="B99" s="3" t="s">
        <v>422</v>
      </c>
      <c r="C99" s="3" t="s">
        <v>423</v>
      </c>
      <c r="D99" s="3" t="s">
        <v>37</v>
      </c>
      <c r="E99" s="3" t="s">
        <v>37</v>
      </c>
      <c r="F99" s="3" t="n">
        <v>5</v>
      </c>
      <c r="G99" s="3" t="s">
        <v>424</v>
      </c>
      <c r="H99" s="4" t="b">
        <f aca="false">TRUE()</f>
        <v>1</v>
      </c>
      <c r="I99" s="3" t="s">
        <v>39</v>
      </c>
      <c r="J99" s="3" t="s">
        <v>61</v>
      </c>
      <c r="K99" s="9" t="b">
        <f aca="false">FALSE()</f>
        <v>0</v>
      </c>
      <c r="L99" s="4" t="b">
        <f aca="false">FALSE()</f>
        <v>0</v>
      </c>
      <c r="M99" s="4" t="b">
        <f aca="false">FALSE()</f>
        <v>0</v>
      </c>
      <c r="N99" s="4" t="b">
        <f aca="false">FALSE()</f>
        <v>0</v>
      </c>
      <c r="O99" s="4" t="b">
        <f aca="false">TRUE()</f>
        <v>1</v>
      </c>
      <c r="R99" s="2" t="s">
        <v>425</v>
      </c>
    </row>
    <row r="100" customFormat="false" ht="15" hidden="false" customHeight="false" outlineLevel="0" collapsed="false">
      <c r="A100" s="3" t="s">
        <v>426</v>
      </c>
      <c r="B100" s="3" t="s">
        <v>427</v>
      </c>
      <c r="C100" s="3" t="s">
        <v>428</v>
      </c>
      <c r="D100" s="3" t="s">
        <v>37</v>
      </c>
      <c r="E100" s="3" t="s">
        <v>37</v>
      </c>
      <c r="F100" s="3" t="n">
        <v>5</v>
      </c>
      <c r="G100" s="3" t="s">
        <v>429</v>
      </c>
      <c r="H100" s="4" t="b">
        <f aca="false">TRUE()</f>
        <v>1</v>
      </c>
      <c r="I100" s="3" t="s">
        <v>66</v>
      </c>
      <c r="J100" s="3" t="s">
        <v>66</v>
      </c>
      <c r="K100" s="4" t="b">
        <f aca="false">TRUE()</f>
        <v>1</v>
      </c>
      <c r="L100" s="4" t="b">
        <f aca="false">FALSE()</f>
        <v>0</v>
      </c>
      <c r="M100" s="4" t="b">
        <f aca="false">FALSE()</f>
        <v>0</v>
      </c>
      <c r="N100" s="4" t="b">
        <f aca="false">TRUE()</f>
        <v>1</v>
      </c>
      <c r="O100" s="4" t="b">
        <f aca="false">FALSE()</f>
        <v>0</v>
      </c>
    </row>
    <row r="101" customFormat="false" ht="15" hidden="false" customHeight="false" outlineLevel="0" collapsed="false">
      <c r="A101" s="3" t="s">
        <v>430</v>
      </c>
      <c r="B101" s="3" t="s">
        <v>431</v>
      </c>
      <c r="C101" s="3" t="s">
        <v>432</v>
      </c>
      <c r="D101" s="3" t="s">
        <v>20</v>
      </c>
      <c r="E101" s="3" t="s">
        <v>20</v>
      </c>
      <c r="F101" s="3" t="n">
        <v>2</v>
      </c>
      <c r="G101" s="3" t="s">
        <v>433</v>
      </c>
      <c r="H101" s="4" t="b">
        <f aca="false">TRUE()</f>
        <v>1</v>
      </c>
      <c r="I101" s="3" t="s">
        <v>22</v>
      </c>
      <c r="J101" s="3" t="s">
        <v>22</v>
      </c>
      <c r="K101" s="4" t="b">
        <f aca="false">TRUE()</f>
        <v>1</v>
      </c>
      <c r="L101" s="4" t="b">
        <f aca="false">FALSE()</f>
        <v>0</v>
      </c>
      <c r="M101" s="4" t="b">
        <f aca="false">FALSE()</f>
        <v>0</v>
      </c>
      <c r="N101" s="4" t="b">
        <f aca="false">FALSE()</f>
        <v>0</v>
      </c>
      <c r="O101" s="4" t="b">
        <f aca="false">FALSE()</f>
        <v>0</v>
      </c>
    </row>
    <row r="102" customFormat="false" ht="15" hidden="false" customHeight="false" outlineLevel="0" collapsed="false">
      <c r="A102" s="3" t="s">
        <v>434</v>
      </c>
      <c r="B102" s="3" t="s">
        <v>435</v>
      </c>
      <c r="C102" s="3" t="s">
        <v>436</v>
      </c>
      <c r="D102" s="3" t="s">
        <v>37</v>
      </c>
      <c r="E102" s="3" t="s">
        <v>37</v>
      </c>
      <c r="F102" s="3" t="n">
        <v>4</v>
      </c>
      <c r="G102" s="3" t="s">
        <v>437</v>
      </c>
      <c r="H102" s="4" t="b">
        <f aca="false">TRUE()</f>
        <v>1</v>
      </c>
      <c r="I102" s="3" t="s">
        <v>39</v>
      </c>
      <c r="J102" s="3" t="s">
        <v>39</v>
      </c>
      <c r="K102" s="4" t="b">
        <f aca="false">TRUE()</f>
        <v>1</v>
      </c>
      <c r="L102" s="4" t="b">
        <f aca="false">TRUE()</f>
        <v>1</v>
      </c>
      <c r="M102" s="4" t="b">
        <f aca="false">FALSE()</f>
        <v>0</v>
      </c>
      <c r="N102" s="4" t="b">
        <f aca="false">FALSE()</f>
        <v>0</v>
      </c>
      <c r="O102" s="4" t="b">
        <f aca="false">FALSE()</f>
        <v>0</v>
      </c>
    </row>
    <row r="103" customFormat="false" ht="15" hidden="false" customHeight="false" outlineLevel="0" collapsed="false">
      <c r="A103" s="3" t="s">
        <v>438</v>
      </c>
      <c r="B103" s="3" t="s">
        <v>439</v>
      </c>
      <c r="C103" s="3" t="s">
        <v>440</v>
      </c>
      <c r="D103" s="3" t="s">
        <v>20</v>
      </c>
      <c r="E103" s="3" t="s">
        <v>20</v>
      </c>
      <c r="F103" s="3" t="n">
        <v>2</v>
      </c>
      <c r="G103" s="3" t="s">
        <v>441</v>
      </c>
      <c r="H103" s="4" t="b">
        <f aca="false">TRUE()</f>
        <v>1</v>
      </c>
      <c r="I103" s="3" t="s">
        <v>22</v>
      </c>
      <c r="J103" s="3" t="s">
        <v>22</v>
      </c>
      <c r="K103" s="4" t="b">
        <f aca="false">TRUE()</f>
        <v>1</v>
      </c>
      <c r="L103" s="4" t="b">
        <f aca="false">FALSE()</f>
        <v>0</v>
      </c>
      <c r="M103" s="4" t="b">
        <f aca="false">FALSE()</f>
        <v>0</v>
      </c>
      <c r="N103" s="4" t="b">
        <f aca="false">FALSE()</f>
        <v>0</v>
      </c>
      <c r="O103" s="4" t="b">
        <f aca="false">FALSE()</f>
        <v>0</v>
      </c>
    </row>
    <row r="104" customFormat="false" ht="15" hidden="false" customHeight="false" outlineLevel="0" collapsed="false">
      <c r="A104" s="3" t="s">
        <v>442</v>
      </c>
      <c r="B104" s="3" t="s">
        <v>443</v>
      </c>
      <c r="C104" s="3" t="s">
        <v>444</v>
      </c>
      <c r="D104" s="3" t="s">
        <v>37</v>
      </c>
      <c r="E104" s="3" t="s">
        <v>37</v>
      </c>
      <c r="F104" s="3" t="n">
        <v>4</v>
      </c>
      <c r="G104" s="3" t="s">
        <v>445</v>
      </c>
      <c r="H104" s="4" t="b">
        <f aca="false">TRUE()</f>
        <v>1</v>
      </c>
      <c r="I104" s="3" t="s">
        <v>61</v>
      </c>
      <c r="J104" s="3" t="s">
        <v>61</v>
      </c>
      <c r="K104" s="4" t="b">
        <f aca="false">TRUE()</f>
        <v>1</v>
      </c>
      <c r="L104" s="4" t="b">
        <f aca="false">TRUE()</f>
        <v>1</v>
      </c>
      <c r="M104" s="4" t="b">
        <f aca="false">TRUE()</f>
        <v>1</v>
      </c>
      <c r="N104" s="4" t="b">
        <f aca="false">FALSE()</f>
        <v>0</v>
      </c>
      <c r="O104" s="4" t="b">
        <f aca="false">FALSE()</f>
        <v>0</v>
      </c>
    </row>
    <row r="105" customFormat="false" ht="15" hidden="false" customHeight="false" outlineLevel="0" collapsed="false">
      <c r="A105" s="3" t="s">
        <v>446</v>
      </c>
      <c r="B105" s="3" t="s">
        <v>447</v>
      </c>
      <c r="C105" s="3" t="s">
        <v>448</v>
      </c>
      <c r="D105" s="3" t="s">
        <v>37</v>
      </c>
      <c r="E105" s="3" t="s">
        <v>37</v>
      </c>
      <c r="F105" s="3" t="n">
        <v>5</v>
      </c>
      <c r="G105" s="3" t="s">
        <v>449</v>
      </c>
      <c r="H105" s="4" t="b">
        <f aca="false">TRUE()</f>
        <v>1</v>
      </c>
      <c r="I105" s="3" t="s">
        <v>79</v>
      </c>
      <c r="J105" s="3" t="s">
        <v>79</v>
      </c>
      <c r="K105" s="4" t="b">
        <f aca="false">TRUE()</f>
        <v>1</v>
      </c>
      <c r="L105" s="4" t="b">
        <f aca="false">FALSE()</f>
        <v>0</v>
      </c>
      <c r="M105" s="4" t="b">
        <f aca="false">TRUE()</f>
        <v>1</v>
      </c>
      <c r="N105" s="4" t="b">
        <f aca="false">FALSE()</f>
        <v>0</v>
      </c>
      <c r="O105" s="4" t="b">
        <f aca="false">FALSE()</f>
        <v>0</v>
      </c>
    </row>
    <row r="106" customFormat="false" ht="15" hidden="false" customHeight="false" outlineLevel="0" collapsed="false">
      <c r="A106" s="3" t="s">
        <v>450</v>
      </c>
      <c r="B106" s="3" t="s">
        <v>451</v>
      </c>
      <c r="C106" s="3" t="s">
        <v>452</v>
      </c>
      <c r="D106" s="3" t="s">
        <v>37</v>
      </c>
      <c r="E106" s="3" t="s">
        <v>37</v>
      </c>
      <c r="F106" s="3" t="n">
        <v>5</v>
      </c>
      <c r="G106" s="3" t="s">
        <v>453</v>
      </c>
      <c r="H106" s="4" t="b">
        <f aca="false">TRUE()</f>
        <v>1</v>
      </c>
      <c r="I106" s="3" t="s">
        <v>66</v>
      </c>
      <c r="J106" s="3" t="s">
        <v>66</v>
      </c>
      <c r="K106" s="4" t="b">
        <f aca="false">TRUE()</f>
        <v>1</v>
      </c>
      <c r="L106" s="4" t="b">
        <f aca="false">FALSE()</f>
        <v>0</v>
      </c>
      <c r="M106" s="4" t="b">
        <f aca="false">FALSE()</f>
        <v>0</v>
      </c>
      <c r="N106" s="4" t="b">
        <f aca="false">TRUE()</f>
        <v>1</v>
      </c>
      <c r="O106" s="4" t="b">
        <f aca="false">FALSE()</f>
        <v>0</v>
      </c>
    </row>
    <row r="107" customFormat="false" ht="66.9" hidden="false" customHeight="false" outlineLevel="0" collapsed="false">
      <c r="A107" s="3" t="s">
        <v>454</v>
      </c>
      <c r="B107" s="3" t="s">
        <v>455</v>
      </c>
      <c r="C107" s="3" t="s">
        <v>456</v>
      </c>
      <c r="D107" s="3" t="s">
        <v>20</v>
      </c>
      <c r="E107" s="3" t="s">
        <v>37</v>
      </c>
      <c r="F107" s="3" t="n">
        <v>4</v>
      </c>
      <c r="G107" s="3" t="s">
        <v>457</v>
      </c>
      <c r="H107" s="8" t="b">
        <f aca="false">FALSE()</f>
        <v>0</v>
      </c>
      <c r="I107" s="3" t="s">
        <v>22</v>
      </c>
      <c r="J107" s="3" t="s">
        <v>39</v>
      </c>
      <c r="K107" s="4" t="b">
        <f aca="false">FALSE()</f>
        <v>0</v>
      </c>
      <c r="L107" s="4" t="b">
        <f aca="false">TRUE()</f>
        <v>1</v>
      </c>
      <c r="M107" s="4" t="b">
        <f aca="false">FALSE()</f>
        <v>0</v>
      </c>
      <c r="N107" s="4" t="b">
        <f aca="false">FALSE()</f>
        <v>0</v>
      </c>
      <c r="O107" s="4" t="b">
        <f aca="false">FALSE()</f>
        <v>0</v>
      </c>
      <c r="Q107" s="6" t="s">
        <v>458</v>
      </c>
    </row>
    <row r="108" customFormat="false" ht="15" hidden="false" customHeight="false" outlineLevel="0" collapsed="false">
      <c r="A108" s="3" t="s">
        <v>459</v>
      </c>
      <c r="B108" s="3" t="s">
        <v>460</v>
      </c>
      <c r="C108" s="3" t="s">
        <v>461</v>
      </c>
      <c r="D108" s="3" t="s">
        <v>37</v>
      </c>
      <c r="E108" s="3" t="s">
        <v>37</v>
      </c>
      <c r="F108" s="3" t="n">
        <v>4</v>
      </c>
      <c r="G108" s="3" t="s">
        <v>462</v>
      </c>
      <c r="H108" s="4" t="b">
        <f aca="false">TRUE()</f>
        <v>1</v>
      </c>
      <c r="I108" s="3" t="s">
        <v>39</v>
      </c>
      <c r="J108" s="3" t="s">
        <v>39</v>
      </c>
      <c r="K108" s="4" t="b">
        <f aca="false">TRUE()</f>
        <v>1</v>
      </c>
      <c r="L108" s="4" t="b">
        <f aca="false">TRUE()</f>
        <v>1</v>
      </c>
      <c r="M108" s="4" t="b">
        <f aca="false">FALSE()</f>
        <v>0</v>
      </c>
      <c r="N108" s="4" t="b">
        <f aca="false">FALSE()</f>
        <v>0</v>
      </c>
      <c r="O108" s="4" t="b">
        <f aca="false">FALSE()</f>
        <v>0</v>
      </c>
    </row>
    <row r="109" customFormat="false" ht="15" hidden="false" customHeight="false" outlineLevel="0" collapsed="false">
      <c r="A109" s="3" t="s">
        <v>463</v>
      </c>
      <c r="B109" s="3" t="s">
        <v>464</v>
      </c>
      <c r="C109" s="3" t="s">
        <v>465</v>
      </c>
      <c r="D109" s="3" t="s">
        <v>37</v>
      </c>
      <c r="E109" s="3" t="s">
        <v>37</v>
      </c>
      <c r="F109" s="3" t="n">
        <v>5</v>
      </c>
      <c r="G109" s="3" t="s">
        <v>466</v>
      </c>
      <c r="H109" s="4" t="b">
        <f aca="false">TRUE()</f>
        <v>1</v>
      </c>
      <c r="I109" s="3" t="s">
        <v>39</v>
      </c>
      <c r="J109" s="3" t="s">
        <v>39</v>
      </c>
      <c r="K109" s="4" t="b">
        <f aca="false">TRUE()</f>
        <v>1</v>
      </c>
      <c r="L109" s="4" t="b">
        <f aca="false">TRUE()</f>
        <v>1</v>
      </c>
      <c r="M109" s="4" t="b">
        <f aca="false">FALSE()</f>
        <v>0</v>
      </c>
      <c r="N109" s="4" t="b">
        <f aca="false">FALSE()</f>
        <v>0</v>
      </c>
      <c r="O109" s="4" t="b">
        <f aca="false">FALSE()</f>
        <v>0</v>
      </c>
    </row>
    <row r="110" customFormat="false" ht="15" hidden="false" customHeight="false" outlineLevel="0" collapsed="false">
      <c r="A110" s="3" t="s">
        <v>467</v>
      </c>
      <c r="B110" s="3" t="s">
        <v>468</v>
      </c>
      <c r="C110" s="3" t="s">
        <v>469</v>
      </c>
      <c r="D110" s="3" t="s">
        <v>20</v>
      </c>
      <c r="E110" s="3" t="s">
        <v>20</v>
      </c>
      <c r="F110" s="3" t="n">
        <v>2</v>
      </c>
      <c r="G110" s="3" t="s">
        <v>470</v>
      </c>
      <c r="H110" s="4" t="b">
        <f aca="false">TRUE()</f>
        <v>1</v>
      </c>
      <c r="I110" s="3" t="s">
        <v>22</v>
      </c>
      <c r="J110" s="3" t="s">
        <v>22</v>
      </c>
      <c r="K110" s="4" t="b">
        <f aca="false">TRUE()</f>
        <v>1</v>
      </c>
      <c r="L110" s="4" t="b">
        <f aca="false">FALSE()</f>
        <v>0</v>
      </c>
      <c r="M110" s="4" t="b">
        <f aca="false">FALSE()</f>
        <v>0</v>
      </c>
      <c r="N110" s="4" t="b">
        <f aca="false">FALSE()</f>
        <v>0</v>
      </c>
      <c r="O110" s="4" t="b">
        <f aca="false">FALSE()</f>
        <v>0</v>
      </c>
    </row>
    <row r="111" customFormat="false" ht="45.1" hidden="false" customHeight="false" outlineLevel="0" collapsed="false">
      <c r="A111" s="3" t="s">
        <v>471</v>
      </c>
      <c r="B111" s="3" t="s">
        <v>472</v>
      </c>
      <c r="C111" s="6" t="s">
        <v>473</v>
      </c>
      <c r="D111" s="3" t="s">
        <v>20</v>
      </c>
      <c r="E111" s="3" t="s">
        <v>20</v>
      </c>
      <c r="F111" s="3" t="n">
        <v>1</v>
      </c>
      <c r="G111" s="3" t="s">
        <v>474</v>
      </c>
      <c r="H111" s="4" t="b">
        <f aca="false">TRUE()</f>
        <v>1</v>
      </c>
      <c r="I111" s="3" t="s">
        <v>22</v>
      </c>
      <c r="J111" s="3" t="s">
        <v>22</v>
      </c>
      <c r="K111" s="4" t="b">
        <f aca="false">TRUE()</f>
        <v>1</v>
      </c>
      <c r="L111" s="4" t="b">
        <f aca="false">FALSE()</f>
        <v>0</v>
      </c>
      <c r="M111" s="4" t="b">
        <f aca="false">FALSE()</f>
        <v>0</v>
      </c>
      <c r="N111" s="4" t="b">
        <f aca="false">FALSE()</f>
        <v>0</v>
      </c>
      <c r="O111" s="4"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475</v>
      </c>
      <c r="B1" s="3" t="s">
        <v>476</v>
      </c>
      <c r="C1" s="3" t="s">
        <v>477</v>
      </c>
    </row>
    <row r="2" customFormat="false" ht="15" hidden="false" customHeight="false" outlineLevel="0" collapsed="false">
      <c r="A2" s="3" t="s">
        <v>478</v>
      </c>
      <c r="B2" s="3" t="s">
        <v>479</v>
      </c>
      <c r="C2" s="3" t="n">
        <v>110</v>
      </c>
    </row>
    <row r="3" customFormat="false" ht="15" hidden="false" customHeight="false" outlineLevel="0" collapsed="false">
      <c r="A3" s="3" t="s">
        <v>480</v>
      </c>
      <c r="B3" s="3" t="s">
        <v>481</v>
      </c>
      <c r="C3" s="3" t="n">
        <v>110</v>
      </c>
    </row>
    <row r="4" customFormat="false" ht="15" hidden="false" customHeight="false" outlineLevel="0" collapsed="false">
      <c r="A4" s="3" t="s">
        <v>482</v>
      </c>
      <c r="B4" s="3" t="s">
        <v>483</v>
      </c>
      <c r="C4" s="3" t="n">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2026-06-12T15:33:35Z</dcterms:created>
  <dc:creator>openpyxl</dc:creator>
  <dc:description/>
  <dc:language>en-GB</dc:language>
  <cp:lastModifiedBy/>
  <dcterms:modified xsi:type="dcterms:W3CDTF">2026-06-12T17:29:22Z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