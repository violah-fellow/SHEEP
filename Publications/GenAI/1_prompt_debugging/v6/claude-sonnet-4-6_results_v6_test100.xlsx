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<sst xmlns="http://schemas.openxmlformats.org/spreadsheetml/2006/main" count="925" uniqueCount="493">
  <si>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</si>
  <si>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</si>
  <si>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</si>
  <si>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</si>
  <si>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</si>
  <si>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</si>
  <si>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</si>
  <si>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</si>
  <si>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</si>
  <si>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</si>
  <si>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</si>
  <si>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</si>
  <si>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</si>
  <si>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</si>
  <si>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</si>
  <si>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</si>
  <si>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</si>
  <si>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</si>
  <si>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</si>
  <si>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</si>
  <si>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</si>
  <si>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This study investigates serum reduction and growth factor supplementation for a fish (Atlantic sturgeon) cell line with the stated aim of developing animal-free, chemically defined culture media, which is directly relevant to cultivated seafood production.</t>
  </si>
  <si>
    <t xml:space="preserve">CM</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</si>
  <si>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</si>
  <si>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</si>
  <si>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</si>
  <si>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This review on alginate extraction and functional properties is in scope because cultivated meat is explicitly identified as a novel and promising application direction, making it a relevant enabling technology publication for cultivated meat scaffolding.</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</si>
  <si>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</si>
  <si>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</si>
  <si>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</si>
  <si>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directly examines consumer acceptance of cultivated meat, focusing on familiarity as a psychological factor influencing acceptance, which is clearly within scope as societal/consumer acceptance research on cultivated meat.</t>
  </si>
  <si>
    <t xml:space="preserve">pub.1189916353</t>
  </si>
  <si>
    <t xml:space="preserve">“It's not bad, but it's not chicken”: Sensorial drivers of liking and their correlates for plant-based chicken analogues in Sweden</t>
  </si>
  <si>
    <t xml:space="preserve">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</si>
  <si>
    <t xml:space="preserve">This publication directly evaluates plant-based chicken analogues including mycoprotein products, assessing sensory drivers of consumer liking, which is core alternative protein research covering both plant-based and fermentation (mycoprotein) categories.</t>
  </si>
  <si>
    <t xml:space="preserve">PB</t>
  </si>
  <si>
    <t xml:space="preserve">CC</t>
  </si>
  <si>
    <t xml:space="preserve">Agree with LLM – it’s CC.</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</si>
  <si>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</si>
  <si>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</si>
  <si>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</si>
  <si>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This study directly compares high-moisture extruded pea isolate balls (a plant-based meat analogue) with pork balls for oxidative stability during cooking and digestion, making it clearly in scope as research advancing the characterisation of plant-based meat alternatives.</t>
  </si>
  <si>
    <t xml:space="preserve">pub.1192893776</t>
  </si>
  <si>
    <t xml:space="preserve">Novel Hybrid ANN-Interpolation Techniques for Predicting Mean Residence Time in Wet Twin Screw Granulation Application: A Critical Review</t>
  </si>
  <si>
    <t xml:space="preserve">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</si>
  <si>
    <t xml:space="preserve">out</t>
  </si>
  <si>
    <t xml:space="preserve">This publication concerns machine learning and interpolation methods for modeling residence time in twin-screw granulation, a pharmaceutical/industrial process with no connection to alternative proteins or food science.</t>
  </si>
  <si>
    <t xml:space="preserve">NA</t>
  </si>
  <si>
    <t xml:space="preserve">pub.1184804992</t>
  </si>
  <si>
    <t xml:space="preserve">The power and pitfalls of amino acid carbon stable isotopes for tracing origin and use of basal resources in food webs</t>
  </si>
  <si>
    <t xml:space="preserve">Abstract  Natural and anthropogenic stressors alter the composition, biomass, and nutritional quality of primary producers and microorganisms, the basal organisms that synthesize the biomolecules essential for metazoan growth and survival (i.e., basal resources). Traditional biomarkers have provided valuable insight into the spatiotemporal dynamics of basal resource use, but lack specificity in identifying multiple basal organisms, can be confounded by environmental and physiological processes, and do not always preserve in tissues over long timescales. Carbon stable isotope ratios of essential amino acids (δ 13 C‐EAA) show remarkable promise in identifying and distinguishing clades of basal organisms with unique δ 13 C‐EAA fingerprints that are independent of trophic processing and environmental variability, providing unparalleled potential in their application. Understanding the biochemical processes that underpin δ 13 C‐AA data is crucial, however, for holistic and robust inferences in ecological applications. This comprehensive methodological review, for the first time, conceptualizes these mechanistic underpinnings that drive δ 13 C‐EAA fingerprints among basal organisms and incorporates δ 13 C values of non‐essential amino acids that are generally overlooked in ecological studies, despite the gain of metabolic information. We conduct meta‐analyses of published data to test hypothesized AA‐specific isotope fractionations among basal organism clades, demonstrating that phenylalanine separates vascular plant δ 13 C‐EAA fingerprints, which strongly covaries with their phylogeny. We further explore the utility of non‐essential AAs in separating dietary protein sources of archaeological humans, showing the differences in metabolic information contained within different NEAAs. By scrutinizing the many methodologies that are applied in the field, we highlight the absence of standardized analytical protocols, particularly in sample pretreatments leading to biases, inappropriate use of statistical methods, and reliance on unsuitable training data. To unlock the full potential of δ 13 C‐EAA fingerprints, we provide in‐depth explanations on knowledge gaps, pitfalls, and optimal practices in this complex but powerful approach for assessing ecosystem change across spatiotemporal scales.</t>
  </si>
  <si>
    <t xml:space="preserve">This publication is about ecological food web tracing using carbon stable isotopes of amino acids, with no relevance to alternative protein development or human food applications.</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</si>
  <si>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</si>
  <si>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</si>
  <si>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</si>
  <si>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This publication directly concerns the formulation and characterisation of a plant-based cheese alternative using zein and chickpea protein ingredients, clearly falling within the scope of plant-based dairy analogues.</t>
  </si>
  <si>
    <t xml:space="preserve">pub.1194004313</t>
  </si>
  <si>
    <t xml:space="preserve">Food group intake and Mediterranean Diet adherence among a representative sample of Spanish middle-aged and older adults. Are we still on track? The HERMEX study.</t>
  </si>
  <si>
    <t xml:space="preserve">BACKGROUND AND AIM: To explore food group intake and adherence to the Mediterranean Diet (MD) in a representative sample of 2833 middle-aged and older adults from the HERMEX study.
METHODS AND RESULTS: This cross-sectional study utilized a food frequency questionnaire to assess food group intake and measured MD adherence using the MD Score. Sociodemographic, anthropometric, and clinical characteristics were also analyzed. Among participants, 74 % were living with overweight or obesity, 69.9 % were non-smokers, and 88 % showed medium-high adherence to the MD. Compared to the national dietary recommendations issued by the Spanish Agency for Food Safety and Nutrition (AESAN), 76 % had carbohydrate intake below recommended levels (average intake: 35.4 %), whereas 73.5 % consumed protein at 16.6 % of total energy intake. Only 2 % of participants adhered to the fat intake recommendation (&lt;35 % of total energy). Consumption of fruits, vegetables, cereals, potatoes, and eggs was below recommendations, while intake of legumes, nuts, fish, seafood, and dairy met or nearly met the recommendations. Meat consumption exceeded recommendations. Macronutrient intake (carbohydrates, protein, fat, and fiber) was similar across BMI groups. However, participants with obesity consumed fewer nuts, whereas those with normal weight had a higher intake of red wine compared to individuals with overweight (p &lt; 0.05). MD adherence was similar across BMI groups (34 points on a 0-55 scale).
CONCLUSIONS: Prevalence of overweight and obesity was high despite medium-high adherence to the MD. Overall, caloric intake and food consumption patterns were consistent across BMI groups, with notable differences in nut and red wine intake.</t>
  </si>
  <si>
    <t xml:space="preserve">This publication is a dietary survey on Mediterranean Diet adherence and food group intake in a Spanish population, with no focus on alternative proteins or their development, characterisation, or societal aspects.</t>
  </si>
  <si>
    <t xml:space="preserve">pub.1194240340</t>
  </si>
  <si>
    <t xml:space="preserve">Associations between exposure to metals, chlorinated pesticides, and PCBs and differential leukocyte profiles in Flemish adolescents</t>
  </si>
  <si>
    <t xml:space="preserve">Although environmental pollutants are known to affect the immune system, the impact of chemical mixtures on adolescent immune function remains understudied. Adolescence is a critical period for immune maturation, and disruptions during this stage may have implications for long-term health. Leukocytes, key components of the immune system, serve as indicators of immune status, with altered levels reflecting potential inflammation or immunosuppression. The present study examined the associations of 14 chemical exposure biomarkers measured in blood with counts of total leukocytes and leukocyte subtypes in 980 adolescents (13-16 years old) from the Flemish Environment and Health Studies 2012-2020 (FLEHS III and IV). The exposure biomarkers included 5 metals, 3 chlorinated pesticides, and 6 polychlorinated biphenyls (PCBs). We used four different statistical approaches: multiple linear regression, elastic net, Bayesian model averaging, and Bayesian kernel machine regression. Total leukocyte and neutrophil counts were negatively associated with PCBs and manganese (Mn), and positively associated with copper (Cu), whereas lymphocyte count was negatively associated with thallium (Tl). The neutrophil-lymphocyte ratio (NLR) was also negatively associated with Mn. An analysis excluding smokers additionally showed that higher cadmium (Cd) concentrations were associated with lower leukocyte count. Our study suggests immunosuppressive effects of PCBs, non-essentials metals Tl and Cd, and the essential metal Mn. Due to the cross-sectional design, we cannot rule out the possibility of reverse causation. The current study provides epidemiological evidence that exposure to metals and PCBs may have adverse effects on the immune system at concentrations detected in a general population of adolescents.</t>
  </si>
  <si>
    <t xml:space="preserve">This publication concerns environmental pollutant exposure and immune function in adolescents, with no relevance to alternative proteins or food systems.</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</si>
  <si>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</si>
  <si>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</si>
  <si>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</si>
  <si>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While this study touches on sustainable diets and mentions legumes as meat alternatives, it is primarily a foodscape and dietary quality assessment in rural Tunisia with no substantive focus on alternative proteins as a named category with data collected or analysed on them.</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</si>
  <si>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</si>
  <si>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</si>
  <si>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</si>
  <si>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This study focuses on CRISPR-Cas9 gene editing tools in Serratia marcescens for putrescine production, which is described as a plant growth promoter for agriculture rather than as a protein or ingredient for human food alternative protein applications.</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</si>
  <si>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</si>
  <si>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</si>
  <si>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</si>
  <si>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This publication performs a policy analysis of European regulatory frameworks for microbial biomass value chains, which directly concerns fermentation-derived alternative proteins (single-cell protein/mycoprotein) for human food, making it clearly in scope.</t>
  </si>
  <si>
    <t xml:space="preserve">F</t>
  </si>
  <si>
    <t xml:space="preserve">pub.1185056158</t>
  </si>
  <si>
    <t xml:space="preserve">Lactic acid fermentation improves nutritional and functional properties of chickpea flours</t>
  </si>
  <si>
    <t xml:space="preserve">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</si>
  <si>
    <t xml:space="preserve">This study uses lactic acid bacteria fermentation as a processing method to improve the nutritional and functional properties of chickpea flour, a high-protein legume explicitly positioned as a meat alternative, making it in scope as plant-based research.</t>
  </si>
  <si>
    <t xml:space="preserve">pub.1184066957</t>
  </si>
  <si>
    <t xml:space="preserve">Screening of Plant UDP-Glycosyltransferases for Betanin Production in Yeast</t>
  </si>
  <si>
    <t xml:space="preserve">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</si>
  <si>
    <t xml:space="preserve">This publication concerns the production of betanin as a natural food dye via microbial fermentation, but betanin is a colorant/pigment rather than a protein or protein-related ingredient, and the stated application is food colouring rather than alternative protein production or any alternative protein product.</t>
  </si>
  <si>
    <t xml:space="preserve">pub.1195483976</t>
  </si>
  <si>
    <t xml:space="preserve">Emulsifying behavior of plant proteins investigated via surface hydrophobicity and molecular weight distribution</t>
  </si>
  <si>
    <t xml:space="preserve">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</si>
  <si>
    <t xml:space="preserve">This study directly investigates the emulsifying properties of plant protein isolates and concentrates (soy, canola, faba bean, pea) for food and beverage applications, which is core to plant-based alternative protein ingredient development.</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</si>
  <si>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</si>
  <si>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</si>
  <si>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</si>
  <si>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review directly concerns cultivated meat production, covering cell line development, scaffold engineering, bioreactor design, media optimisation, and consumer acceptance, all of which are core cultivated meat research topics.</t>
  </si>
  <si>
    <t xml:space="preserve">pub.1192633950</t>
  </si>
  <si>
    <t xml:space="preserve">Bioaccessible compounds from bean (Phaseolus vulgaris L.) landraces activate PPARγ in transiently transfected HepG2 cells</t>
  </si>
  <si>
    <t xml:space="preserve">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</si>
  <si>
    <t xml:space="preserve">This study investigates the bioactive/nutraceutical properties of bean compounds activating nuclear receptors for metabolic health benefits, which falls under medical nutrition/nutraceutical research rather than alternative protein development for substituting animal products.</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</si>
  <si>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</si>
  <si>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</si>
  <si>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</si>
  <si>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This study benchmarks plant-based cheese analogue products against conventional dairy cheeses, directly advancing the development and characterisation of plant-based dairy alternatives intended for human consumption.</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</si>
  <si>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</si>
  <si>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</si>
  <si>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</si>
  <si>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publication focuses on microalgal biomass as a protein and functional ingredient source for human food, including meat analogues, covering regulation, processing, and consumer acceptance — classifying as fermentation per the microalgae rule.</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</si>
  <si>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</si>
  <si>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</si>
  <si>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</si>
  <si>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This publication directly concerns mycoprotein production via Fusarium venenatum, a fungal biomass fermentation system, with CRISPR-mediated strain engineering to improve nutritional quality and production efficiency, and includes life cycle assessment of the alternative protein product.</t>
  </si>
  <si>
    <t xml:space="preserve">pub.1185123960</t>
  </si>
  <si>
    <t xml:space="preserve">Recent advances and challenges in mechanistic modelling of photosynthetic processes for wastewater treatment</t>
  </si>
  <si>
    <t xml:space="preserve">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</si>
  <si>
    <t xml:space="preserve">This publication concerns mechanistic modelling of phototrophic-chemotrophic systems for wastewater treatment, with no relevance to alternative protein production or human food applications.</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</si>
  <si>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</si>
  <si>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</si>
  <si>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</si>
  <si>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This publication focuses on an optical sensor system for monitoring fat and protein content in conventional milk products, with no relevance to alternative protein development or production.</t>
  </si>
  <si>
    <t xml:space="preserve">pub.1184361111</t>
  </si>
  <si>
    <t xml:space="preserve">Evolving Appetites: Current Evidence and Future Perspectives in Terms of Meat Substitutes in Europe</t>
  </si>
  <si>
    <t xml:space="preserve">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</si>
  <si>
    <t xml:space="preserve">This publication explicitly examines European consumer acceptance, consumption patterns, and factors influencing the adoption of meat substitutes as alternative protein sources, making it clearly in scope as cross-cutting consumer and market research on alternative proteins.</t>
  </si>
  <si>
    <t xml:space="preserve">pub.1196106517</t>
  </si>
  <si>
    <t xml:space="preserve">Plant-Based vs. Pork Sausages: Protein Nutritional Quality and Antioxidant Potential in the Bioaccessible Fraction</t>
  </si>
  <si>
    <t xml:space="preserve">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</si>
  <si>
    <t xml:space="preserve">This study directly evaluates the protein nutritional quality (DIAAS, digestibility) and antioxidant potential of plant-based meat substitute sausages (soy, wheat, wheat-soy blend) compared to pork sausages, making it clearly in scope as alternative protein research.</t>
  </si>
  <si>
    <t xml:space="preserve">pub.1192912562</t>
  </si>
  <si>
    <t xml:space="preserve">Cake fortification with dietary fibre: Impact of fibre ingredients in a cake model system</t>
  </si>
  <si>
    <t xml:space="preserve">Despite its various health benefits, dietary fibre (DF) remains under-consumed, and many individuals fail to meet the recommended daily intake. Incorporating DF into wildly consumed foods while maintaining product quality is a significant challenge due to the negative impact on texture and sensory characteristics. Pound cake is a popular dessert in the Western world, however it is high in refined flour, sugar and fat; increasing the risk of type 2 diabetes, obesity, and cardiovascular disease. This study demonstrates the effect of different DF ingredients on the quality of cake and further investigates the concentrations at which resistant starch, pectin, β -glucan, cellulose and arabinoxylan can coexist. Response surface methodology resulted in the replacement of 38.45% flour by a optimal mixture of fibre ingredients. Evaluation of physicochemical characteristics including shelf life and sensory attributes showed that cake fortified with DF had a similar specific volume (-1.6%), a slightly harder crumb (+7.7%), but a prolonged shelf life (14 days) and an improved in vitro starch digestion profile than the control cake. Sensory results did not show a difference in the taste and hedonic attributes. This study provides information to progress in closing the fibre gap of foods without compromising consumer acceptability.</t>
  </si>
  <si>
    <t xml:space="preserve">This study focuses on dietary fibre fortification of pound cake, which is not an alternative protein product and does not aim to substitute animal proteins; protein is not a primary or significant focus of the research.</t>
  </si>
  <si>
    <t xml:space="preserve">pub.1194557209</t>
  </si>
  <si>
    <t xml:space="preserve">Natural Deep Eutectic Solvents for Agro-Industrial By-Product Valorization: Emerging Strategies for the Development of Functional Foods Targeting Diabetes</t>
  </si>
  <si>
    <t xml:space="preserve">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</si>
  <si>
    <t xml:space="preserve">This review focuses on natural deep eutectic solvents for extracting bioactive compounds (polyphenols, carotenoids, polysaccharides) from agro-industrial by-products for diabetes management as nutraceuticals/functional ingredients, with no substantive focus on alternative proteins as substitutes for animal-derived proteins.</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</si>
  <si>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</si>
  <si>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</si>
  <si>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</si>
  <si>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study concerns agronomic research on pea and faba bean intercropping, both high-protein crops used as alternative protein feedstocks, making it in scope under the agronomic research boundary for protein crops.</t>
  </si>
  <si>
    <t xml:space="preserve">pub.1192695772</t>
  </si>
  <si>
    <t xml:space="preserve">LP-40 Launch of the DIM testing project: when animal testing is difficult, impossible and meaningless (DIM) and implications for REACH regulation</t>
  </si>
  <si>
    <t xml:space="preserve">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</si>
  <si>
    <t xml:space="preserve">This publication concerns animal testing regulation under REACH and non-animal alternatives for toxicological safety assessment, with no relevance to alternative proteins or human food.</t>
  </si>
  <si>
    <t xml:space="preserve">pub.1191057504</t>
  </si>
  <si>
    <t xml:space="preserve">Lysozyme/Alginate Interactions: Structural and Thermodynamic Insights through ITC and SAXS</t>
  </si>
  <si>
    <t xml:space="preserve">Coacervation and aggregation are distinct phase separation phenomena influenced by molecular properties and physicochemical conditions, such as pH and ionic strength. We investigate lysozyme (LYS)-alginate (ALG) mixtures at pH 7, focusing on the role of ionic strength in determining whether liquid-liquid phase separation (LLPS) or liquid-solid phase separation (LSPS) occurs. Using Isothermal Titration Calorimetry (ITC) and Small-Angle X-ray Scattering (SAXS), we find that a low salt (0-50 mM NaCl) induces compact fractal aggregates, while the intermediate salt (100-150 mM) yields coexisting or pure coacervates composed of larger swollen primary globules. At 200 mM NaCl, soluble complexes form instead of phase separation. ITC data reveal that both LSPS and LLPS are electrostatically driven, with the binding strength decreasing ∼50-fold from LSPS to LLPS conditions. These results demonstrate that phase behavior is tunable via ionic strength and that stronger interactions correlate with denser structures, highlighting distinct structural and energetic signatures for LSPS and LLPS.</t>
  </si>
  <si>
    <t xml:space="preserve">While lysozyme is a protein and alginate is used in food systems, this publication focuses on fundamental physicochemical interactions (phase separation, coacervation) between lysozyme and alginate without any stated or implied application to alternative protein products or animal protein substitution.</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</si>
  <si>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</si>
  <si>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</si>
  <si>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</si>
  <si>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review directly concerns cultivated seafood, covering technology, consumer acceptance, environmental impact, and other aspects of cultured seafood production for human food.</t>
  </si>
  <si>
    <t xml:space="preserve">pub.1184315367</t>
  </si>
  <si>
    <t xml:space="preserve">In vitro and in vivo investigations on the use of yellow mealworm (Tenebrio molitor) as a novel protein feed ingredient for fattening lambs</t>
  </si>
  <si>
    <t xml:space="preserve">The quest for novel, alternative, and sustainable protein feed sources, including insects, has gained attraction by the feed industry. Here, two experiments (Exp.) explored the impacts of Tenebrio molitor meal (TMM) as a protein feed ingredient for fattening lambs, as compared to conventional plant-based and animal-based protein sources, namely soybean meal (SBM) and fish meal (FM), respectively. In Exp. 1, in vitro rumen gas kinetics and fermentation profile of three experimental diets [1- SBM at 150 g/kg dry matter (DM); 2- FM at 50 g/kg DM; and 3- TMM at 60 g/kg DM] were assessed using three fistulated lambs. In Exp. 2, twenty-four male Suffolk lambs [3 months of age; 24 ± 1.3 kg body weight (BW)] were randomly assigned for 30 days to one of the three experimental diets. Feed intake, digestibility, and nitrogen balance were assessed. At the end of the trial, the lambs were slaughtered, and samples of rumen (dorsal and ventral sacs), proximal intestine, and liver were collected and subjected to histomorphometric and histopathological evaluations. Data were analyzed using a general linear model and mixed models for the in vitro and in vivo trials, respectively; histopathological data were analyzed by a Kruskal-Wallis test. Results of Exp. 1 showed that total gas production was lower (P = 0.021; η2 = 0.359), while DM disappearance (P = 0.021; η2 = 0.233) and microbial crude protein production (P = 0.015; η2 = 0.347) were higher, for the TMM diet when compared to the FM diet, while the SBM diet showed intermediate values. Results of Exp. 2 revealed that the DM intake of TMM-fed lambs was comparable to that of FM-fed lambs, but lower than that of SBM-fed lambs (P = 0.035; η2 = 0.407). The average daily gain was the lowest in the TMM-fed lambs (P = 0.033; η2 = 0.373), while the final BW remained unaffected by diet. Higher total tract apparent digestibility of DM and organic matter was obtained with the TMM and FM diets than with the SBM diet (P &lt; 0.001; η2 = 0.411 and 0.408, respectively). Nitrogen balance ranked in the following order: FM &gt; TMM &gt; SBM (P &lt; 0.001; η2 = 0.385). Ruminal morphometric indexes (i.e., papillae length and width, absorption area, and thickness of mucosa, submucosa and muscular layers) were not affected by diet. When compared to SBM-fed lambs, the TMM- and FM-fed ones exhibited significantly lower severity of epithelial keratinization in the ruminal dorsal sac (P = 0.034; ε2 = 0.299). Intestinal inflammation was predominantly characterized by mononuclear cells and eosinophils in the TMM and SBM groups, respectively. No differences among the experimental groups were observed for other histopathological features at rumen, intestine, and liver levels. Overall, our results suggest that TMM can be used as a protein source for fattening lambs, but further studies should explore its use in combination with conventional protein sources to optimize the performance of lambs.</t>
  </si>
  <si>
    <t xml:space="preserve">This publication focuses exclusively on insect-based protein (Tenebrio molitor/yellow mealworm) as an animal feed ingredient for fattening lambs, both of which are explicit exclusions from scope.</t>
  </si>
  <si>
    <t xml:space="preserve">pub.1193037256</t>
  </si>
  <si>
    <t xml:space="preserve">Bacterial cellulose scaffolds derived from brewing waste for cultivated meat applications</t>
  </si>
  <si>
    <t xml:space="preserve">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</si>
  <si>
    <t xml:space="preserve">This publication directly investigates bacterial cellulose scaffolds derived from brewing waste as a scaffolding material for cultivated meat, including cell attachment and biocompatibility assays, placing it clearly within the cultivated meat category.</t>
  </si>
  <si>
    <t xml:space="preserve">pub.1193882396</t>
  </si>
  <si>
    <t xml:space="preserve">Comparative Proteomic Analysis Provides Insight into the Effect of Monochromatic Light Wavelength on Metabolic Pathways Regulation of the Edible Mushroom Pleurotus ostreatus Grown in Submerged Fermentation</t>
  </si>
  <si>
    <t xml:space="preserve">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</si>
  <si>
    <t xml:space="preserve">This publication investigates submerged fermentation of Pleurotus ostreatus (an edible mushroom/mycoprotein source) to optimise biomass composition and protein content, which is relevant to biomass fermentation for human food applications.</t>
  </si>
  <si>
    <t xml:space="preserve">pub.1193000535</t>
  </si>
  <si>
    <t xml:space="preserve">Developing the Sus-Health Index: a combined measure for describing environmental impact and nutritive value of foods and meals</t>
  </si>
  <si>
    <t xml:space="preserve">There is a need to develop a commonly agreed approach that describes a food's nutritive value and environmental impact that can be used to inform consumer choice. A new single index, the 'Sus-Health Index', is presented. The index was co-created in conjunction with a range of stakeholders drawn from policy, industry and consumer representation groups. The index is a product of existing nutrition and environmental indices, using a composite indicator methodology, and can be presented quantitatively as a numeric value or qualitatively on a categorized, colour coded, scale 'A (best)-E (worst)'. The index was applied to a dataset of food products and meals, and its sensitivity and applicability were assessed using a Monte-Carlo simulation. The results indicate that the Sus-Health scale represents a pragmatic indicator of a food or meal's combined nutritional and environmental value and could be used to help inform consumer food choices.This article is part of the theme issue 'Transforming terrestrial food systems for human and planetary health'.</t>
  </si>
  <si>
    <t xml:space="preserve">While this publication addresses food sustainability and nutritional value with potential relevance to alternative proteins, it does not explicitly include alternative proteins as a named category with specific data collected or analysed on them, making it out of scope.</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</si>
  <si>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</si>
  <si>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</si>
  <si>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</si>
  <si>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This review directly examines tempeh fermentation of diverse plant-based substrates (legumes, cereals, algae, seeds) as alternative protein sources, covering nutritional composition, bioactive compounds, and functional properties relevant to plant-based food development.</t>
  </si>
  <si>
    <t xml:space="preserve">Fermentation in plant-based will always be hard for the LLM to classify.</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</si>
  <si>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</si>
  <si>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</si>
  <si>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</si>
  <si>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This consumer acceptance study explicitly includes cultivated meat as a named subject with data collected and reported on it, making it in scope; insects are excluded but cultivated meat data is substantive and not merely incidental.</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</si>
  <si>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</si>
  <si>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</si>
  <si>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</si>
  <si>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This review directly examines the nutritional equivalence, bioavailability, and health implications of plant-based meat analogues and cultured meat compared to conventional meat, making it clearly in scope for both plant-based and cultivated meat categories.</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</si>
  <si>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</si>
  <si>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</si>
  <si>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</si>
  <si>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covers fermentation as a processing method for protein modification across diverse protein sources, including plant proteins, with clear relevance to alternative protein development for human food, though it also covers conventional protein sources such as dairy and meat.</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</si>
  <si>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</si>
  <si>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</si>
  <si>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</si>
  <si>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This publication develops a vegan mayonnaise analogue using yeast protein extract (from Saccharomyces cerevisiae, a fermentation-derived biomass protein) and Chlorella vulgaris (a microalga classified under fermentation), directly targeting animal protein substitution in a food product.</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</si>
  <si>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</si>
  <si>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</si>
  <si>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</si>
  <si>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review directly concerns Fusarium-based mycoprotein production via biomass fermentation as a sustainable meat substitute, covering fermentation technologies, process optimisation, techno-economic, and regulatory aspects of alternative protein development.</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</si>
  <si>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</si>
  <si>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</si>
  <si>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</si>
  <si>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This study uses fermentation (LAB and yeast starter cultures) to process microalgae (Chlorella vulgaris) as a protein source alongside wine pomace, generating functional protein-rich ingredients for food industry applications, which falls under fermentation/biomass fermentation scope.</t>
  </si>
  <si>
    <t xml:space="preserve">Doesn’t recognise wine pomace as a plant-based ingredient. Not a bad one to get wrong – it’s close-ish,</t>
  </si>
  <si>
    <t xml:space="preserve">pub.1186933420</t>
  </si>
  <si>
    <t xml:space="preserve">Microfiltration of microalgae biomolecules: Impact of pulsed electric fields and high-pressure homogenization on single-cell protein recovery and membrane fouling</t>
  </si>
  <si>
    <t xml:space="preserve">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</si>
  <si>
    <t xml:space="preserve">This study focuses on single-cell protein recovery from microalgae (Auxenochlorella protothecoides) via microfiltration, directly advancing bioprocessing methods for fermentation-derived alternative proteins.</t>
  </si>
  <si>
    <t xml:space="preserve">pub.1185035217</t>
  </si>
  <si>
    <t xml:space="preserve">People’s perception of biodiversity loss: Validation of a scale in Germany</t>
  </si>
  <si>
    <t xml:space="preserve">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</si>
  <si>
    <t xml:space="preserve">This publication concerns public perception of biodiversity loss and conservation, with no relevance to alternative proteins or food systems.</t>
  </si>
  <si>
    <t xml:space="preserve">pub.1191086704</t>
  </si>
  <si>
    <t xml:space="preserve">Benthic trophic status and spatiotemporal variability of macrobenthic assemblages in S'Ena Arrubia Lagoon (Sardinia, Italy)</t>
  </si>
  <si>
    <t xml:space="preserve">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</si>
  <si>
    <t xml:space="preserve">This publication concerns marine ecology and benthic fauna dynamics in a coastal lagoon, with no relevance to alternative proteins or human food production.</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</si>
  <si>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</si>
  <si>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</si>
  <si>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</si>
  <si>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bibliometric analysis explicitly focuses on cultured/lab-grown meat as an alternative protein source, covering research trends, regulatory implications, and sustainability aspects of cultivated meat.</t>
  </si>
  <si>
    <t xml:space="preserve">pub.1195978789</t>
  </si>
  <si>
    <t xml:space="preserve">Diets for Dual Cardiovascular and Planetary Health: A Scoping Review</t>
  </si>
  <si>
    <t xml:space="preserve">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</si>
  <si>
    <t xml:space="preserve">This scoping review explicitly examines plant-based and low-animal-protein diets in relation to cardiovascular and environmental outcomes, making alternative proteins a named and substantive focus of the analysis.</t>
  </si>
  <si>
    <t xml:space="preserve">First ‘in’ when supposed to be ‘out’. May need to adjust plant-based definition.</t>
  </si>
  <si>
    <t xml:space="preserve">pub.1189508336</t>
  </si>
  <si>
    <t xml:space="preserve">Technofunctional characterisation of a protein concentrate from the red seaweed, Palmaria palmata</t>
  </si>
  <si>
    <t xml:space="preserve">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</si>
  <si>
    <t xml:space="preserve">This publication characterises the technofunctional properties of a protein concentrate from Palmaria palmata (a macroalgal/red seaweed species), explicitly positioning it as an alternative protein ingredient compared to whey protein concentrate, which is directly in scope under the plant-based category for macroalgal protein sources.</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</si>
  <si>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</si>
  <si>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</si>
  <si>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</si>
  <si>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This study focuses on agronomic and climate modeling of sorghum yield in Ethiopia, with no focus on sorghum as an alternative protein source or ingredient for human food protein applications.</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</si>
  <si>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</si>
  <si>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</si>
  <si>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</si>
  <si>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policy instruments and strategies for the protein transition, focusing on shifting consumption from animal-based to plant-based proteins, which is squarely within the societal, policy, and consumer acceptance dimensions of alternative proteins.</t>
  </si>
  <si>
    <t xml:space="preserve">pub.1184322523</t>
  </si>
  <si>
    <t xml:space="preserve">The Dynamics of Self-Esteem and Depressive Symptoms Across Days, Months, and Years</t>
  </si>
  <si>
    <t xml:space="preserve">Self-esteem and depressive symptoms are important predictors of a range of societally relevant outcomes and are theorized to influence each other reciprocally over time. However, existing research offers only a limited understanding of how their dynamics unfold across different timescales. Using three data sets with different temporal resolutions, we aimed to advance our understanding of the temporal unfolding of the reciprocal dynamics between self-esteem and depressive symptoms. Across these data sets, participants (Ntotal = 6,210) rated their self-esteem and depressive symptoms between 6 and 14 times across days, months, and years, respectively. Using continuous time dynamic models, we found limited evidence for significant within-person cross-lagged effects between self-esteem and depressive symptoms. Only in the yearly data set, a cross-lagged effect from depressive symptoms to self-esteem emerged quite consistently. However, in all data sets, cross-lagged effects were small in size (-0.04 ≤ β ≤ -0.01). These findings suggest that the reciprocal dynamics between self-esteem and depressive symptoms may be less robust than commonly thought. Furthermore, exploratory analyses indicated that these effects depended on people's overall levels of depressive symptoms, suggesting that theoretical frameworks that highlight transactions between self-esteem and depression may not generalize across all levels of depressive symptoms. Finally, self-esteem and depressive symptoms were strongly correlated within measurements, similarly stable over time, and changed similarly in response to negative life events, provoking questions as to their conceptual distinctiveness and measurement approaches. (PsycInfo Database Record (c) 2025 APA, all rights reserved).</t>
  </si>
  <si>
    <t xml:space="preserve">This publication is about psychology research on self-esteem and depressive symptoms, with no relevance to alternative proteins or food science.</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</si>
  <si>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</si>
  <si>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</si>
  <si>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</si>
  <si>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While the report briefly mentions consumer awareness of lab-grown/cell-cultivated meat, alternative proteins are not a primary or significant focus — the report is a broad consumer food attitudes and behaviour tracker covering food prices, safety, and supply chain confidence, with only incidental mention of novel foods.</t>
  </si>
  <si>
    <t xml:space="preserve">Fixed previously… may have been buried within the prompt a bit.</t>
  </si>
  <si>
    <t xml:space="preserve">Edit to prompt: simplify socioeconomic research boundary</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</si>
  <si>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</si>
  <si>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</si>
  <si>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</si>
  <si>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While this publication concerns protein extraction and fractionation from maize germ, the primary focus is on processing a starch/oil side stream with protein as a secondary component, and the stated application (foam stability) does not clearly position this as an alternative protein for substituting animal products in human food.</t>
  </si>
  <si>
    <t xml:space="preserve">Borderline case, I’m okay with it being excluded.</t>
  </si>
  <si>
    <t xml:space="preserve">pub.1186125851</t>
  </si>
  <si>
    <t xml:space="preserve">Ethylated phosphorylcholine – a new marker for ethanol consumption: A proof of concept</t>
  </si>
  <si>
    <t xml:space="preserve">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</si>
  <si>
    <t xml:space="preserve">This publication concerns the development of a biomarker for alcohol consumption using liver cells and human blood samples, with no relevance to alternative proteins or food science.</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</si>
  <si>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</si>
  <si>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</si>
  <si>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</si>
  <si>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This study examines consumer practices around meat reduction and the use of plant-based meat analogues in flexitarian households, directly addressing acceptance and consumption context of plant-based alternatives to animal proteins.</t>
  </si>
  <si>
    <t xml:space="preserve">pub.1195404644</t>
  </si>
  <si>
    <t xml:space="preserve">Bioactive, Functional, and Technological Properties of Gluten-Free Pasta Enriched with Mango (Mangifera indica L.) Leaf Powder</t>
  </si>
  <si>
    <t xml:space="preserve">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</si>
  <si>
    <t xml:space="preserve">This study focuses on gluten-free pasta enriched with mango leaf powder for its bioactive and functional properties, with no stated aim of substituting animal proteins; pasta is explicitly excluded as a food that does not substitute animal proteins.</t>
  </si>
  <si>
    <t xml:space="preserve">pub.1190303165</t>
  </si>
  <si>
    <t xml:space="preserve">Present and future of Al, open science, and transparency in regulatory science</t>
  </si>
  <si>
    <t xml:space="preserve">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</si>
  <si>
    <t xml:space="preserve">This publication concerns AI and regulatory science broadly, with no focus on alternative proteins or any related protein source or production method.</t>
  </si>
  <si>
    <t xml:space="preserve">pub.1186555843</t>
  </si>
  <si>
    <t xml:space="preserve">Lactic acid fermentation of non-conventional plant-based protein extract</t>
  </si>
  <si>
    <t xml:space="preserve">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</si>
  <si>
    <t xml:space="preserve">This study directly investigates lactic acid bacteria fermentation of plant-based protein extracts (pea, faba, soy, hemp, etc.) to improve preservation and organoleptic properties, which is clearly in scope as fermentation used as a processing method to modify plant proteins for food applications.</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</si>
  <si>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</si>
  <si>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</si>
  <si>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</si>
  <si>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This publication directly concerns the development of a plant-based dairy alternative (lupin quark) using fermentation with lactic acid and propionic acid bacteria, clearly advancing alternative protein product development with lupin as the primary protein source.</t>
  </si>
  <si>
    <t xml:space="preserve">Classic plant-based vs fermentation overlap.</t>
  </si>
  <si>
    <t xml:space="preserve">pub.1196722647</t>
  </si>
  <si>
    <t xml:space="preserve">Functional Herbal Yogurt with Moringa oleifera Flower Extract: RSM-Based Optimization, and Quality Evaluation</t>
  </si>
  <si>
    <t xml:space="preserve">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</si>
  <si>
    <t xml:space="preserve">This publication concerns yogurt enriched with Moringa oleifera flower extract as a functional/nutritional additive, but the primary focus is on conventional dairy yogurt quality and optimization, not on alternative proteins or substituting animal-derived proteins.</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</si>
  <si>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</si>
  <si>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</si>
  <si>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</si>
  <si>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Although Aspergillus oryzae fungal biomass production via fermentation could be relevant to alternative proteins, the stated application in this study is explicitly animal feed, not human food.</t>
  </si>
  <si>
    <t xml:space="preserve">Agree out of scope – feed, not food, is state use.</t>
  </si>
  <si>
    <t xml:space="preserve">pub.1191549883</t>
  </si>
  <si>
    <t xml:space="preserve">Valorising feather keratin: antioxidant activity, cytotoxicity and mutagenicity during processing and gastrointestinal digestion</t>
  </si>
  <si>
    <t xml:space="preserve">Chicken feathers are an underutilized resource with high potential for bioactive peptide production. In this study, the valorisation of feather keratin through a three-step processing approach, i.e., keratin extraction with L-cysteine, followed by its enzymatic hydrolysis with pepsin, trypsin, chymotrypsin or subtilisin, and finally Maillard reaction with glucose or xylose of resulting hydrolysates was proposed. Representative preparations were subjected to simulated gastrointestinal digestion to evaluate their behaviour under physiological-like conditions. Subtilisin hydrolysate showed the strongest radical scavenging, iron-chelating and reducing activity. Its glycation with xylose yielded a preparation with enhanced radical scavenging and reducing activity, diminished iron chelation pre-digestion but the highest overall antioxidant capacity post-digestion. Neither processing nor digestion compromised the safety of the keratin preparation, as the absence of acute cytotoxicity or mutagenicity indicated. All digests showed high digestibility and retained antioxidant properties. These findings support the potential of feather keratin preparations as antioxidant ingredients in nutraceutical applications.</t>
  </si>
  <si>
    <t xml:space="preserve">This publication focuses on feather keratin bioactive peptides for nutraceutical applications, which falls under the excluded category of nutraceuticals/bioactive peptides and is not directed at substituting animal proteins in the diet.</t>
  </si>
  <si>
    <t xml:space="preserve">pub.1194404883</t>
  </si>
  <si>
    <t xml:space="preserve">A pangenome and pantranscriptome of hexaploid oat</t>
  </si>
  <si>
    <t xml:space="preserve">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</si>
  <si>
    <t xml:space="preserve">The abstract explicitly links oat genomic research to its use as the basis for plant-based milk analogues, making this agronomic/genomic research on a high-protein crop directly relevant to alternative protein development.</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</si>
  <si>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</si>
  <si>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</si>
  <si>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</si>
  <si>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concerns avian primordial germ cell biology and genetic conservation, with no relevance to alternative protein development or human food applications.</t>
  </si>
  <si>
    <t xml:space="preserve">Agree out of scope.</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</si>
  <si>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</si>
  <si>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</si>
  <si>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</si>
  <si>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publication includes life-cycle assessment of microbial protein (single-cell protein via microbial conversion) and fungi-based proteins as novel food ingredients, which are fermentation-derived alternative proteins, making it in scope despite also covering insect farming and feed applications.</t>
  </si>
  <si>
    <t xml:space="preserve">pub.1191268831</t>
  </si>
  <si>
    <t xml:space="preserve">The Role of Sex in the Impact of Sleep Restriction on Appetite- and Weight-Regulating Hormones in Healthy Adults: A Systematic Review of Human Studies</t>
  </si>
  <si>
    <t xml:space="preserve">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</si>
  <si>
    <t xml:space="preserve">This systematic review concerns the effects of sleep restriction on appetite-regulating hormones and has no relevance to alternative proteins or their development, production, or consumption.</t>
  </si>
  <si>
    <t xml:space="preserve">pub.1186164240</t>
  </si>
  <si>
    <t xml:space="preserve">Exploring the Potential of Lactic Acid Bacteria Fermentation as a Clean Label Alternative for Use in Yogurt Production</t>
  </si>
  <si>
    <t xml:space="preserve">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</si>
  <si>
    <t xml:space="preserve">This publication focuses on lactic acid bacteria fermentation for yogurt preservation as a clean label ingredient, which concerns conventional dairy products rather than alternative proteins intended to substitute animal products.</t>
  </si>
  <si>
    <t xml:space="preserve">pub.1193941651</t>
  </si>
  <si>
    <t xml:space="preserve">An Alternative Safety Profiling Algorithm (ASPA) to transform next generation risk assessment into a structured and transparent process.</t>
  </si>
  <si>
    <t xml:space="preserve">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</si>
  <si>
    <t xml:space="preserve">This publication concerns a chemical risk assessment algorithm for toxicology and regulatory safety profiling, with no relevance to alternative proteins or food science.</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</si>
  <si>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</si>
  <si>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</si>
  <si>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</si>
  <si>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error</t>
  </si>
  <si>
    <t xml:space="preserve">pub.1184587474</t>
  </si>
  <si>
    <t xml:space="preserve">Comparison of granulometric and textural characteristics of in vitro food bolus of beef- and plant-based patties</t>
  </si>
  <si>
    <t xml:space="preserve">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</si>
  <si>
    <t xml:space="preserve">This study directly compares plant-based meat patties with beef patties in terms of oral processing and texture, with the explicit aim of advancing the development of plant-based meat analogues that better simulate the sensory characteristics of conventional meat.</t>
  </si>
  <si>
    <t xml:space="preserve">pub.1185591975</t>
  </si>
  <si>
    <t xml:space="preserve">Covalent organic frameworks supported geminal-atom catalysts for upcycling nitrate into single-cell protein</t>
  </si>
  <si>
    <t xml:space="preserve">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</si>
  <si>
    <t xml:space="preserve">The publication describes the production of single-cell protein (SCP) via a microbial biotransformation system coupled with electrocatalytic nitrate reduction, which falls under fermentation-derived protein (biomass fermentation) intended as an alternative protein source for human food.</t>
  </si>
  <si>
    <t xml:space="preserve">pub.1195460961</t>
  </si>
  <si>
    <t xml:space="preserve">Rheological and Textural Properties of Plant‐Based Gel Derived From Pulsed Electric Field‐Treated Oat Flour and Pea Protein</t>
  </si>
  <si>
    <t xml:space="preserve">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</si>
  <si>
    <t xml:space="preserve">This study investigates the rheological and textural properties of plant-based gels made from oat flour and pea protein, which are relevant to plant-based food product development using alternative protein ingredients.</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</si>
  <si>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</si>
  <si>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</si>
  <si>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</si>
  <si>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While the study uses commercial food protein isolates and examines flavor-protein binding relevant to food design, the focus is on mucin's role in flavor binding mechanisms rather than on alternative protein development or characterisation for animal product substitution.</t>
  </si>
  <si>
    <t xml:space="preserve">Agree out of scope</t>
  </si>
  <si>
    <t xml:space="preserve">pub.1187071484</t>
  </si>
  <si>
    <t xml:space="preserve">Characterization and quantification of anisotropy in mozzarella cheese: Exploring the impact of structural anisotropy on functional properties using complementary analytical technologies</t>
  </si>
  <si>
    <t xml:space="preserve">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</si>
  <si>
    <t xml:space="preserve">This publication focuses on the structural and functional properties of conventional mozzarella cheese (an animal-derived dairy product), with no relevance to alternative proteins or plant-based, fermentation-derived, or cultivated protein products.</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</si>
  <si>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</si>
  <si>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</si>
  <si>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</si>
  <si>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This study directly investigates enzymatic treatment to improve the functional properties (solubility) of rapeseed storage proteins for use in plant-based food formulations, making it clearly in scope as plant-based alternative protein research.</t>
  </si>
  <si>
    <t xml:space="preserve">pub.1187600268</t>
  </si>
  <si>
    <t xml:space="preserve">Prediction of black soldier fly larval sex and morphological traits using computer vision and deep learning</t>
  </si>
  <si>
    <t xml:space="preserve">The growing interest in insect farming as a sustainable protein alternative has given rise to the commercial production of key species like the Black Soldier Fly (BSF), primarily for use in livestock, fish, and pet nutrition. Despite the heightened interest in BSF production, there is a need for increased efficiency, particularly in the context of large-scale measurement of various traits for selective breeding as well as management optimization. The unique insect production systems, coupled with the challenges posed by their small size, fragility, and metamorphic life cycle underscores the necessity for innovative approaches to streamline production. This study explores the potential of computer vision (CV) in predicting the larval sex and morphological traits of BSF, offering a non-invasive, rapid, and automated method for trait measurement. The study explores algorithms utilizing You-Only-Look-Once (YOLOv8) in detection and segmentation, ResNet for feature extraction and classification, and regression analysis mechanisms. We assess the ability of our models to predict larval weight from images through morphometric weight prediction and CNN-regression approaches. A notable contribution of this study is the pioneering effort to classify BSF larval sex using CV and deep learning (DL). In the analysis of larval weight prediction, a coefficient determination (R2) of up to 0.80 between measured and predicted weight was achieved using the morphometric weight prediction approach, along with an R2 of 0.71 through the CNN-regression approach. Additionally, the sex prediction module demonstrated an F1 score of 0.75 and a prediction accuracy of 74 %. These results underscore the feasibility of leveraging CV techniques for predicting the sex and body traits of BSF larvae, representing a significant advancement toward the automation of selective breeding in the context of insect farming.</t>
  </si>
  <si>
    <t xml:space="preserve">This publication focuses exclusively on Black Soldier Fly (insect-based protein) production for livestock, fish, and pet nutrition — not human food — and insect-based proteins are explicitly excluded from scope.</t>
  </si>
  <si>
    <t xml:space="preserve">pub.1190652749</t>
  </si>
  <si>
    <t xml:space="preserve">Evidence on the parameters of oculomotor skills and normative values: A systematic review</t>
  </si>
  <si>
    <t xml:space="preserve">PURPOSE: To evaluate the current evidence on oculomotor measurement parameters and their normative values through a systematic review.
METHODS: A search of primary studies was conducted using a search equation with free language. Original articles analyzing normal oculomotor function parameters in healthy populations of any age, studies that included a clearly differentiated healthy control group, and articles using any oculomotor measurement test were included. The QUADAS-2 tool was used to assess the risk of bias, applicability, and quality of the studies. The review was conducted independently by the authors and then pooled to determine the final inclusion.
RESULTS: A total of 915 articles were identified, of which 750 were excluded after the first review of the title and abstract. In the second step, 133 out of 165 investigations were discarded. Ultimately, 32 articles from the initial search were included, along with 10 additional articles identified through a manual search. The findings revealed variations in how oculomotor skills are measured, including differences in stimuli, measurement distances, and parameters assessed. A high risk of bias was observed (≥50 % in the areas of "flow and timing", "reference standard" and "patient selection") along with poor applicability (≥50 % in all aspects).
CONCLUSIONS: There is no clear evidence on normative values for oculomotor skills, nor is there a consensus on the measurement methods, stimulus used, or working distance. Furthermore, there is no agreement on which aspects of oculomotor skills should be assessed. To enhance reliability and applicability, measurement criteria should be standardized, and normative values should be established.</t>
  </si>
  <si>
    <t xml:space="preserve">This publication is a systematic review on oculomotor skills and normative values, with no relevance to alternative proteins or food science.</t>
  </si>
  <si>
    <t xml:space="preserve">pub.1191293711</t>
  </si>
  <si>
    <t xml:space="preserve">Functionalizing walnut protein via consecutive purification and ultrasound modification: Self-assembled structure and interfacial properties</t>
  </si>
  <si>
    <t xml:space="preserve">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</si>
  <si>
    <t xml:space="preserve">This publication focuses on the extraction, modification, and functional characterisation of walnut protein as a plant-based food ingredient with emulsifying properties, directly relevant to alternative protein development.</t>
  </si>
  <si>
    <t xml:space="preserve">pub.1188675732</t>
  </si>
  <si>
    <t xml:space="preserve">Metabolomic profiling of Iberian dry-cured ham: Preliminary approach to discriminate between hams from different commercial categories</t>
  </si>
  <si>
    <t xml:space="preserve">For more than 25 years, profuse research has aimed to discriminate Iberian-dry-cured hams produced from pigs differing in genetics (pure Iberian vs. crosses) and feeding background (natural resources vs. commercial feeds). Certain advanced MS-based analytical tools have been found useful to characterise and authenticate a variety of meat products. Here, for the first time, the metabolome (more than 3000 identified compounds) of Iberian dry-cured hams from the three most valuable categories, labeled as BLACK, RED and GREEN, is analysed using a Q-Exactive Orbitrap mass-spectrometry (MS) equipment. The chemical structure, plausible origin and role played by the 35 most abundant chemical species in Iberian dry-cured hams, are reported. Additionally, Iberian hams differing in genetic background namely, BLACK (100 % Iberian) and RED (50 % Iberian) were found to differ in 142 discriminating metabolites. Sixty-six distinctive metabolites were found in RED hams, produced from pigs fed on natural resources, while seventy discriminating metabolites were identified in GREEN hams, produced from pigs fed on concentrate. The method applied provided a preliminary metabolic fingerprinting of Iberian dry-cured hams, which may be helpful for authentication purposes.</t>
  </si>
  <si>
    <t xml:space="preserve">This publication focuses on metabolomic profiling and authentication of conventional Iberian dry-cured ham from pigs, with no relevance to alternative proteins.</t>
  </si>
  <si>
    <t xml:space="preserve">pub.1188263459</t>
  </si>
  <si>
    <t xml:space="preserve">Textural properties of faba bean-based Camembert analogue</t>
  </si>
  <si>
    <t xml:space="preserve">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</si>
  <si>
    <t xml:space="preserve">This study directly concerns the development of a faba bean-based plant-based dairy analogue (Camembert-style vegan cheese), which is clearly within scope as a plant-based alternative protein product.</t>
  </si>
  <si>
    <t xml:space="preserve">pub.1189862049</t>
  </si>
  <si>
    <t xml:space="preserve">Plant-based milk alternatives: can they replace the iodine from UK cow's milk?</t>
  </si>
  <si>
    <t xml:space="preserve">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</si>
  <si>
    <t xml:space="preserve">This review directly examines plant-based milk alternatives as substitutes for cow's milk, focusing on nutritional implications (iodine intake) of this dietary shift, which is clearly within scope as research on the nutritional characterisation and public health aspects of plant-based dairy alternatives.</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</si>
  <si>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</si>
  <si>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</si>
  <si>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</si>
  <si>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This review explicitly covers plant-based, fungal/algae (fermentation), and cultivated meat analogues, comparing their nutritional and sensory properties as alternatives to conventional meat for human consumption.</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</si>
  <si>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</si>
  <si>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</si>
  <si>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</si>
  <si>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publication explicitly covers alternative proteins from legumes, microalgae, and fermentation for food and feed applications, which are substantively in scope despite also including insect-based proteins (an excluded topic that is not the sole focus).</t>
  </si>
  <si>
    <t xml:space="preserve">pub.1195444487</t>
  </si>
  <si>
    <t xml:space="preserve">Eating Rate has Sustained Effects on Energy Intake from Ultra-Processed Diets: A Two-Week Ad Libitum Dietary Randomized Controlled Cross-over Trial</t>
  </si>
  <si>
    <t xml:space="preserve">BACKGROUND: Previous research has shown that diets dominated by ultraprocessed foods (UPF) are associated with higher dietary energy intakes. This association may be attributable in part to meal texture and associated eating rate (ER). Experimental studies are needed to clarify the underlying mechanisms.
OBJECTIVES: The objective was to compare daily energy intake (kcal/d) from diets with different meal texture-derived ER (g/min) (UPF Slow-ER compared to UPF Fast-ER) across a 14-day period. Two UPF diets comprised of foods selected to have textures known to lead to a slower or faster ER.
METHODS: Forty-one participants [n = 21 male, mean (± standard deviation) age 27 ± 5; weight 70 ± 10 kg; body mass index 23.4 ± 1.9] completed a single-blind, block-randomized crossover study including 2 14-day diets; UPF Slow-ER and UPF Fast-ER, with a 2-wk washout. Diets were served ad libitum and matched for palatability, portion size served, total energy served, non-beverage energy density, and meal variety.
RESULTS: Daily energy intake was 369 kcal/d (95% confidence interval: 221, 517) lower on the UPF Slow-ER diet compared with the UPF Fast-ER diet [main effect; F (1, 1051) = 23.98, P &lt; 0.001]. The effect on energy intake was consistent across participants and the number of days on the diet [diet∗time: F (13, 1051) = 0.96, P = 0.486], and was not attributable to meal liking or macronutrient intake (all, P &gt; 0.05). There was no change in body weight pre-diets to post-diets, and no differences in body weight between the 2 diets. Body fat mass decreased on the UPF Slow-ER diet by 0.43 kg [main effect; F (1, 119) = 14.68, P = 0.0002].
CONCLUSIONS: Food texture-derived ER has a significant and sustained effect on energy intake of ultraprocessed diets over a 2-wk period. This finding highlights the importance of food texture in guiding ER and the central role of sensory cues in regulating meal size. This trial was registered at clinicaltrials.gov as NCT06113146.</t>
  </si>
  <si>
    <t xml:space="preserve">This study investigates eating rate and energy intake from ultra-processed diets, with no focus on alternative proteins or substitution of animal proteins.</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</si>
  <si>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</si>
  <si>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</si>
  <si>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</si>
  <si>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This study focuses on microbial protein production using microalgae and hydrogen-oxidizing bacteria biomass fermentation, which falls under single-cell protein/biomass fermentation for human food applications.</t>
  </si>
  <si>
    <t xml:space="preserve">pub.1189564490</t>
  </si>
  <si>
    <t xml:space="preserve">Does the use of Beef-on-Dairy lead to increased longevity in dairy herds?</t>
  </si>
  <si>
    <t xml:space="preserve">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</si>
  <si>
    <t xml:space="preserve">This publication concerns dairy herd management and cattle longevity, with no relevance to alternative proteins or plant-based, fermentation, or cultivated meat research.</t>
  </si>
  <si>
    <t xml:space="preserve">pub.1188136018</t>
  </si>
  <si>
    <t xml:space="preserve">Particle size and morphological features of lupin protein-pectin complexes affect the oil-water interfacial properties and emulsion stabilization</t>
  </si>
  <si>
    <t xml:space="preserve">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</si>
  <si>
    <t xml:space="preserve">This publication directly investigates lupin protein functionality and its use as a plant-based stabilizer/emulsifier, which is clearly relevant to alternative protein ingredient development for food applications.</t>
  </si>
  <si>
    <t xml:space="preserve">pub.1189507463</t>
  </si>
  <si>
    <t xml:space="preserve">Plant vs Dairy protein stabilised cappuccino foams: how protein and hydrocolloid conformational changes affect foam stability</t>
  </si>
  <si>
    <t xml:space="preserve">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</si>
  <si>
    <t xml:space="preserve">This study directly investigates the formation and stability of plant-based dairy alternative milk foams for cappuccino applications, comparing them to dairy protein foams and seeking to improve plant-based alternatives — clearly in scope as alternative protein food product research.</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</si>
  <si>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</si>
  <si>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</si>
  <si>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</si>
  <si>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The study includes tofu sausages (a plant-based protein product) alongside pork sausages, and the coatings are applied to both, making alternative protein food products a significant focus of the research.</t>
  </si>
  <si>
    <t xml:space="preserve">pub.1184383349</t>
  </si>
  <si>
    <t xml:space="preserve">Digestive fate of emulsions formulated with pea and lupin protein ingredients: Modulation of lipid digestibility and bioaccessibility by the interfacial composition?</t>
  </si>
  <si>
    <t xml:space="preserve">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</si>
  <si>
    <t xml:space="preserve">This publication directly investigates pea and lupin protein ingredients as emulsifiers in plant-based food systems, examining their nutritional and functional properties in the context of transitioning towards plant proteins as alternatives to animal proteins.</t>
  </si>
  <si>
    <t xml:space="preserve">pub.1196193258</t>
  </si>
  <si>
    <t xml:space="preserve">The potential of mycelium from mushroom-producing fungi in alternative protein production: a focus on fungal growth, metabolism, and nutrition</t>
  </si>
  <si>
    <t xml:space="preserve">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</si>
  <si>
    <t xml:space="preserve">This publication directly concerns biomass fermentation using basidiomycete fungi (mycoprotein/mycelium) on plant substrates to produce alternative protein foods with improved nutritional properties, clearly falling within the fermentation pillar of alternative proteins.</t>
  </si>
  <si>
    <t xml:space="preserve">pub.1194826734</t>
  </si>
  <si>
    <t xml:space="preserve">Transcriptional Regulation of Salt Stress Tolerance in Triticum aestivum (Wheat): NAC Transcription Factors and Their Target Genes</t>
  </si>
  <si>
    <t xml:space="preserve">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</si>
  <si>
    <t xml:space="preserve">This study focuses on salt stress tolerance mechanisms in wheat via NAC transcription factors, which is general agronomic/molecular biology research on a staple crop where protein is not the primary value or focus.</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</si>
  <si>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</si>
  <si>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</si>
  <si>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</si>
  <si>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publication focuses on 3D printing of mycoprotein derived from filamentous fungus Aspergillus oryzae biomass, which is a biomass fermentation-derived protein source, and develops food products with tailored textures — dysphagia is a swallowing condition affecting the general population, not a specific medical diagnosis requiring therapeutic nutrition, keeping it in scope.</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</si>
  <si>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</si>
  <si>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</si>
  <si>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</si>
  <si>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This publication explicitly analyses the environmental impact of substituting conventional meat with alternative meat options, including their effects on groundwater quality, nitrogen fertilizer use, and water footprint, making it in-scope cross-cutting research on the environmental aspects of alternative proteins.</t>
  </si>
  <si>
    <t xml:space="preserve">pub.1194108208</t>
  </si>
  <si>
    <t xml:space="preserve">Homeostatic Counter‐Regulation Mediates Spermidine‐Induced Triacylglyceride Reduction in Drosophila melanogaster—From Phenotype to Molecular Mechanism</t>
  </si>
  <si>
    <t xml:space="preserve">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</si>
  <si>
    <t xml:space="preserve">This study investigates the metabolic effects of spermidine supplementation on fat storage in Drosophila melanogaster, with no focus on alternative proteins or substitution of animal proteins in human food.</t>
  </si>
  <si>
    <t xml:space="preserve">pub.1184385604</t>
  </si>
  <si>
    <t xml:space="preserve">Protein extraction from lupin (Lupinus angustifolius L.) using combined ultrasound and microwave techniques: Impact on protein recovery, structure, and functional properties</t>
  </si>
  <si>
    <t xml:space="preserve">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</si>
  <si>
    <t xml:space="preserve">This study focuses on extracting and characterising protein isolates from lupin, a high-protein crop used as an alternative protein feedstock, with direct relevance to plant-based protein ingredient development.</t>
  </si>
  <si>
    <t xml:space="preserve">pub.1194750416</t>
  </si>
  <si>
    <t xml:space="preserve">Recent Approaches for Bioactive Peptides Production from Pulses and Pseudocereals</t>
  </si>
  <si>
    <t xml:space="preserve">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</si>
  <si>
    <t xml:space="preserve">Although the publication concerns plant proteins from pulses and pseudocereals and mentions fermentation, its primary focus is on bioactive peptides for nutraceutical and functional food applications (antihypertensive, antidiabetic, antioxidant activities), which falls under the excluded category of bioactive peptides and medical/nutraceutical nutrition rather than alternative protein development for substituting animal products.</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</si>
  <si>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</si>
  <si>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</si>
  <si>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</si>
  <si>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publication directly concerns fermentation-derived protein for human food, covering both biomass fermentation (single-cell protein from hydrogen-oxidising bacteria) and precision fermentation (recombinant milk protein production), which are core fermentation alternative protein topics.</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</si>
  <si>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</si>
  <si>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</si>
  <si>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</si>
  <si>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review focuses on the neurological health outcomes of vegan and vegetarian diets, with no specific focus on alternative proteins as a category or on the development, characterisation, or production of alternative protein products; it is a general dietary health review rather than alternative protein research.</t>
  </si>
  <si>
    <t xml:space="preserve">Agree out of scope. No clear mention of alternative proteins.</t>
  </si>
  <si>
    <t xml:space="preserve">pub.1192661487</t>
  </si>
  <si>
    <t xml:space="preserve">Lab-grown bites: What drives or stops the world from eating cultured meat? A global perspective on developed and developing countries</t>
  </si>
  <si>
    <t xml:space="preserve">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</si>
  <si>
    <t xml:space="preserve">This systematic literature review directly examines consumer perception and acceptance of cultivated meat across developed and developing countries, clearly falling within the scope of alternative protein consumer behaviour research.</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</si>
  <si>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</si>
  <si>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</si>
  <si>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</si>
  <si>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This publication is a systematic literature review on the sustainability narratives of cultured meat, covering economic, environmental, and social dimensions, which falls squarely within the scope of alternative protein research on cultivated meat.</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</si>
  <si>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</si>
  <si>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</si>
  <si>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</si>
  <si>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This study explicitly includes lab-grown meat (cultivated meat) as a named category with data collected and analysed on consumer trust, making it in scope for cultivated meat research on consumer acceptance.</t>
  </si>
  <si>
    <t xml:space="preserve">pub.1187143498</t>
  </si>
  <si>
    <t xml:space="preserve">Effect of pH and ionic strength on heat-induced pea protein isolate aggregation and gel formation</t>
  </si>
  <si>
    <t xml:space="preserve">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</si>
  <si>
    <t xml:space="preserve">This study investigates the techno-functional properties (aggregation, gelation, solubility) of pea protein isolate, a key alternative protein ingredient, under varying pH and ionic conditions, directly advancing the development and characterisation of plant-based proteins for food applications.</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</si>
  <si>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</si>
  <si>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</si>
  <si>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</si>
  <si>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This publication focuses on biomass fermentation of Pleurotus djamor mycelium (fungal biomass as protein source) for use in meat analogues such as burger patties and vegan sausages, clearly qualifying as fermentation-derived alternative protein for human food.</t>
  </si>
  <si>
    <t xml:space="preserve">pub.1186603633</t>
  </si>
  <si>
    <t xml:space="preserve">Estimating the Burden of Common Mental Disorders Attributable to Lifestyle Factors: Protocol for the Global Burden of Disease Lifestyle and Mental Disorder (GLAD) Project.</t>
  </si>
  <si>
    <t xml:space="preserve">BACKGROUND: The Global Burden of Diseases, Injuries, and Risk Factors Study (GBD) collects and calculates risk-outcome data for modifiable lifestyle exposures (eg, dietary intake) and physical health outcomes (eg, cancers). These estimates form a critical digital resource tool, the GBD VizHub data visualization tool, for governments and policy makers to guide local, regional, and global health decisions. Despite evidence showing the contributions of lifestyle exposures to common mental disorders (CMDs), such as depression and anxiety, GBD does not currently generate these lifestyle exposure-mental disorder outcome pairings. This gap is due to a lack of uniformly collected and analyzed data about these exposures as they relate to CMDs. Such data are required to quantify whether, and to what degree, the global burden of CMDs could be reduced by targeting lifestyle factors at regional and global levels. We have established the Global burden of disease Lifestyle And mental Disorder (GLAD) Taskforce to address this gap.
OBJECTIVE: This study aims to generate the necessary estimates to afford the inclusion of lifestyle exposures as risk factors for CMDs in the GBD study and the GBD digital visualization tools, initially focusing on the relationship between dietary intake and CMDs.
METHODS: The GLAD project is a multicenter, collaborative effort to integrate lifestyle exposures as risk factors for CMDs in the GBD study. To achieve this aim, global epidemiological studies will be recruited to conduct harmonized data analyses estimating the risk, odds, or hazards of lifestyle exposures with CMD outcomes. Initially, these models will focus on the relationship between dietary intake, as defined by the GBD, and anxiety and depression.
RESULTS: As of August 2024, 18 longitudinal cohort studies from 9 countries (Australia: n=4; Brazil: n=1; France: n=1; Italy: n=3; The Netherlands: n=3; New Zealand: n=1; South Africa: n=1; Spain: n=1; and United Kingdom: n=3) have agreed to participate in the GLAD project.
CONCLUSIONS: Our comprehensive, collaborative approach allows for the concurrent execution of a harmonized statistical analysis protocol across multiple, internationally renowned epidemiological cohorts. These results will be used to inform the GBD study and incorporate lifestyle risk factors for CMD in the GBD digital platform. Consequently, given the worldwide influence of the GBD study, findings from the GLAD project can offer valuable insights to policy makers worldwide around lifestyle-based mental health care.
INTERNATIONAL REGISTERED REPORT IDENTIFIER (IRRID): DERR1-10.2196/65576.</t>
  </si>
  <si>
    <t xml:space="preserve">This publication concerns the relationship between dietary lifestyle factors and common mental disorders, with no focus on alternative proteins or their development, characterisation, or societal aspects.</t>
  </si>
  <si>
    <t xml:space="preserve">pub.1192719713</t>
  </si>
  <si>
    <t xml:space="preserve">An Online Experiment into the Effects of Masculine-Themed versus Neutral Meat Alternative Marketing on Men’s Perceived Association between Meat and Masculinity</t>
  </si>
  <si>
    <t xml:space="preserve">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</si>
  <si>
    <t xml:space="preserve">This study examines consumer acceptance and marketing strategies for meat alternatives (plant-based pizza and vegan nuggets), directly addressing barriers to alternative protein adoption among men, making it in scope as cross-cutting consumer behaviour research.</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</si>
  <si>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</si>
  <si>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</si>
  <si>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</si>
  <si>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This study directly examines consumer willingness-to-pay for cultured meat (cultured chicken) in China, which is clearly within scope as consumer acceptance research on cultivated meat.</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</si>
  <si>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</si>
  <si>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</si>
  <si>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</si>
  <si>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This study directly investigates bovine embryonic stem cell lines for cultivated meat production, focusing on chromosomal stability and cell line development relevant to cultured meat bioprocessing.</t>
  </si>
  <si>
    <t xml:space="preserve">pub.1185304805</t>
  </si>
  <si>
    <t xml:space="preserve">Understanding the effect of aggregation temperature on molecular interactions in zein gels to tailor the matrix for plant-based cheese alternatives</t>
  </si>
  <si>
    <t xml:space="preserve">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</si>
  <si>
    <t xml:space="preserve">This study directly investigates zein protein gels as matrices for plant-based cheese alternatives, focusing on techno-functional properties relevant to mimicking dairy cheese, which is clearly in scope as plant-based protein research for animal product substitution.</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</si>
  <si>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</si>
  <si>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</si>
  <si>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</si>
  <si>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This study directly investigates consumer acceptance and behavioural intentions towards meat alternative proteins broadly, making it clearly in scope as cross-cutting consumer/societal research on alternative proteins.</t>
  </si>
  <si>
    <t xml:space="preserve">If 2</t>
  </si>
  <si>
    <t xml:space="preserve">If 3</t>
  </si>
  <si>
    <t xml:space="preserve">In 110 docs</t>
  </si>
  <si>
    <t xml:space="preserve">2 incorrect scope (with my revisions), 1 definitely fixable</t>
  </si>
  <si>
    <t xml:space="preserve">Of 65 in scope, 3 incorrect AP label (with my revisions)</t>
  </si>
  <si>
    <t xml:space="preserve">And it’s always the plant-based fermentation overlap</t>
  </si>
  <si>
    <t xml:space="preserve">scope accuracy</t>
  </si>
  <si>
    <t xml:space="preserve">ap pillar accuracy</t>
  </si>
  <si>
    <t xml:space="preserve">metric</t>
  </si>
  <si>
    <t xml:space="preserve">value</t>
  </si>
  <si>
    <t xml:space="preserve">n</t>
  </si>
  <si>
    <t xml:space="preserve">scope_accuracy</t>
  </si>
  <si>
    <t xml:space="preserve">93%</t>
  </si>
  <si>
    <t xml:space="preserve">pillar_accuracy</t>
  </si>
  <si>
    <t xml:space="preserve">89%</t>
  </si>
  <si>
    <t xml:space="preserve">pillar_accuracy_both_in_scope</t>
  </si>
  <si>
    <t xml:space="preserve">94%</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</si>
</sst>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969696"/>
      </patternFill>
    </fill>
    <fill>
      <patternFill patternType="solid">
        <fgColor rgb="FFFFFF00"/>
        <bgColor rgb="FFFFFF00"/>
      </patternFill>
    </fill>
    <fill>
      <patternFill patternType="solid">
        <fgColor rgb="FFFFBF00"/>
        <bgColor rgb="FFFF99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9" activePane="bottomLeft" state="frozen"/>
      <selection pane="topLeft" activeCell="A1" activeCellId="0" sqref="A1"/>
      <selection pane="bottomLeft" activeCell="G58" activeCellId="0" sqref="G58"/>
    </sheetView>
  </sheetViews>
  <sheetFormatPr defaultColWidth="8.34375" defaultRowHeight="15" customHeight="false" zeroHeight="false" outlineLevelRow="0" outlineLevelCol="0"/>
  <cols>
    <col collapsed="false" customWidth="false" hidden="false" outlineLevel="0" max="14" min="1" style="1" width="8.34"/>
    <col collapsed="false" customWidth="true" hidden="false" outlineLevel="0" max="18" min="17" style="2" width="21.24"/>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Q1" s="2" t="s">
        <v>15</v>
      </c>
      <c r="R1" s="2" t="s">
        <v>16</v>
      </c>
    </row>
    <row r="2" customFormat="false" ht="45.1" hidden="false" customHeight="false" outlineLevel="0" collapsed="false">
      <c r="A2" s="3" t="s">
        <v>17</v>
      </c>
      <c r="B2" s="3" t="s">
        <v>18</v>
      </c>
      <c r="C2" s="4" t="s">
        <v>19</v>
      </c>
      <c r="D2" s="3" t="s">
        <v>20</v>
      </c>
      <c r="E2" s="3" t="s">
        <v>20</v>
      </c>
      <c r="F2" s="3" t="n">
        <v>4</v>
      </c>
      <c r="G2" s="3" t="s">
        <v>21</v>
      </c>
      <c r="H2" s="5" t="b">
        <f aca="false">TRUE()</f>
        <v>1</v>
      </c>
      <c r="I2" s="3" t="s">
        <v>22</v>
      </c>
      <c r="J2" s="3" t="s">
        <v>22</v>
      </c>
      <c r="K2" s="5" t="b">
        <f aca="false">TRUE()</f>
        <v>1</v>
      </c>
      <c r="L2" s="5" t="b">
        <f aca="false">FALSE()</f>
        <v>0</v>
      </c>
      <c r="M2" s="5" t="b">
        <f aca="false">FALSE()</f>
        <v>0</v>
      </c>
      <c r="N2" s="5" t="b">
        <f aca="false">TRUE()</f>
        <v>1</v>
      </c>
      <c r="O2" s="5" t="b">
        <f aca="false">FALSE()</f>
        <v>0</v>
      </c>
    </row>
    <row r="3" customFormat="false" ht="15" hidden="false" customHeight="false" outlineLevel="0" collapsed="false">
      <c r="A3" s="3" t="s">
        <v>23</v>
      </c>
      <c r="B3" s="3" t="s">
        <v>24</v>
      </c>
      <c r="C3" s="3" t="s">
        <v>25</v>
      </c>
      <c r="D3" s="3" t="s">
        <v>20</v>
      </c>
      <c r="E3" s="3" t="s">
        <v>20</v>
      </c>
      <c r="F3" s="3" t="n">
        <v>4</v>
      </c>
      <c r="G3" s="3" t="s">
        <v>26</v>
      </c>
      <c r="H3" s="5" t="b">
        <f aca="false">TRUE()</f>
        <v>1</v>
      </c>
      <c r="I3" s="3" t="s">
        <v>22</v>
      </c>
      <c r="J3" s="3" t="s">
        <v>22</v>
      </c>
      <c r="K3" s="5" t="b">
        <f aca="false">TRUE()</f>
        <v>1</v>
      </c>
      <c r="L3" s="5" t="b">
        <f aca="false">FALSE()</f>
        <v>0</v>
      </c>
      <c r="M3" s="5" t="b">
        <f aca="false">FALSE()</f>
        <v>0</v>
      </c>
      <c r="N3" s="5" t="b">
        <f aca="false">TRUE()</f>
        <v>1</v>
      </c>
      <c r="O3" s="5" t="b">
        <f aca="false">FALSE()</f>
        <v>0</v>
      </c>
    </row>
    <row r="4" customFormat="false" ht="15" hidden="false" customHeight="false" outlineLevel="0" collapsed="false">
      <c r="A4" s="3" t="s">
        <v>27</v>
      </c>
      <c r="B4" s="3" t="s">
        <v>28</v>
      </c>
      <c r="C4" s="3" t="s">
        <v>29</v>
      </c>
      <c r="D4" s="3" t="s">
        <v>20</v>
      </c>
      <c r="E4" s="3" t="s">
        <v>20</v>
      </c>
      <c r="F4" s="3" t="n">
        <v>5</v>
      </c>
      <c r="G4" s="3" t="s">
        <v>30</v>
      </c>
      <c r="H4" s="5" t="b">
        <f aca="false">TRUE()</f>
        <v>1</v>
      </c>
      <c r="I4" s="3" t="s">
        <v>22</v>
      </c>
      <c r="J4" s="3" t="s">
        <v>22</v>
      </c>
      <c r="K4" s="5" t="b">
        <f aca="false">TRUE()</f>
        <v>1</v>
      </c>
      <c r="L4" s="5" t="b">
        <f aca="false">FALSE()</f>
        <v>0</v>
      </c>
      <c r="M4" s="5" t="b">
        <f aca="false">FALSE()</f>
        <v>0</v>
      </c>
      <c r="N4" s="5" t="b">
        <f aca="false">TRUE()</f>
        <v>1</v>
      </c>
      <c r="O4" s="5" t="b">
        <f aca="false">FALSE()</f>
        <v>0</v>
      </c>
    </row>
    <row r="5" customFormat="false" ht="15" hidden="false" customHeight="false" outlineLevel="0" collapsed="false">
      <c r="A5" s="3" t="s">
        <v>31</v>
      </c>
      <c r="B5" s="3" t="s">
        <v>32</v>
      </c>
      <c r="C5" s="3" t="s">
        <v>33</v>
      </c>
      <c r="D5" s="3" t="s">
        <v>20</v>
      </c>
      <c r="E5" s="3" t="s">
        <v>20</v>
      </c>
      <c r="F5" s="3" t="n">
        <v>5</v>
      </c>
      <c r="G5" s="3" t="s">
        <v>34</v>
      </c>
      <c r="H5" s="5" t="b">
        <f aca="false">TRUE()</f>
        <v>1</v>
      </c>
      <c r="I5" s="3" t="s">
        <v>35</v>
      </c>
      <c r="J5" s="3" t="s">
        <v>36</v>
      </c>
      <c r="K5" s="6" t="b">
        <f aca="false">FALSE()</f>
        <v>0</v>
      </c>
      <c r="L5" s="5" t="b">
        <f aca="false">TRUE()</f>
        <v>1</v>
      </c>
      <c r="M5" s="5" t="b">
        <f aca="false">TRUE()</f>
        <v>1</v>
      </c>
      <c r="N5" s="5" t="b">
        <f aca="false">FALSE()</f>
        <v>0</v>
      </c>
      <c r="O5" s="5" t="b">
        <f aca="false">FALSE()</f>
        <v>0</v>
      </c>
      <c r="R5" s="2" t="s">
        <v>37</v>
      </c>
    </row>
    <row r="6" customFormat="false" ht="15" hidden="false" customHeight="false" outlineLevel="0" collapsed="false">
      <c r="A6" s="3" t="s">
        <v>38</v>
      </c>
      <c r="B6" s="3" t="s">
        <v>39</v>
      </c>
      <c r="C6" s="3" t="s">
        <v>40</v>
      </c>
      <c r="D6" s="3" t="s">
        <v>20</v>
      </c>
      <c r="E6" s="3" t="s">
        <v>20</v>
      </c>
      <c r="F6" s="3" t="n">
        <v>5</v>
      </c>
      <c r="G6" s="3" t="s">
        <v>41</v>
      </c>
      <c r="H6" s="5" t="b">
        <f aca="false">TRUE()</f>
        <v>1</v>
      </c>
      <c r="I6" s="3" t="s">
        <v>35</v>
      </c>
      <c r="J6" s="3" t="s">
        <v>35</v>
      </c>
      <c r="K6" s="5" t="b">
        <f aca="false">TRUE()</f>
        <v>1</v>
      </c>
      <c r="L6" s="5" t="b">
        <f aca="false">TRUE()</f>
        <v>1</v>
      </c>
      <c r="M6" s="5" t="b">
        <f aca="false">FALSE()</f>
        <v>0</v>
      </c>
      <c r="N6" s="5" t="b">
        <f aca="false">FALSE()</f>
        <v>0</v>
      </c>
      <c r="O6" s="5" t="b">
        <f aca="false">FALSE()</f>
        <v>0</v>
      </c>
    </row>
    <row r="7" customFormat="false" ht="15" hidden="false" customHeight="false" outlineLevel="0" collapsed="false">
      <c r="A7" s="3" t="s">
        <v>42</v>
      </c>
      <c r="B7" s="3" t="s">
        <v>43</v>
      </c>
      <c r="C7" s="3" t="s">
        <v>44</v>
      </c>
      <c r="D7" s="3" t="s">
        <v>45</v>
      </c>
      <c r="E7" s="3" t="s">
        <v>45</v>
      </c>
      <c r="F7" s="3" t="n">
        <v>1</v>
      </c>
      <c r="G7" s="3" t="s">
        <v>46</v>
      </c>
      <c r="H7" s="5" t="b">
        <f aca="false">TRUE()</f>
        <v>1</v>
      </c>
      <c r="I7" s="3" t="s">
        <v>47</v>
      </c>
      <c r="J7" s="3" t="s">
        <v>47</v>
      </c>
      <c r="K7" s="5" t="b">
        <f aca="false">TRUE()</f>
        <v>1</v>
      </c>
      <c r="L7" s="5" t="b">
        <f aca="false">FALSE()</f>
        <v>0</v>
      </c>
      <c r="M7" s="5" t="b">
        <f aca="false">FALSE()</f>
        <v>0</v>
      </c>
      <c r="N7" s="5" t="b">
        <f aca="false">FALSE()</f>
        <v>0</v>
      </c>
      <c r="O7" s="5" t="b">
        <f aca="false">FALSE()</f>
        <v>0</v>
      </c>
    </row>
    <row r="8" customFormat="false" ht="15" hidden="false" customHeight="false" outlineLevel="0" collapsed="false">
      <c r="A8" s="3" t="s">
        <v>48</v>
      </c>
      <c r="B8" s="3" t="s">
        <v>49</v>
      </c>
      <c r="C8" s="3" t="s">
        <v>50</v>
      </c>
      <c r="D8" s="3" t="s">
        <v>45</v>
      </c>
      <c r="E8" s="3" t="s">
        <v>45</v>
      </c>
      <c r="F8" s="3" t="n">
        <v>1</v>
      </c>
      <c r="G8" s="3" t="s">
        <v>51</v>
      </c>
      <c r="H8" s="5" t="b">
        <f aca="false">TRUE()</f>
        <v>1</v>
      </c>
      <c r="I8" s="3" t="s">
        <v>47</v>
      </c>
      <c r="J8" s="3" t="s">
        <v>47</v>
      </c>
      <c r="K8" s="5" t="b">
        <f aca="false">TRUE()</f>
        <v>1</v>
      </c>
      <c r="L8" s="5" t="b">
        <f aca="false">FALSE()</f>
        <v>0</v>
      </c>
      <c r="M8" s="5" t="b">
        <f aca="false">FALSE()</f>
        <v>0</v>
      </c>
      <c r="N8" s="5" t="b">
        <f aca="false">FALSE()</f>
        <v>0</v>
      </c>
      <c r="O8" s="5" t="b">
        <f aca="false">FALSE()</f>
        <v>0</v>
      </c>
    </row>
    <row r="9" customFormat="false" ht="15" hidden="false" customHeight="false" outlineLevel="0" collapsed="false">
      <c r="A9" s="3" t="s">
        <v>52</v>
      </c>
      <c r="B9" s="3" t="s">
        <v>53</v>
      </c>
      <c r="C9" s="3" t="s">
        <v>54</v>
      </c>
      <c r="D9" s="3" t="s">
        <v>20</v>
      </c>
      <c r="E9" s="3" t="s">
        <v>20</v>
      </c>
      <c r="F9" s="3" t="n">
        <v>5</v>
      </c>
      <c r="G9" s="3" t="s">
        <v>55</v>
      </c>
      <c r="H9" s="5" t="b">
        <f aca="false">TRUE()</f>
        <v>1</v>
      </c>
      <c r="I9" s="3" t="s">
        <v>35</v>
      </c>
      <c r="J9" s="3" t="s">
        <v>35</v>
      </c>
      <c r="K9" s="5" t="b">
        <f aca="false">TRUE()</f>
        <v>1</v>
      </c>
      <c r="L9" s="5" t="b">
        <f aca="false">TRUE()</f>
        <v>1</v>
      </c>
      <c r="M9" s="5" t="b">
        <f aca="false">FALSE()</f>
        <v>0</v>
      </c>
      <c r="N9" s="5" t="b">
        <f aca="false">FALSE()</f>
        <v>0</v>
      </c>
      <c r="O9" s="5" t="b">
        <f aca="false">FALSE()</f>
        <v>0</v>
      </c>
    </row>
    <row r="10" customFormat="false" ht="34.2" hidden="false" customHeight="false" outlineLevel="0" collapsed="false">
      <c r="A10" s="3" t="s">
        <v>56</v>
      </c>
      <c r="B10" s="3" t="s">
        <v>57</v>
      </c>
      <c r="C10" s="4" t="s">
        <v>58</v>
      </c>
      <c r="D10" s="3" t="s">
        <v>45</v>
      </c>
      <c r="E10" s="3" t="s">
        <v>45</v>
      </c>
      <c r="F10" s="3" t="n">
        <v>1</v>
      </c>
      <c r="G10" s="3" t="s">
        <v>59</v>
      </c>
      <c r="H10" s="5" t="b">
        <f aca="false">TRUE()</f>
        <v>1</v>
      </c>
      <c r="I10" s="3" t="s">
        <v>47</v>
      </c>
      <c r="J10" s="3" t="s">
        <v>47</v>
      </c>
      <c r="K10" s="5" t="b">
        <f aca="false">TRUE()</f>
        <v>1</v>
      </c>
      <c r="L10" s="5" t="b">
        <f aca="false">FALSE()</f>
        <v>0</v>
      </c>
      <c r="M10" s="5" t="b">
        <f aca="false">FALSE()</f>
        <v>0</v>
      </c>
      <c r="N10" s="5" t="b">
        <f aca="false">FALSE()</f>
        <v>0</v>
      </c>
      <c r="O10" s="5" t="b">
        <f aca="false">FALSE()</f>
        <v>0</v>
      </c>
    </row>
    <row r="11" customFormat="false" ht="15" hidden="false" customHeight="false" outlineLevel="0" collapsed="false">
      <c r="A11" s="3" t="s">
        <v>60</v>
      </c>
      <c r="B11" s="3" t="s">
        <v>61</v>
      </c>
      <c r="C11" s="3" t="s">
        <v>62</v>
      </c>
      <c r="D11" s="3" t="s">
        <v>45</v>
      </c>
      <c r="E11" s="3" t="s">
        <v>45</v>
      </c>
      <c r="F11" s="3" t="n">
        <v>1</v>
      </c>
      <c r="G11" s="3" t="s">
        <v>63</v>
      </c>
      <c r="H11" s="5" t="b">
        <f aca="false">TRUE()</f>
        <v>1</v>
      </c>
      <c r="I11" s="3" t="s">
        <v>47</v>
      </c>
      <c r="J11" s="3" t="s">
        <v>47</v>
      </c>
      <c r="K11" s="5" t="b">
        <f aca="false">TRUE()</f>
        <v>1</v>
      </c>
      <c r="L11" s="5" t="b">
        <f aca="false">FALSE()</f>
        <v>0</v>
      </c>
      <c r="M11" s="5" t="b">
        <f aca="false">FALSE()</f>
        <v>0</v>
      </c>
      <c r="N11" s="5" t="b">
        <f aca="false">FALSE()</f>
        <v>0</v>
      </c>
      <c r="O11" s="5" t="b">
        <f aca="false">FALSE()</f>
        <v>0</v>
      </c>
    </row>
    <row r="12" customFormat="false" ht="45.1" hidden="false" customHeight="false" outlineLevel="0" collapsed="false">
      <c r="A12" s="3" t="s">
        <v>64</v>
      </c>
      <c r="B12" s="3" t="s">
        <v>65</v>
      </c>
      <c r="C12" s="4" t="s">
        <v>66</v>
      </c>
      <c r="D12" s="3" t="s">
        <v>45</v>
      </c>
      <c r="E12" s="3" t="s">
        <v>45</v>
      </c>
      <c r="F12" s="3" t="n">
        <v>2</v>
      </c>
      <c r="G12" s="3" t="s">
        <v>67</v>
      </c>
      <c r="H12" s="5" t="b">
        <f aca="false">TRUE()</f>
        <v>1</v>
      </c>
      <c r="I12" s="3" t="s">
        <v>47</v>
      </c>
      <c r="J12" s="3" t="s">
        <v>47</v>
      </c>
      <c r="K12" s="5" t="b">
        <f aca="false">TRUE()</f>
        <v>1</v>
      </c>
      <c r="L12" s="5" t="b">
        <f aca="false">FALSE()</f>
        <v>0</v>
      </c>
      <c r="M12" s="5" t="b">
        <f aca="false">FALSE()</f>
        <v>0</v>
      </c>
      <c r="N12" s="5" t="b">
        <f aca="false">FALSE()</f>
        <v>0</v>
      </c>
      <c r="O12" s="5" t="b">
        <f aca="false">FALSE()</f>
        <v>0</v>
      </c>
    </row>
    <row r="13" customFormat="false" ht="15" hidden="false" customHeight="false" outlineLevel="0" collapsed="false">
      <c r="A13" s="3" t="s">
        <v>68</v>
      </c>
      <c r="B13" s="3" t="s">
        <v>69</v>
      </c>
      <c r="C13" s="3" t="s">
        <v>70</v>
      </c>
      <c r="D13" s="3" t="s">
        <v>45</v>
      </c>
      <c r="E13" s="3" t="s">
        <v>45</v>
      </c>
      <c r="F13" s="3" t="n">
        <v>2</v>
      </c>
      <c r="G13" s="3" t="s">
        <v>71</v>
      </c>
      <c r="H13" s="5" t="b">
        <f aca="false">TRUE()</f>
        <v>1</v>
      </c>
      <c r="I13" s="3" t="s">
        <v>47</v>
      </c>
      <c r="J13" s="3" t="s">
        <v>47</v>
      </c>
      <c r="K13" s="5" t="b">
        <f aca="false">TRUE()</f>
        <v>1</v>
      </c>
      <c r="L13" s="5" t="b">
        <f aca="false">FALSE()</f>
        <v>0</v>
      </c>
      <c r="M13" s="5" t="b">
        <f aca="false">FALSE()</f>
        <v>0</v>
      </c>
      <c r="N13" s="5" t="b">
        <f aca="false">FALSE()</f>
        <v>0</v>
      </c>
      <c r="O13" s="5" t="b">
        <f aca="false">FALSE()</f>
        <v>0</v>
      </c>
    </row>
    <row r="14" customFormat="false" ht="15" hidden="false" customHeight="false" outlineLevel="0" collapsed="false">
      <c r="A14" s="3" t="s">
        <v>72</v>
      </c>
      <c r="B14" s="3" t="s">
        <v>73</v>
      </c>
      <c r="C14" s="3" t="s">
        <v>74</v>
      </c>
      <c r="D14" s="3" t="s">
        <v>20</v>
      </c>
      <c r="E14" s="3" t="s">
        <v>20</v>
      </c>
      <c r="F14" s="3" t="n">
        <v>4</v>
      </c>
      <c r="G14" s="3" t="s">
        <v>75</v>
      </c>
      <c r="H14" s="5" t="b">
        <f aca="false">TRUE()</f>
        <v>1</v>
      </c>
      <c r="I14" s="3" t="s">
        <v>76</v>
      </c>
      <c r="J14" s="3" t="s">
        <v>76</v>
      </c>
      <c r="K14" s="5" t="b">
        <f aca="false">TRUE()</f>
        <v>1</v>
      </c>
      <c r="L14" s="5" t="b">
        <f aca="false">FALSE()</f>
        <v>0</v>
      </c>
      <c r="M14" s="5" t="b">
        <f aca="false">TRUE()</f>
        <v>1</v>
      </c>
      <c r="N14" s="5" t="b">
        <f aca="false">FALSE()</f>
        <v>0</v>
      </c>
      <c r="O14" s="5" t="b">
        <f aca="false">FALSE()</f>
        <v>0</v>
      </c>
    </row>
    <row r="15" customFormat="false" ht="15" hidden="false" customHeight="false" outlineLevel="0" collapsed="false">
      <c r="A15" s="3" t="s">
        <v>77</v>
      </c>
      <c r="B15" s="3" t="s">
        <v>78</v>
      </c>
      <c r="C15" s="3" t="s">
        <v>79</v>
      </c>
      <c r="D15" s="3" t="s">
        <v>20</v>
      </c>
      <c r="E15" s="3" t="s">
        <v>20</v>
      </c>
      <c r="F15" s="3" t="n">
        <v>4</v>
      </c>
      <c r="G15" s="3" t="s">
        <v>80</v>
      </c>
      <c r="H15" s="5" t="b">
        <f aca="false">TRUE()</f>
        <v>1</v>
      </c>
      <c r="I15" s="3" t="s">
        <v>35</v>
      </c>
      <c r="J15" s="3" t="s">
        <v>35</v>
      </c>
      <c r="K15" s="5" t="b">
        <f aca="false">TRUE()</f>
        <v>1</v>
      </c>
      <c r="L15" s="5" t="b">
        <f aca="false">TRUE()</f>
        <v>1</v>
      </c>
      <c r="M15" s="5" t="b">
        <f aca="false">FALSE()</f>
        <v>0</v>
      </c>
      <c r="N15" s="5" t="b">
        <f aca="false">FALSE()</f>
        <v>0</v>
      </c>
      <c r="O15" s="5" t="b">
        <f aca="false">FALSE()</f>
        <v>0</v>
      </c>
    </row>
    <row r="16" customFormat="false" ht="15" hidden="false" customHeight="false" outlineLevel="0" collapsed="false">
      <c r="A16" s="3" t="s">
        <v>81</v>
      </c>
      <c r="B16" s="3" t="s">
        <v>82</v>
      </c>
      <c r="C16" s="3" t="s">
        <v>83</v>
      </c>
      <c r="D16" s="3" t="s">
        <v>45</v>
      </c>
      <c r="E16" s="3" t="s">
        <v>45</v>
      </c>
      <c r="F16" s="3" t="n">
        <v>2</v>
      </c>
      <c r="G16" s="3" t="s">
        <v>84</v>
      </c>
      <c r="H16" s="5" t="b">
        <f aca="false">TRUE()</f>
        <v>1</v>
      </c>
      <c r="I16" s="3" t="s">
        <v>47</v>
      </c>
      <c r="J16" s="3" t="s">
        <v>47</v>
      </c>
      <c r="K16" s="5" t="b">
        <f aca="false">TRUE()</f>
        <v>1</v>
      </c>
      <c r="L16" s="5" t="b">
        <f aca="false">FALSE()</f>
        <v>0</v>
      </c>
      <c r="M16" s="5" t="b">
        <f aca="false">FALSE()</f>
        <v>0</v>
      </c>
      <c r="N16" s="5" t="b">
        <f aca="false">FALSE()</f>
        <v>0</v>
      </c>
      <c r="O16" s="5" t="b">
        <f aca="false">FALSE()</f>
        <v>0</v>
      </c>
    </row>
    <row r="17" customFormat="false" ht="15" hidden="false" customHeight="false" outlineLevel="0" collapsed="false">
      <c r="A17" s="3" t="s">
        <v>85</v>
      </c>
      <c r="B17" s="3" t="s">
        <v>86</v>
      </c>
      <c r="C17" s="3" t="s">
        <v>87</v>
      </c>
      <c r="D17" s="3" t="s">
        <v>20</v>
      </c>
      <c r="E17" s="3" t="s">
        <v>20</v>
      </c>
      <c r="F17" s="3" t="n">
        <v>5</v>
      </c>
      <c r="G17" s="3" t="s">
        <v>88</v>
      </c>
      <c r="H17" s="5" t="b">
        <f aca="false">TRUE()</f>
        <v>1</v>
      </c>
      <c r="I17" s="3" t="s">
        <v>35</v>
      </c>
      <c r="J17" s="3" t="s">
        <v>35</v>
      </c>
      <c r="K17" s="5" t="b">
        <f aca="false">TRUE()</f>
        <v>1</v>
      </c>
      <c r="L17" s="5" t="b">
        <f aca="false">TRUE()</f>
        <v>1</v>
      </c>
      <c r="M17" s="5" t="b">
        <f aca="false">FALSE()</f>
        <v>0</v>
      </c>
      <c r="N17" s="5" t="b">
        <f aca="false">FALSE()</f>
        <v>0</v>
      </c>
      <c r="O17" s="5" t="b">
        <f aca="false">FALSE()</f>
        <v>0</v>
      </c>
    </row>
    <row r="18" customFormat="false" ht="15" hidden="false" customHeight="false" outlineLevel="0" collapsed="false">
      <c r="A18" s="3" t="s">
        <v>89</v>
      </c>
      <c r="B18" s="3" t="s">
        <v>90</v>
      </c>
      <c r="C18" s="3" t="s">
        <v>91</v>
      </c>
      <c r="D18" s="3" t="s">
        <v>20</v>
      </c>
      <c r="E18" s="3" t="s">
        <v>20</v>
      </c>
      <c r="F18" s="3" t="n">
        <v>5</v>
      </c>
      <c r="G18" s="3" t="s">
        <v>92</v>
      </c>
      <c r="H18" s="5" t="b">
        <f aca="false">TRUE()</f>
        <v>1</v>
      </c>
      <c r="I18" s="3" t="s">
        <v>22</v>
      </c>
      <c r="J18" s="3" t="s">
        <v>22</v>
      </c>
      <c r="K18" s="5" t="b">
        <f aca="false">TRUE()</f>
        <v>1</v>
      </c>
      <c r="L18" s="5" t="b">
        <f aca="false">FALSE()</f>
        <v>0</v>
      </c>
      <c r="M18" s="5" t="b">
        <f aca="false">FALSE()</f>
        <v>0</v>
      </c>
      <c r="N18" s="5" t="b">
        <f aca="false">TRUE()</f>
        <v>1</v>
      </c>
      <c r="O18" s="5" t="b">
        <f aca="false">FALSE()</f>
        <v>0</v>
      </c>
    </row>
    <row r="19" customFormat="false" ht="15" hidden="false" customHeight="false" outlineLevel="0" collapsed="false">
      <c r="A19" s="3" t="s">
        <v>93</v>
      </c>
      <c r="B19" s="3" t="s">
        <v>94</v>
      </c>
      <c r="C19" s="3" t="s">
        <v>95</v>
      </c>
      <c r="D19" s="3" t="s">
        <v>45</v>
      </c>
      <c r="E19" s="3" t="s">
        <v>45</v>
      </c>
      <c r="F19" s="3" t="n">
        <v>2</v>
      </c>
      <c r="G19" s="3" t="s">
        <v>96</v>
      </c>
      <c r="H19" s="5" t="b">
        <f aca="false">TRUE()</f>
        <v>1</v>
      </c>
      <c r="I19" s="3" t="s">
        <v>47</v>
      </c>
      <c r="J19" s="3" t="s">
        <v>47</v>
      </c>
      <c r="K19" s="5" t="b">
        <f aca="false">TRUE()</f>
        <v>1</v>
      </c>
      <c r="L19" s="5" t="b">
        <f aca="false">FALSE()</f>
        <v>0</v>
      </c>
      <c r="M19" s="5" t="b">
        <f aca="false">FALSE()</f>
        <v>0</v>
      </c>
      <c r="N19" s="5" t="b">
        <f aca="false">FALSE()</f>
        <v>0</v>
      </c>
      <c r="O19" s="5" t="b">
        <f aca="false">FALSE()</f>
        <v>0</v>
      </c>
    </row>
    <row r="20" customFormat="false" ht="15" hidden="false" customHeight="false" outlineLevel="0" collapsed="false">
      <c r="A20" s="3" t="s">
        <v>97</v>
      </c>
      <c r="B20" s="3" t="s">
        <v>98</v>
      </c>
      <c r="C20" s="3" t="s">
        <v>99</v>
      </c>
      <c r="D20" s="3" t="s">
        <v>20</v>
      </c>
      <c r="E20" s="3" t="s">
        <v>20</v>
      </c>
      <c r="F20" s="3" t="n">
        <v>5</v>
      </c>
      <c r="G20" s="3" t="s">
        <v>100</v>
      </c>
      <c r="H20" s="5" t="b">
        <f aca="false">TRUE()</f>
        <v>1</v>
      </c>
      <c r="I20" s="3" t="s">
        <v>35</v>
      </c>
      <c r="J20" s="3" t="s">
        <v>35</v>
      </c>
      <c r="K20" s="5" t="b">
        <f aca="false">TRUE()</f>
        <v>1</v>
      </c>
      <c r="L20" s="5" t="b">
        <f aca="false">TRUE()</f>
        <v>1</v>
      </c>
      <c r="M20" s="5" t="b">
        <f aca="false">FALSE()</f>
        <v>0</v>
      </c>
      <c r="N20" s="5" t="b">
        <f aca="false">FALSE()</f>
        <v>0</v>
      </c>
      <c r="O20" s="5" t="b">
        <f aca="false">FALSE()</f>
        <v>0</v>
      </c>
    </row>
    <row r="21" customFormat="false" ht="15" hidden="false" customHeight="false" outlineLevel="0" collapsed="false">
      <c r="A21" s="3" t="s">
        <v>101</v>
      </c>
      <c r="B21" s="3" t="s">
        <v>102</v>
      </c>
      <c r="C21" s="3" t="s">
        <v>103</v>
      </c>
      <c r="D21" s="3" t="s">
        <v>20</v>
      </c>
      <c r="E21" s="3" t="s">
        <v>20</v>
      </c>
      <c r="F21" s="3" t="n">
        <v>5</v>
      </c>
      <c r="G21" s="3" t="s">
        <v>104</v>
      </c>
      <c r="H21" s="5" t="b">
        <f aca="false">TRUE()</f>
        <v>1</v>
      </c>
      <c r="I21" s="3" t="s">
        <v>76</v>
      </c>
      <c r="J21" s="3" t="s">
        <v>76</v>
      </c>
      <c r="K21" s="5" t="b">
        <f aca="false">TRUE()</f>
        <v>1</v>
      </c>
      <c r="L21" s="5" t="b">
        <f aca="false">FALSE()</f>
        <v>0</v>
      </c>
      <c r="M21" s="5" t="b">
        <f aca="false">TRUE()</f>
        <v>1</v>
      </c>
      <c r="N21" s="5" t="b">
        <f aca="false">FALSE()</f>
        <v>0</v>
      </c>
      <c r="O21" s="5" t="b">
        <f aca="false">FALSE()</f>
        <v>0</v>
      </c>
    </row>
    <row r="22" customFormat="false" ht="15" hidden="false" customHeight="false" outlineLevel="0" collapsed="false">
      <c r="A22" s="3" t="s">
        <v>105</v>
      </c>
      <c r="B22" s="3" t="s">
        <v>106</v>
      </c>
      <c r="C22" s="3" t="s">
        <v>107</v>
      </c>
      <c r="D22" s="3" t="s">
        <v>20</v>
      </c>
      <c r="E22" s="3" t="s">
        <v>20</v>
      </c>
      <c r="F22" s="3" t="n">
        <v>5</v>
      </c>
      <c r="G22" s="3" t="s">
        <v>108</v>
      </c>
      <c r="H22" s="5" t="b">
        <f aca="false">TRUE()</f>
        <v>1</v>
      </c>
      <c r="I22" s="3" t="s">
        <v>76</v>
      </c>
      <c r="J22" s="3" t="s">
        <v>76</v>
      </c>
      <c r="K22" s="5" t="b">
        <f aca="false">TRUE()</f>
        <v>1</v>
      </c>
      <c r="L22" s="5" t="b">
        <f aca="false">FALSE()</f>
        <v>0</v>
      </c>
      <c r="M22" s="5" t="b">
        <f aca="false">TRUE()</f>
        <v>1</v>
      </c>
      <c r="N22" s="5" t="b">
        <f aca="false">FALSE()</f>
        <v>0</v>
      </c>
      <c r="O22" s="5" t="b">
        <f aca="false">FALSE()</f>
        <v>0</v>
      </c>
    </row>
    <row r="23" customFormat="false" ht="15" hidden="false" customHeight="false" outlineLevel="0" collapsed="false">
      <c r="A23" s="3" t="s">
        <v>109</v>
      </c>
      <c r="B23" s="3" t="s">
        <v>110</v>
      </c>
      <c r="C23" s="3" t="s">
        <v>111</v>
      </c>
      <c r="D23" s="3" t="s">
        <v>45</v>
      </c>
      <c r="E23" s="3" t="s">
        <v>45</v>
      </c>
      <c r="F23" s="3" t="n">
        <v>1</v>
      </c>
      <c r="G23" s="3" t="s">
        <v>112</v>
      </c>
      <c r="H23" s="5" t="b">
        <f aca="false">TRUE()</f>
        <v>1</v>
      </c>
      <c r="I23" s="3" t="s">
        <v>47</v>
      </c>
      <c r="J23" s="3" t="s">
        <v>47</v>
      </c>
      <c r="K23" s="5" t="b">
        <f aca="false">TRUE()</f>
        <v>1</v>
      </c>
      <c r="L23" s="5" t="b">
        <f aca="false">FALSE()</f>
        <v>0</v>
      </c>
      <c r="M23" s="5" t="b">
        <f aca="false">FALSE()</f>
        <v>0</v>
      </c>
      <c r="N23" s="5" t="b">
        <f aca="false">FALSE()</f>
        <v>0</v>
      </c>
      <c r="O23" s="5" t="b">
        <f aca="false">FALSE()</f>
        <v>0</v>
      </c>
    </row>
    <row r="24" customFormat="false" ht="15" hidden="false" customHeight="false" outlineLevel="0" collapsed="false">
      <c r="A24" s="3" t="s">
        <v>113</v>
      </c>
      <c r="B24" s="3" t="s">
        <v>114</v>
      </c>
      <c r="C24" s="3" t="s">
        <v>115</v>
      </c>
      <c r="D24" s="3" t="s">
        <v>45</v>
      </c>
      <c r="E24" s="3" t="s">
        <v>45</v>
      </c>
      <c r="F24" s="3" t="n">
        <v>2</v>
      </c>
      <c r="G24" s="3" t="s">
        <v>116</v>
      </c>
      <c r="H24" s="5" t="b">
        <f aca="false">TRUE()</f>
        <v>1</v>
      </c>
      <c r="I24" s="3" t="s">
        <v>47</v>
      </c>
      <c r="J24" s="3" t="s">
        <v>47</v>
      </c>
      <c r="K24" s="5" t="b">
        <f aca="false">TRUE()</f>
        <v>1</v>
      </c>
      <c r="L24" s="5" t="b">
        <f aca="false">FALSE()</f>
        <v>0</v>
      </c>
      <c r="M24" s="5" t="b">
        <f aca="false">FALSE()</f>
        <v>0</v>
      </c>
      <c r="N24" s="5" t="b">
        <f aca="false">FALSE()</f>
        <v>0</v>
      </c>
      <c r="O24" s="5" t="b">
        <f aca="false">FALSE()</f>
        <v>0</v>
      </c>
    </row>
    <row r="25" customFormat="false" ht="15" hidden="false" customHeight="false" outlineLevel="0" collapsed="false">
      <c r="A25" s="3" t="s">
        <v>117</v>
      </c>
      <c r="B25" s="3" t="s">
        <v>118</v>
      </c>
      <c r="C25" s="3" t="s">
        <v>119</v>
      </c>
      <c r="D25" s="3" t="s">
        <v>20</v>
      </c>
      <c r="E25" s="3" t="s">
        <v>20</v>
      </c>
      <c r="F25" s="3" t="n">
        <v>5</v>
      </c>
      <c r="G25" s="3" t="s">
        <v>120</v>
      </c>
      <c r="H25" s="5" t="b">
        <f aca="false">TRUE()</f>
        <v>1</v>
      </c>
      <c r="I25" s="3" t="s">
        <v>36</v>
      </c>
      <c r="J25" s="3" t="s">
        <v>36</v>
      </c>
      <c r="K25" s="5" t="b">
        <f aca="false">TRUE()</f>
        <v>1</v>
      </c>
      <c r="L25" s="5" t="b">
        <f aca="false">FALSE()</f>
        <v>0</v>
      </c>
      <c r="M25" s="5" t="b">
        <f aca="false">FALSE()</f>
        <v>0</v>
      </c>
      <c r="N25" s="5" t="b">
        <f aca="false">FALSE()</f>
        <v>0</v>
      </c>
      <c r="O25" s="5" t="b">
        <f aca="false">TRUE()</f>
        <v>1</v>
      </c>
    </row>
    <row r="26" customFormat="false" ht="15" hidden="false" customHeight="false" outlineLevel="0" collapsed="false">
      <c r="A26" s="3" t="s">
        <v>121</v>
      </c>
      <c r="B26" s="3" t="s">
        <v>122</v>
      </c>
      <c r="C26" s="3" t="s">
        <v>123</v>
      </c>
      <c r="D26" s="3" t="s">
        <v>20</v>
      </c>
      <c r="E26" s="3" t="s">
        <v>20</v>
      </c>
      <c r="F26" s="3" t="n">
        <v>5</v>
      </c>
      <c r="G26" s="3" t="s">
        <v>124</v>
      </c>
      <c r="H26" s="5" t="b">
        <f aca="false">TRUE()</f>
        <v>1</v>
      </c>
      <c r="I26" s="3" t="s">
        <v>35</v>
      </c>
      <c r="J26" s="3" t="s">
        <v>35</v>
      </c>
      <c r="K26" s="5" t="b">
        <f aca="false">TRUE()</f>
        <v>1</v>
      </c>
      <c r="L26" s="5" t="b">
        <f aca="false">TRUE()</f>
        <v>1</v>
      </c>
      <c r="M26" s="5" t="b">
        <f aca="false">FALSE()</f>
        <v>0</v>
      </c>
      <c r="N26" s="5" t="b">
        <f aca="false">FALSE()</f>
        <v>0</v>
      </c>
      <c r="O26" s="5" t="b">
        <f aca="false">FALSE()</f>
        <v>0</v>
      </c>
    </row>
    <row r="27" customFormat="false" ht="15" hidden="false" customHeight="false" outlineLevel="0" collapsed="false">
      <c r="A27" s="3" t="s">
        <v>125</v>
      </c>
      <c r="B27" s="3" t="s">
        <v>126</v>
      </c>
      <c r="C27" s="3" t="s">
        <v>127</v>
      </c>
      <c r="D27" s="3" t="s">
        <v>45</v>
      </c>
      <c r="E27" s="3" t="s">
        <v>45</v>
      </c>
      <c r="F27" s="3" t="n">
        <v>2</v>
      </c>
      <c r="G27" s="3" t="s">
        <v>128</v>
      </c>
      <c r="H27" s="5" t="b">
        <f aca="false">TRUE()</f>
        <v>1</v>
      </c>
      <c r="I27" s="3" t="s">
        <v>47</v>
      </c>
      <c r="J27" s="3" t="s">
        <v>47</v>
      </c>
      <c r="K27" s="5" t="b">
        <f aca="false">TRUE()</f>
        <v>1</v>
      </c>
      <c r="L27" s="5" t="b">
        <f aca="false">FALSE()</f>
        <v>0</v>
      </c>
      <c r="M27" s="5" t="b">
        <f aca="false">FALSE()</f>
        <v>0</v>
      </c>
      <c r="N27" s="5" t="b">
        <f aca="false">FALSE()</f>
        <v>0</v>
      </c>
      <c r="O27" s="5" t="b">
        <f aca="false">FALSE()</f>
        <v>0</v>
      </c>
    </row>
    <row r="28" customFormat="false" ht="15" hidden="false" customHeight="false" outlineLevel="0" collapsed="false">
      <c r="A28" s="3" t="s">
        <v>129</v>
      </c>
      <c r="B28" s="3" t="s">
        <v>130</v>
      </c>
      <c r="C28" s="3" t="s">
        <v>131</v>
      </c>
      <c r="D28" s="3" t="s">
        <v>45</v>
      </c>
      <c r="E28" s="3" t="s">
        <v>45</v>
      </c>
      <c r="F28" s="3" t="n">
        <v>2</v>
      </c>
      <c r="G28" s="3" t="s">
        <v>132</v>
      </c>
      <c r="H28" s="5" t="b">
        <f aca="false">TRUE()</f>
        <v>1</v>
      </c>
      <c r="I28" s="3" t="s">
        <v>47</v>
      </c>
      <c r="J28" s="3" t="s">
        <v>47</v>
      </c>
      <c r="K28" s="5" t="b">
        <f aca="false">TRUE()</f>
        <v>1</v>
      </c>
      <c r="L28" s="5" t="b">
        <f aca="false">FALSE()</f>
        <v>0</v>
      </c>
      <c r="M28" s="5" t="b">
        <f aca="false">FALSE()</f>
        <v>0</v>
      </c>
      <c r="N28" s="5" t="b">
        <f aca="false">FALSE()</f>
        <v>0</v>
      </c>
      <c r="O28" s="5" t="b">
        <f aca="false">FALSE()</f>
        <v>0</v>
      </c>
    </row>
    <row r="29" customFormat="false" ht="15" hidden="false" customHeight="false" outlineLevel="0" collapsed="false">
      <c r="A29" s="3" t="s">
        <v>133</v>
      </c>
      <c r="B29" s="3" t="s">
        <v>134</v>
      </c>
      <c r="C29" s="3" t="s">
        <v>135</v>
      </c>
      <c r="D29" s="3" t="s">
        <v>20</v>
      </c>
      <c r="E29" s="3" t="s">
        <v>20</v>
      </c>
      <c r="F29" s="3" t="n">
        <v>4</v>
      </c>
      <c r="G29" s="3" t="s">
        <v>136</v>
      </c>
      <c r="H29" s="5" t="b">
        <f aca="false">TRUE()</f>
        <v>1</v>
      </c>
      <c r="I29" s="3" t="s">
        <v>35</v>
      </c>
      <c r="J29" s="3" t="s">
        <v>35</v>
      </c>
      <c r="K29" s="5" t="b">
        <f aca="false">TRUE()</f>
        <v>1</v>
      </c>
      <c r="L29" s="5" t="b">
        <f aca="false">TRUE()</f>
        <v>1</v>
      </c>
      <c r="M29" s="5" t="b">
        <f aca="false">FALSE()</f>
        <v>0</v>
      </c>
      <c r="N29" s="5" t="b">
        <f aca="false">FALSE()</f>
        <v>0</v>
      </c>
      <c r="O29" s="5" t="b">
        <f aca="false">FALSE()</f>
        <v>0</v>
      </c>
    </row>
    <row r="30" customFormat="false" ht="15" hidden="false" customHeight="false" outlineLevel="0" collapsed="false">
      <c r="A30" s="3" t="s">
        <v>137</v>
      </c>
      <c r="B30" s="3" t="s">
        <v>138</v>
      </c>
      <c r="C30" s="3" t="s">
        <v>139</v>
      </c>
      <c r="D30" s="3" t="s">
        <v>45</v>
      </c>
      <c r="E30" s="3" t="s">
        <v>45</v>
      </c>
      <c r="F30" s="3" t="n">
        <v>1</v>
      </c>
      <c r="G30" s="3" t="s">
        <v>140</v>
      </c>
      <c r="H30" s="5" t="b">
        <f aca="false">TRUE()</f>
        <v>1</v>
      </c>
      <c r="I30" s="3" t="s">
        <v>47</v>
      </c>
      <c r="J30" s="3" t="s">
        <v>47</v>
      </c>
      <c r="K30" s="5" t="b">
        <f aca="false">TRUE()</f>
        <v>1</v>
      </c>
      <c r="L30" s="5" t="b">
        <f aca="false">FALSE()</f>
        <v>0</v>
      </c>
      <c r="M30" s="5" t="b">
        <f aca="false">FALSE()</f>
        <v>0</v>
      </c>
      <c r="N30" s="5" t="b">
        <f aca="false">FALSE()</f>
        <v>0</v>
      </c>
      <c r="O30" s="5" t="b">
        <f aca="false">FALSE()</f>
        <v>0</v>
      </c>
    </row>
    <row r="31" customFormat="false" ht="15" hidden="false" customHeight="false" outlineLevel="0" collapsed="false">
      <c r="A31" s="3" t="s">
        <v>141</v>
      </c>
      <c r="B31" s="3" t="s">
        <v>142</v>
      </c>
      <c r="C31" s="3" t="s">
        <v>143</v>
      </c>
      <c r="D31" s="3" t="s">
        <v>45</v>
      </c>
      <c r="E31" s="3" t="s">
        <v>45</v>
      </c>
      <c r="F31" s="3" t="n">
        <v>2</v>
      </c>
      <c r="G31" s="3" t="s">
        <v>144</v>
      </c>
      <c r="H31" s="5" t="b">
        <f aca="false">TRUE()</f>
        <v>1</v>
      </c>
      <c r="I31" s="3" t="s">
        <v>47</v>
      </c>
      <c r="J31" s="3" t="s">
        <v>47</v>
      </c>
      <c r="K31" s="5" t="b">
        <f aca="false">TRUE()</f>
        <v>1</v>
      </c>
      <c r="L31" s="5" t="b">
        <f aca="false">FALSE()</f>
        <v>0</v>
      </c>
      <c r="M31" s="5" t="b">
        <f aca="false">FALSE()</f>
        <v>0</v>
      </c>
      <c r="N31" s="5" t="b">
        <f aca="false">FALSE()</f>
        <v>0</v>
      </c>
      <c r="O31" s="5" t="b">
        <f aca="false">FALSE()</f>
        <v>0</v>
      </c>
    </row>
    <row r="32" customFormat="false" ht="15" hidden="false" customHeight="false" outlineLevel="0" collapsed="false">
      <c r="A32" s="3" t="s">
        <v>145</v>
      </c>
      <c r="B32" s="3" t="s">
        <v>146</v>
      </c>
      <c r="C32" s="3" t="s">
        <v>147</v>
      </c>
      <c r="D32" s="3" t="s">
        <v>20</v>
      </c>
      <c r="E32" s="3" t="s">
        <v>20</v>
      </c>
      <c r="F32" s="3" t="n">
        <v>5</v>
      </c>
      <c r="G32" s="3" t="s">
        <v>148</v>
      </c>
      <c r="H32" s="5" t="b">
        <f aca="false">TRUE()</f>
        <v>1</v>
      </c>
      <c r="I32" s="3" t="s">
        <v>22</v>
      </c>
      <c r="J32" s="3" t="s">
        <v>22</v>
      </c>
      <c r="K32" s="5" t="b">
        <f aca="false">TRUE()</f>
        <v>1</v>
      </c>
      <c r="L32" s="5" t="b">
        <f aca="false">FALSE()</f>
        <v>0</v>
      </c>
      <c r="M32" s="5" t="b">
        <f aca="false">FALSE()</f>
        <v>0</v>
      </c>
      <c r="N32" s="5" t="b">
        <f aca="false">TRUE()</f>
        <v>1</v>
      </c>
      <c r="O32" s="5" t="b">
        <f aca="false">FALSE()</f>
        <v>0</v>
      </c>
    </row>
    <row r="33" customFormat="false" ht="15" hidden="false" customHeight="false" outlineLevel="0" collapsed="false">
      <c r="A33" s="3" t="s">
        <v>149</v>
      </c>
      <c r="B33" s="3" t="s">
        <v>150</v>
      </c>
      <c r="C33" s="3" t="s">
        <v>151</v>
      </c>
      <c r="D33" s="3" t="s">
        <v>45</v>
      </c>
      <c r="E33" s="3" t="s">
        <v>45</v>
      </c>
      <c r="F33" s="3" t="n">
        <v>1</v>
      </c>
      <c r="G33" s="3" t="s">
        <v>152</v>
      </c>
      <c r="H33" s="5" t="b">
        <f aca="false">TRUE()</f>
        <v>1</v>
      </c>
      <c r="I33" s="3" t="s">
        <v>47</v>
      </c>
      <c r="J33" s="3" t="s">
        <v>47</v>
      </c>
      <c r="K33" s="5" t="b">
        <f aca="false">TRUE()</f>
        <v>1</v>
      </c>
      <c r="L33" s="5" t="b">
        <f aca="false">FALSE()</f>
        <v>0</v>
      </c>
      <c r="M33" s="5" t="b">
        <f aca="false">FALSE()</f>
        <v>0</v>
      </c>
      <c r="N33" s="5" t="b">
        <f aca="false">FALSE()</f>
        <v>0</v>
      </c>
      <c r="O33" s="5" t="b">
        <f aca="false">FALSE()</f>
        <v>0</v>
      </c>
    </row>
    <row r="34" customFormat="false" ht="45.1" hidden="false" customHeight="false" outlineLevel="0" collapsed="false">
      <c r="A34" s="3" t="s">
        <v>153</v>
      </c>
      <c r="B34" s="3" t="s">
        <v>154</v>
      </c>
      <c r="C34" s="4" t="s">
        <v>155</v>
      </c>
      <c r="D34" s="3" t="s">
        <v>20</v>
      </c>
      <c r="E34" s="3" t="s">
        <v>20</v>
      </c>
      <c r="F34" s="3" t="n">
        <v>5</v>
      </c>
      <c r="G34" s="3" t="s">
        <v>156</v>
      </c>
      <c r="H34" s="5" t="b">
        <f aca="false">TRUE()</f>
        <v>1</v>
      </c>
      <c r="I34" s="3" t="s">
        <v>22</v>
      </c>
      <c r="J34" s="3" t="s">
        <v>22</v>
      </c>
      <c r="K34" s="5" t="b">
        <f aca="false">TRUE()</f>
        <v>1</v>
      </c>
      <c r="L34" s="5" t="b">
        <f aca="false">FALSE()</f>
        <v>0</v>
      </c>
      <c r="M34" s="5" t="b">
        <f aca="false">FALSE()</f>
        <v>0</v>
      </c>
      <c r="N34" s="5" t="b">
        <f aca="false">TRUE()</f>
        <v>1</v>
      </c>
      <c r="O34" s="5" t="b">
        <f aca="false">FALSE()</f>
        <v>0</v>
      </c>
    </row>
    <row r="35" customFormat="false" ht="15" hidden="false" customHeight="false" outlineLevel="0" collapsed="false">
      <c r="A35" s="3" t="s">
        <v>157</v>
      </c>
      <c r="B35" s="3" t="s">
        <v>158</v>
      </c>
      <c r="C35" s="3" t="s">
        <v>159</v>
      </c>
      <c r="D35" s="3" t="s">
        <v>20</v>
      </c>
      <c r="E35" s="3" t="s">
        <v>20</v>
      </c>
      <c r="F35" s="3" t="n">
        <v>4</v>
      </c>
      <c r="G35" s="3" t="s">
        <v>160</v>
      </c>
      <c r="H35" s="5" t="b">
        <f aca="false">TRUE()</f>
        <v>1</v>
      </c>
      <c r="I35" s="3" t="s">
        <v>76</v>
      </c>
      <c r="J35" s="3" t="s">
        <v>76</v>
      </c>
      <c r="K35" s="5" t="b">
        <f aca="false">TRUE()</f>
        <v>1</v>
      </c>
      <c r="L35" s="5" t="b">
        <f aca="false">FALSE()</f>
        <v>0</v>
      </c>
      <c r="M35" s="5" t="b">
        <f aca="false">TRUE()</f>
        <v>1</v>
      </c>
      <c r="N35" s="5" t="b">
        <f aca="false">FALSE()</f>
        <v>0</v>
      </c>
      <c r="O35" s="5" t="b">
        <f aca="false">FALSE()</f>
        <v>0</v>
      </c>
    </row>
    <row r="36" customFormat="false" ht="15" hidden="false" customHeight="false" outlineLevel="0" collapsed="false">
      <c r="A36" s="3" t="s">
        <v>161</v>
      </c>
      <c r="B36" s="3" t="s">
        <v>162</v>
      </c>
      <c r="C36" s="3" t="s">
        <v>163</v>
      </c>
      <c r="D36" s="3" t="s">
        <v>45</v>
      </c>
      <c r="E36" s="3" t="s">
        <v>45</v>
      </c>
      <c r="F36" s="3" t="n">
        <v>2</v>
      </c>
      <c r="G36" s="3" t="s">
        <v>164</v>
      </c>
      <c r="H36" s="5" t="b">
        <f aca="false">TRUE()</f>
        <v>1</v>
      </c>
      <c r="I36" s="3" t="s">
        <v>47</v>
      </c>
      <c r="J36" s="3" t="s">
        <v>47</v>
      </c>
      <c r="K36" s="5" t="b">
        <f aca="false">TRUE()</f>
        <v>1</v>
      </c>
      <c r="L36" s="5" t="b">
        <f aca="false">FALSE()</f>
        <v>0</v>
      </c>
      <c r="M36" s="5" t="b">
        <f aca="false">FALSE()</f>
        <v>0</v>
      </c>
      <c r="N36" s="5" t="b">
        <f aca="false">FALSE()</f>
        <v>0</v>
      </c>
      <c r="O36" s="5" t="b">
        <f aca="false">FALSE()</f>
        <v>0</v>
      </c>
    </row>
    <row r="37" customFormat="false" ht="34.2" hidden="false" customHeight="false" outlineLevel="0" collapsed="false">
      <c r="A37" s="3" t="s">
        <v>165</v>
      </c>
      <c r="B37" s="3" t="s">
        <v>166</v>
      </c>
      <c r="C37" s="3" t="s">
        <v>167</v>
      </c>
      <c r="D37" s="3" t="s">
        <v>20</v>
      </c>
      <c r="E37" s="3" t="s">
        <v>20</v>
      </c>
      <c r="F37" s="3" t="n">
        <v>5</v>
      </c>
      <c r="G37" s="3" t="s">
        <v>168</v>
      </c>
      <c r="H37" s="5" t="b">
        <f aca="false">TRUE()</f>
        <v>1</v>
      </c>
      <c r="I37" s="3" t="s">
        <v>35</v>
      </c>
      <c r="J37" s="3" t="s">
        <v>36</v>
      </c>
      <c r="K37" s="7" t="b">
        <f aca="false">FALSE()</f>
        <v>0</v>
      </c>
      <c r="L37" s="5" t="b">
        <f aca="false">TRUE()</f>
        <v>1</v>
      </c>
      <c r="M37" s="5" t="b">
        <f aca="false">TRUE()</f>
        <v>1</v>
      </c>
      <c r="N37" s="5" t="b">
        <f aca="false">FALSE()</f>
        <v>0</v>
      </c>
      <c r="O37" s="5" t="b">
        <f aca="false">FALSE()</f>
        <v>0</v>
      </c>
      <c r="R37" s="2" t="s">
        <v>169</v>
      </c>
    </row>
    <row r="38" customFormat="false" ht="15" hidden="false" customHeight="false" outlineLevel="0" collapsed="false">
      <c r="A38" s="3" t="s">
        <v>170</v>
      </c>
      <c r="B38" s="3" t="s">
        <v>171</v>
      </c>
      <c r="C38" s="3" t="s">
        <v>172</v>
      </c>
      <c r="D38" s="3" t="s">
        <v>20</v>
      </c>
      <c r="E38" s="3" t="s">
        <v>20</v>
      </c>
      <c r="F38" s="3" t="n">
        <v>4</v>
      </c>
      <c r="G38" s="3" t="s">
        <v>173</v>
      </c>
      <c r="H38" s="5" t="b">
        <f aca="false">TRUE()</f>
        <v>1</v>
      </c>
      <c r="I38" s="3" t="s">
        <v>22</v>
      </c>
      <c r="J38" s="3" t="s">
        <v>22</v>
      </c>
      <c r="K38" s="5" t="b">
        <f aca="false">TRUE()</f>
        <v>1</v>
      </c>
      <c r="L38" s="5" t="b">
        <f aca="false">FALSE()</f>
        <v>0</v>
      </c>
      <c r="M38" s="5" t="b">
        <f aca="false">FALSE()</f>
        <v>0</v>
      </c>
      <c r="N38" s="5" t="b">
        <f aca="false">TRUE()</f>
        <v>1</v>
      </c>
      <c r="O38" s="5" t="b">
        <f aca="false">FALSE()</f>
        <v>0</v>
      </c>
    </row>
    <row r="39" customFormat="false" ht="15" hidden="false" customHeight="false" outlineLevel="0" collapsed="false">
      <c r="A39" s="3" t="s">
        <v>174</v>
      </c>
      <c r="B39" s="3" t="s">
        <v>175</v>
      </c>
      <c r="C39" s="3" t="s">
        <v>176</v>
      </c>
      <c r="D39" s="3" t="s">
        <v>20</v>
      </c>
      <c r="E39" s="3" t="s">
        <v>20</v>
      </c>
      <c r="F39" s="3" t="n">
        <v>5</v>
      </c>
      <c r="G39" s="3" t="s">
        <v>177</v>
      </c>
      <c r="H39" s="5" t="b">
        <f aca="false">TRUE()</f>
        <v>1</v>
      </c>
      <c r="I39" s="3" t="s">
        <v>36</v>
      </c>
      <c r="J39" s="3" t="s">
        <v>36</v>
      </c>
      <c r="K39" s="5" t="b">
        <f aca="false">TRUE()</f>
        <v>1</v>
      </c>
      <c r="L39" s="5" t="b">
        <f aca="false">TRUE()</f>
        <v>1</v>
      </c>
      <c r="M39" s="5" t="b">
        <f aca="false">FALSE()</f>
        <v>0</v>
      </c>
      <c r="N39" s="5" t="b">
        <f aca="false">TRUE()</f>
        <v>1</v>
      </c>
      <c r="O39" s="5" t="b">
        <f aca="false">FALSE()</f>
        <v>0</v>
      </c>
    </row>
    <row r="40" customFormat="false" ht="15" hidden="false" customHeight="false" outlineLevel="0" collapsed="false">
      <c r="A40" s="3" t="s">
        <v>178</v>
      </c>
      <c r="B40" s="3" t="s">
        <v>179</v>
      </c>
      <c r="C40" s="3" t="s">
        <v>180</v>
      </c>
      <c r="D40" s="3" t="s">
        <v>20</v>
      </c>
      <c r="E40" s="3" t="s">
        <v>20</v>
      </c>
      <c r="F40" s="3" t="n">
        <v>4</v>
      </c>
      <c r="G40" s="3" t="s">
        <v>181</v>
      </c>
      <c r="H40" s="5" t="b">
        <f aca="false">TRUE()</f>
        <v>1</v>
      </c>
      <c r="I40" s="3" t="s">
        <v>36</v>
      </c>
      <c r="J40" s="3" t="s">
        <v>36</v>
      </c>
      <c r="K40" s="5" t="b">
        <f aca="false">TRUE()</f>
        <v>1</v>
      </c>
      <c r="L40" s="5" t="b">
        <f aca="false">TRUE()</f>
        <v>1</v>
      </c>
      <c r="M40" s="5" t="b">
        <f aca="false">TRUE()</f>
        <v>1</v>
      </c>
      <c r="N40" s="5" t="b">
        <f aca="false">FALSE()</f>
        <v>0</v>
      </c>
      <c r="O40" s="5" t="b">
        <f aca="false">FALSE()</f>
        <v>0</v>
      </c>
    </row>
    <row r="41" customFormat="false" ht="15" hidden="false" customHeight="false" outlineLevel="0" collapsed="false">
      <c r="A41" s="3" t="s">
        <v>182</v>
      </c>
      <c r="B41" s="3" t="s">
        <v>183</v>
      </c>
      <c r="C41" s="3" t="s">
        <v>184</v>
      </c>
      <c r="D41" s="3" t="s">
        <v>20</v>
      </c>
      <c r="E41" s="3" t="s">
        <v>20</v>
      </c>
      <c r="F41" s="3" t="n">
        <v>5</v>
      </c>
      <c r="G41" s="3" t="s">
        <v>185</v>
      </c>
      <c r="H41" s="5" t="b">
        <f aca="false">TRUE()</f>
        <v>1</v>
      </c>
      <c r="I41" s="3" t="s">
        <v>76</v>
      </c>
      <c r="J41" s="3" t="s">
        <v>76</v>
      </c>
      <c r="K41" s="5" t="b">
        <f aca="false">TRUE()</f>
        <v>1</v>
      </c>
      <c r="L41" s="5" t="b">
        <f aca="false">FALSE()</f>
        <v>0</v>
      </c>
      <c r="M41" s="5" t="b">
        <f aca="false">TRUE()</f>
        <v>1</v>
      </c>
      <c r="N41" s="5" t="b">
        <f aca="false">FALSE()</f>
        <v>0</v>
      </c>
      <c r="O41" s="5" t="b">
        <f aca="false">FALSE()</f>
        <v>0</v>
      </c>
    </row>
    <row r="42" customFormat="false" ht="15" hidden="false" customHeight="false" outlineLevel="0" collapsed="false">
      <c r="A42" s="3" t="s">
        <v>186</v>
      </c>
      <c r="B42" s="3" t="s">
        <v>187</v>
      </c>
      <c r="C42" s="3" t="s">
        <v>188</v>
      </c>
      <c r="D42" s="3" t="s">
        <v>20</v>
      </c>
      <c r="E42" s="3" t="s">
        <v>20</v>
      </c>
      <c r="F42" s="3" t="n">
        <v>5</v>
      </c>
      <c r="G42" s="3" t="s">
        <v>189</v>
      </c>
      <c r="H42" s="5" t="b">
        <f aca="false">TRUE()</f>
        <v>1</v>
      </c>
      <c r="I42" s="3" t="s">
        <v>76</v>
      </c>
      <c r="J42" s="3" t="s">
        <v>76</v>
      </c>
      <c r="K42" s="5" t="b">
        <f aca="false">TRUE()</f>
        <v>1</v>
      </c>
      <c r="L42" s="5" t="b">
        <f aca="false">FALSE()</f>
        <v>0</v>
      </c>
      <c r="M42" s="5" t="b">
        <f aca="false">TRUE()</f>
        <v>1</v>
      </c>
      <c r="N42" s="5" t="b">
        <f aca="false">FALSE()</f>
        <v>0</v>
      </c>
      <c r="O42" s="5" t="b">
        <f aca="false">FALSE()</f>
        <v>0</v>
      </c>
    </row>
    <row r="43" customFormat="false" ht="56" hidden="false" customHeight="false" outlineLevel="0" collapsed="false">
      <c r="A43" s="3" t="s">
        <v>190</v>
      </c>
      <c r="B43" s="3" t="s">
        <v>191</v>
      </c>
      <c r="C43" s="3" t="s">
        <v>192</v>
      </c>
      <c r="D43" s="3" t="s">
        <v>20</v>
      </c>
      <c r="E43" s="3" t="s">
        <v>20</v>
      </c>
      <c r="F43" s="3" t="n">
        <v>4</v>
      </c>
      <c r="G43" s="3" t="s">
        <v>193</v>
      </c>
      <c r="H43" s="5" t="b">
        <f aca="false">TRUE()</f>
        <v>1</v>
      </c>
      <c r="I43" s="3" t="s">
        <v>36</v>
      </c>
      <c r="J43" s="3" t="s">
        <v>76</v>
      </c>
      <c r="K43" s="7" t="b">
        <f aca="false">FALSE()</f>
        <v>0</v>
      </c>
      <c r="L43" s="5" t="b">
        <f aca="false">FALSE()</f>
        <v>0</v>
      </c>
      <c r="M43" s="5" t="b">
        <f aca="false">TRUE()</f>
        <v>1</v>
      </c>
      <c r="N43" s="5" t="b">
        <f aca="false">FALSE()</f>
        <v>0</v>
      </c>
      <c r="O43" s="5" t="b">
        <f aca="false">FALSE()</f>
        <v>0</v>
      </c>
      <c r="R43" s="2" t="s">
        <v>194</v>
      </c>
    </row>
    <row r="44" customFormat="false" ht="15" hidden="false" customHeight="false" outlineLevel="0" collapsed="false">
      <c r="A44" s="3" t="s">
        <v>195</v>
      </c>
      <c r="B44" s="3" t="s">
        <v>196</v>
      </c>
      <c r="C44" s="3" t="s">
        <v>197</v>
      </c>
      <c r="D44" s="3" t="s">
        <v>20</v>
      </c>
      <c r="E44" s="3" t="s">
        <v>20</v>
      </c>
      <c r="F44" s="3" t="n">
        <v>5</v>
      </c>
      <c r="G44" s="3" t="s">
        <v>198</v>
      </c>
      <c r="H44" s="5" t="b">
        <f aca="false">TRUE()</f>
        <v>1</v>
      </c>
      <c r="I44" s="3" t="s">
        <v>76</v>
      </c>
      <c r="J44" s="3" t="s">
        <v>76</v>
      </c>
      <c r="K44" s="5" t="b">
        <f aca="false">TRUE()</f>
        <v>1</v>
      </c>
      <c r="L44" s="5" t="b">
        <f aca="false">FALSE()</f>
        <v>0</v>
      </c>
      <c r="M44" s="5" t="b">
        <f aca="false">TRUE()</f>
        <v>1</v>
      </c>
      <c r="N44" s="5" t="b">
        <f aca="false">FALSE()</f>
        <v>0</v>
      </c>
      <c r="O44" s="5" t="b">
        <f aca="false">FALSE()</f>
        <v>0</v>
      </c>
    </row>
    <row r="45" customFormat="false" ht="15" hidden="false" customHeight="false" outlineLevel="0" collapsed="false">
      <c r="A45" s="3" t="s">
        <v>199</v>
      </c>
      <c r="B45" s="3" t="s">
        <v>200</v>
      </c>
      <c r="C45" s="3" t="s">
        <v>201</v>
      </c>
      <c r="D45" s="3" t="s">
        <v>45</v>
      </c>
      <c r="E45" s="3" t="s">
        <v>45</v>
      </c>
      <c r="F45" s="3" t="n">
        <v>1</v>
      </c>
      <c r="G45" s="3" t="s">
        <v>202</v>
      </c>
      <c r="H45" s="5" t="b">
        <f aca="false">TRUE()</f>
        <v>1</v>
      </c>
      <c r="I45" s="3" t="s">
        <v>47</v>
      </c>
      <c r="J45" s="3" t="s">
        <v>47</v>
      </c>
      <c r="K45" s="5" t="b">
        <f aca="false">TRUE()</f>
        <v>1</v>
      </c>
      <c r="L45" s="5" t="b">
        <f aca="false">FALSE()</f>
        <v>0</v>
      </c>
      <c r="M45" s="5" t="b">
        <f aca="false">FALSE()</f>
        <v>0</v>
      </c>
      <c r="N45" s="5" t="b">
        <f aca="false">FALSE()</f>
        <v>0</v>
      </c>
      <c r="O45" s="5" t="b">
        <f aca="false">FALSE()</f>
        <v>0</v>
      </c>
    </row>
    <row r="46" customFormat="false" ht="15" hidden="false" customHeight="false" outlineLevel="0" collapsed="false">
      <c r="A46" s="3" t="s">
        <v>203</v>
      </c>
      <c r="B46" s="3" t="s">
        <v>204</v>
      </c>
      <c r="C46" s="3" t="s">
        <v>205</v>
      </c>
      <c r="D46" s="3" t="s">
        <v>45</v>
      </c>
      <c r="E46" s="3" t="s">
        <v>45</v>
      </c>
      <c r="F46" s="3" t="n">
        <v>1</v>
      </c>
      <c r="G46" s="3" t="s">
        <v>206</v>
      </c>
      <c r="H46" s="5" t="b">
        <f aca="false">TRUE()</f>
        <v>1</v>
      </c>
      <c r="I46" s="3" t="s">
        <v>47</v>
      </c>
      <c r="J46" s="3" t="s">
        <v>47</v>
      </c>
      <c r="K46" s="5" t="b">
        <f aca="false">TRUE()</f>
        <v>1</v>
      </c>
      <c r="L46" s="5" t="b">
        <f aca="false">FALSE()</f>
        <v>0</v>
      </c>
      <c r="M46" s="5" t="b">
        <f aca="false">FALSE()</f>
        <v>0</v>
      </c>
      <c r="N46" s="5" t="b">
        <f aca="false">FALSE()</f>
        <v>0</v>
      </c>
      <c r="O46" s="5" t="b">
        <f aca="false">FALSE()</f>
        <v>0</v>
      </c>
    </row>
    <row r="47" customFormat="false" ht="15" hidden="false" customHeight="false" outlineLevel="0" collapsed="false">
      <c r="A47" s="3" t="s">
        <v>207</v>
      </c>
      <c r="B47" s="3" t="s">
        <v>208</v>
      </c>
      <c r="C47" s="3" t="s">
        <v>209</v>
      </c>
      <c r="D47" s="3" t="s">
        <v>20</v>
      </c>
      <c r="E47" s="3" t="s">
        <v>20</v>
      </c>
      <c r="F47" s="3" t="n">
        <v>5</v>
      </c>
      <c r="G47" s="3" t="s">
        <v>210</v>
      </c>
      <c r="H47" s="5" t="b">
        <f aca="false">TRUE()</f>
        <v>1</v>
      </c>
      <c r="I47" s="3" t="s">
        <v>22</v>
      </c>
      <c r="J47" s="3" t="s">
        <v>22</v>
      </c>
      <c r="K47" s="5" t="b">
        <f aca="false">TRUE()</f>
        <v>1</v>
      </c>
      <c r="L47" s="5" t="b">
        <f aca="false">FALSE()</f>
        <v>0</v>
      </c>
      <c r="M47" s="5" t="b">
        <f aca="false">FALSE()</f>
        <v>0</v>
      </c>
      <c r="N47" s="5" t="b">
        <f aca="false">TRUE()</f>
        <v>1</v>
      </c>
      <c r="O47" s="5" t="b">
        <f aca="false">FALSE()</f>
        <v>0</v>
      </c>
    </row>
    <row r="48" customFormat="false" ht="45.1" hidden="false" customHeight="false" outlineLevel="0" collapsed="false">
      <c r="A48" s="3" t="s">
        <v>211</v>
      </c>
      <c r="B48" s="3" t="s">
        <v>212</v>
      </c>
      <c r="C48" s="3" t="s">
        <v>213</v>
      </c>
      <c r="D48" s="3" t="s">
        <v>45</v>
      </c>
      <c r="E48" s="3" t="s">
        <v>20</v>
      </c>
      <c r="F48" s="3" t="n">
        <v>4</v>
      </c>
      <c r="G48" s="3" t="s">
        <v>214</v>
      </c>
      <c r="H48" s="8" t="b">
        <f aca="false">FALSE()</f>
        <v>0</v>
      </c>
      <c r="I48" s="3" t="s">
        <v>47</v>
      </c>
      <c r="J48" s="3" t="s">
        <v>36</v>
      </c>
      <c r="K48" s="5" t="b">
        <f aca="false">FALSE()</f>
        <v>0</v>
      </c>
      <c r="L48" s="5" t="b">
        <f aca="false">FALSE()</f>
        <v>0</v>
      </c>
      <c r="M48" s="5" t="b">
        <f aca="false">FALSE()</f>
        <v>0</v>
      </c>
      <c r="N48" s="5" t="b">
        <f aca="false">FALSE()</f>
        <v>0</v>
      </c>
      <c r="O48" s="5" t="b">
        <f aca="false">TRUE()</f>
        <v>1</v>
      </c>
      <c r="Q48" s="2" t="s">
        <v>215</v>
      </c>
    </row>
    <row r="49" customFormat="false" ht="15" hidden="false" customHeight="false" outlineLevel="0" collapsed="false">
      <c r="A49" s="3" t="s">
        <v>216</v>
      </c>
      <c r="B49" s="3" t="s">
        <v>217</v>
      </c>
      <c r="C49" s="3" t="s">
        <v>218</v>
      </c>
      <c r="D49" s="3" t="s">
        <v>20</v>
      </c>
      <c r="E49" s="3" t="s">
        <v>20</v>
      </c>
      <c r="F49" s="3" t="n">
        <v>5</v>
      </c>
      <c r="G49" s="3" t="s">
        <v>219</v>
      </c>
      <c r="H49" s="5" t="b">
        <f aca="false">TRUE()</f>
        <v>1</v>
      </c>
      <c r="I49" s="3" t="s">
        <v>35</v>
      </c>
      <c r="J49" s="3" t="s">
        <v>35</v>
      </c>
      <c r="K49" s="5" t="b">
        <f aca="false">TRUE()</f>
        <v>1</v>
      </c>
      <c r="L49" s="5" t="b">
        <f aca="false">TRUE()</f>
        <v>1</v>
      </c>
      <c r="M49" s="5" t="b">
        <f aca="false">FALSE()</f>
        <v>0</v>
      </c>
      <c r="N49" s="5" t="b">
        <f aca="false">FALSE()</f>
        <v>0</v>
      </c>
      <c r="O49" s="5" t="b">
        <f aca="false">FALSE()</f>
        <v>0</v>
      </c>
    </row>
    <row r="50" customFormat="false" ht="15" hidden="false" customHeight="false" outlineLevel="0" collapsed="false">
      <c r="A50" s="3" t="s">
        <v>220</v>
      </c>
      <c r="B50" s="3" t="s">
        <v>221</v>
      </c>
      <c r="C50" s="3" t="s">
        <v>222</v>
      </c>
      <c r="D50" s="3" t="s">
        <v>45</v>
      </c>
      <c r="E50" s="3" t="s">
        <v>45</v>
      </c>
      <c r="F50" s="3" t="n">
        <v>2</v>
      </c>
      <c r="G50" s="3" t="s">
        <v>223</v>
      </c>
      <c r="H50" s="5" t="b">
        <f aca="false">TRUE()</f>
        <v>1</v>
      </c>
      <c r="I50" s="3" t="s">
        <v>47</v>
      </c>
      <c r="J50" s="3" t="s">
        <v>47</v>
      </c>
      <c r="K50" s="5" t="b">
        <f aca="false">TRUE()</f>
        <v>1</v>
      </c>
      <c r="L50" s="5" t="b">
        <f aca="false">FALSE()</f>
        <v>0</v>
      </c>
      <c r="M50" s="5" t="b">
        <f aca="false">FALSE()</f>
        <v>0</v>
      </c>
      <c r="N50" s="5" t="b">
        <f aca="false">FALSE()</f>
        <v>0</v>
      </c>
      <c r="O50" s="5" t="b">
        <f aca="false">FALSE()</f>
        <v>0</v>
      </c>
    </row>
    <row r="51" customFormat="false" ht="15" hidden="false" customHeight="false" outlineLevel="0" collapsed="false">
      <c r="A51" s="3" t="s">
        <v>224</v>
      </c>
      <c r="B51" s="3" t="s">
        <v>225</v>
      </c>
      <c r="C51" s="3" t="s">
        <v>226</v>
      </c>
      <c r="D51" s="3" t="s">
        <v>20</v>
      </c>
      <c r="E51" s="3" t="s">
        <v>20</v>
      </c>
      <c r="F51" s="3" t="n">
        <v>5</v>
      </c>
      <c r="G51" s="3" t="s">
        <v>227</v>
      </c>
      <c r="H51" s="5" t="b">
        <f aca="false">TRUE()</f>
        <v>1</v>
      </c>
      <c r="I51" s="3" t="s">
        <v>36</v>
      </c>
      <c r="J51" s="3" t="s">
        <v>36</v>
      </c>
      <c r="K51" s="5" t="b">
        <f aca="false">TRUE()</f>
        <v>1</v>
      </c>
      <c r="L51" s="5" t="b">
        <f aca="false">FALSE()</f>
        <v>0</v>
      </c>
      <c r="M51" s="5" t="b">
        <f aca="false">FALSE()</f>
        <v>0</v>
      </c>
      <c r="N51" s="5" t="b">
        <f aca="false">FALSE()</f>
        <v>0</v>
      </c>
      <c r="O51" s="5" t="b">
        <f aca="false">TRUE()</f>
        <v>1</v>
      </c>
    </row>
    <row r="52" customFormat="false" ht="15" hidden="false" customHeight="false" outlineLevel="0" collapsed="false">
      <c r="A52" s="3" t="s">
        <v>228</v>
      </c>
      <c r="B52" s="3" t="s">
        <v>229</v>
      </c>
      <c r="C52" s="3" t="s">
        <v>230</v>
      </c>
      <c r="D52" s="3" t="s">
        <v>45</v>
      </c>
      <c r="E52" s="3" t="s">
        <v>45</v>
      </c>
      <c r="F52" s="3" t="n">
        <v>1</v>
      </c>
      <c r="G52" s="3" t="s">
        <v>231</v>
      </c>
      <c r="H52" s="5" t="b">
        <f aca="false">TRUE()</f>
        <v>1</v>
      </c>
      <c r="I52" s="3" t="s">
        <v>47</v>
      </c>
      <c r="J52" s="3" t="s">
        <v>47</v>
      </c>
      <c r="K52" s="5" t="b">
        <f aca="false">TRUE()</f>
        <v>1</v>
      </c>
      <c r="L52" s="5" t="b">
        <f aca="false">FALSE()</f>
        <v>0</v>
      </c>
      <c r="M52" s="5" t="b">
        <f aca="false">FALSE()</f>
        <v>0</v>
      </c>
      <c r="N52" s="5" t="b">
        <f aca="false">FALSE()</f>
        <v>0</v>
      </c>
      <c r="O52" s="5" t="b">
        <f aca="false">FALSE()</f>
        <v>0</v>
      </c>
    </row>
    <row r="53" customFormat="false" ht="34.2" hidden="false" customHeight="false" outlineLevel="0" collapsed="false">
      <c r="A53" s="3" t="s">
        <v>232</v>
      </c>
      <c r="B53" s="3" t="s">
        <v>233</v>
      </c>
      <c r="C53" s="3" t="s">
        <v>234</v>
      </c>
      <c r="D53" s="3" t="s">
        <v>20</v>
      </c>
      <c r="E53" s="3" t="s">
        <v>45</v>
      </c>
      <c r="F53" s="3" t="n">
        <v>2</v>
      </c>
      <c r="G53" s="3" t="s">
        <v>235</v>
      </c>
      <c r="H53" s="7" t="b">
        <f aca="false">FALSE()</f>
        <v>0</v>
      </c>
      <c r="I53" s="3" t="s">
        <v>22</v>
      </c>
      <c r="J53" s="3" t="s">
        <v>47</v>
      </c>
      <c r="K53" s="5" t="b">
        <f aca="false">FALSE()</f>
        <v>0</v>
      </c>
      <c r="L53" s="5" t="b">
        <f aca="false">FALSE()</f>
        <v>0</v>
      </c>
      <c r="M53" s="5" t="b">
        <f aca="false">FALSE()</f>
        <v>0</v>
      </c>
      <c r="N53" s="5" t="b">
        <f aca="false">FALSE()</f>
        <v>0</v>
      </c>
      <c r="O53" s="5" t="b">
        <f aca="false">FALSE()</f>
        <v>0</v>
      </c>
      <c r="Q53" s="2" t="s">
        <v>236</v>
      </c>
      <c r="S53" s="3" t="s">
        <v>237</v>
      </c>
    </row>
    <row r="54" customFormat="false" ht="23.3" hidden="false" customHeight="false" outlineLevel="0" collapsed="false">
      <c r="A54" s="3" t="s">
        <v>238</v>
      </c>
      <c r="B54" s="3" t="s">
        <v>239</v>
      </c>
      <c r="C54" s="3" t="s">
        <v>240</v>
      </c>
      <c r="D54" s="3" t="s">
        <v>20</v>
      </c>
      <c r="E54" s="3" t="s">
        <v>45</v>
      </c>
      <c r="F54" s="3" t="n">
        <v>2</v>
      </c>
      <c r="G54" s="3" t="s">
        <v>241</v>
      </c>
      <c r="H54" s="6" t="b">
        <f aca="false">FALSE()</f>
        <v>0</v>
      </c>
      <c r="I54" s="3" t="s">
        <v>35</v>
      </c>
      <c r="J54" s="3" t="s">
        <v>47</v>
      </c>
      <c r="K54" s="5" t="b">
        <f aca="false">FALSE()</f>
        <v>0</v>
      </c>
      <c r="L54" s="5" t="b">
        <f aca="false">FALSE()</f>
        <v>0</v>
      </c>
      <c r="M54" s="5" t="b">
        <f aca="false">FALSE()</f>
        <v>0</v>
      </c>
      <c r="N54" s="5" t="b">
        <f aca="false">FALSE()</f>
        <v>0</v>
      </c>
      <c r="O54" s="5" t="b">
        <f aca="false">FALSE()</f>
        <v>0</v>
      </c>
      <c r="Q54" s="2" t="s">
        <v>242</v>
      </c>
    </row>
    <row r="55" customFormat="false" ht="15" hidden="false" customHeight="false" outlineLevel="0" collapsed="false">
      <c r="A55" s="3" t="s">
        <v>243</v>
      </c>
      <c r="B55" s="3" t="s">
        <v>244</v>
      </c>
      <c r="C55" s="3" t="s">
        <v>245</v>
      </c>
      <c r="D55" s="3" t="s">
        <v>45</v>
      </c>
      <c r="E55" s="3" t="s">
        <v>45</v>
      </c>
      <c r="F55" s="3" t="n">
        <v>1</v>
      </c>
      <c r="G55" s="3" t="s">
        <v>246</v>
      </c>
      <c r="H55" s="5" t="b">
        <f aca="false">TRUE()</f>
        <v>1</v>
      </c>
      <c r="I55" s="3" t="s">
        <v>47</v>
      </c>
      <c r="J55" s="3" t="s">
        <v>47</v>
      </c>
      <c r="K55" s="5" t="b">
        <f aca="false">TRUE()</f>
        <v>1</v>
      </c>
      <c r="L55" s="5" t="b">
        <f aca="false">FALSE()</f>
        <v>0</v>
      </c>
      <c r="M55" s="5" t="b">
        <f aca="false">FALSE()</f>
        <v>0</v>
      </c>
      <c r="N55" s="5" t="b">
        <f aca="false">FALSE()</f>
        <v>0</v>
      </c>
      <c r="O55" s="5" t="b">
        <f aca="false">FALSE()</f>
        <v>0</v>
      </c>
    </row>
    <row r="56" customFormat="false" ht="15" hidden="false" customHeight="false" outlineLevel="0" collapsed="false">
      <c r="A56" s="3" t="s">
        <v>247</v>
      </c>
      <c r="B56" s="3" t="s">
        <v>248</v>
      </c>
      <c r="C56" s="3" t="s">
        <v>249</v>
      </c>
      <c r="D56" s="3" t="s">
        <v>20</v>
      </c>
      <c r="E56" s="3" t="s">
        <v>20</v>
      </c>
      <c r="F56" s="3" t="n">
        <v>4</v>
      </c>
      <c r="G56" s="3" t="s">
        <v>250</v>
      </c>
      <c r="H56" s="5" t="b">
        <f aca="false">TRUE()</f>
        <v>1</v>
      </c>
      <c r="I56" s="3" t="s">
        <v>35</v>
      </c>
      <c r="J56" s="3" t="s">
        <v>35</v>
      </c>
      <c r="K56" s="5" t="b">
        <f aca="false">TRUE()</f>
        <v>1</v>
      </c>
      <c r="L56" s="5" t="b">
        <f aca="false">TRUE()</f>
        <v>1</v>
      </c>
      <c r="M56" s="5" t="b">
        <f aca="false">FALSE()</f>
        <v>0</v>
      </c>
      <c r="N56" s="5" t="b">
        <f aca="false">FALSE()</f>
        <v>0</v>
      </c>
      <c r="O56" s="5" t="b">
        <f aca="false">FALSE()</f>
        <v>0</v>
      </c>
    </row>
    <row r="57" customFormat="false" ht="15" hidden="false" customHeight="false" outlineLevel="0" collapsed="false">
      <c r="A57" s="3" t="s">
        <v>251</v>
      </c>
      <c r="B57" s="3" t="s">
        <v>252</v>
      </c>
      <c r="C57" s="3" t="s">
        <v>253</v>
      </c>
      <c r="D57" s="3" t="s">
        <v>45</v>
      </c>
      <c r="E57" s="3" t="s">
        <v>45</v>
      </c>
      <c r="F57" s="3" t="n">
        <v>2</v>
      </c>
      <c r="G57" s="3" t="s">
        <v>254</v>
      </c>
      <c r="H57" s="5" t="b">
        <f aca="false">TRUE()</f>
        <v>1</v>
      </c>
      <c r="I57" s="3" t="s">
        <v>47</v>
      </c>
      <c r="J57" s="3" t="s">
        <v>47</v>
      </c>
      <c r="K57" s="5" t="b">
        <f aca="false">TRUE()</f>
        <v>1</v>
      </c>
      <c r="L57" s="5" t="b">
        <f aca="false">FALSE()</f>
        <v>0</v>
      </c>
      <c r="M57" s="5" t="b">
        <f aca="false">FALSE()</f>
        <v>0</v>
      </c>
      <c r="N57" s="5" t="b">
        <f aca="false">FALSE()</f>
        <v>0</v>
      </c>
      <c r="O57" s="5" t="b">
        <f aca="false">FALSE()</f>
        <v>0</v>
      </c>
    </row>
    <row r="58" customFormat="false" ht="15" hidden="false" customHeight="false" outlineLevel="0" collapsed="false">
      <c r="A58" s="3" t="s">
        <v>255</v>
      </c>
      <c r="B58" s="3" t="s">
        <v>256</v>
      </c>
      <c r="C58" s="3" t="s">
        <v>257</v>
      </c>
      <c r="D58" s="3" t="s">
        <v>45</v>
      </c>
      <c r="E58" s="3" t="s">
        <v>45</v>
      </c>
      <c r="F58" s="3" t="n">
        <v>1</v>
      </c>
      <c r="G58" s="3" t="s">
        <v>258</v>
      </c>
      <c r="H58" s="5" t="b">
        <f aca="false">TRUE()</f>
        <v>1</v>
      </c>
      <c r="I58" s="3" t="s">
        <v>47</v>
      </c>
      <c r="J58" s="3" t="s">
        <v>47</v>
      </c>
      <c r="K58" s="5" t="b">
        <f aca="false">TRUE()</f>
        <v>1</v>
      </c>
      <c r="L58" s="5" t="b">
        <f aca="false">FALSE()</f>
        <v>0</v>
      </c>
      <c r="M58" s="5" t="b">
        <f aca="false">FALSE()</f>
        <v>0</v>
      </c>
      <c r="N58" s="5" t="b">
        <f aca="false">FALSE()</f>
        <v>0</v>
      </c>
      <c r="O58" s="5" t="b">
        <f aca="false">FALSE()</f>
        <v>0</v>
      </c>
    </row>
    <row r="59" customFormat="false" ht="15" hidden="false" customHeight="false" outlineLevel="0" collapsed="false">
      <c r="A59" s="3" t="s">
        <v>259</v>
      </c>
      <c r="B59" s="3" t="s">
        <v>260</v>
      </c>
      <c r="C59" s="3" t="s">
        <v>261</v>
      </c>
      <c r="D59" s="3" t="s">
        <v>20</v>
      </c>
      <c r="E59" s="3" t="s">
        <v>20</v>
      </c>
      <c r="F59" s="3" t="n">
        <v>5</v>
      </c>
      <c r="G59" s="3" t="s">
        <v>262</v>
      </c>
      <c r="H59" s="5" t="b">
        <f aca="false">TRUE()</f>
        <v>1</v>
      </c>
      <c r="I59" s="3" t="s">
        <v>35</v>
      </c>
      <c r="J59" s="3" t="s">
        <v>35</v>
      </c>
      <c r="K59" s="5" t="b">
        <f aca="false">TRUE()</f>
        <v>1</v>
      </c>
      <c r="L59" s="5" t="b">
        <f aca="false">TRUE()</f>
        <v>1</v>
      </c>
      <c r="M59" s="5" t="b">
        <f aca="false">FALSE()</f>
        <v>0</v>
      </c>
      <c r="N59" s="5" t="b">
        <f aca="false">FALSE()</f>
        <v>0</v>
      </c>
      <c r="O59" s="5" t="b">
        <f aca="false">FALSE()</f>
        <v>0</v>
      </c>
    </row>
    <row r="60" customFormat="false" ht="23.3" hidden="false" customHeight="false" outlineLevel="0" collapsed="false">
      <c r="A60" s="3" t="s">
        <v>263</v>
      </c>
      <c r="B60" s="3" t="s">
        <v>264</v>
      </c>
      <c r="C60" s="3" t="s">
        <v>265</v>
      </c>
      <c r="D60" s="3" t="s">
        <v>20</v>
      </c>
      <c r="E60" s="3" t="s">
        <v>20</v>
      </c>
      <c r="F60" s="3" t="n">
        <v>5</v>
      </c>
      <c r="G60" s="3" t="s">
        <v>266</v>
      </c>
      <c r="H60" s="5" t="b">
        <f aca="false">TRUE()</f>
        <v>1</v>
      </c>
      <c r="I60" s="3" t="s">
        <v>35</v>
      </c>
      <c r="J60" s="3" t="s">
        <v>36</v>
      </c>
      <c r="K60" s="7" t="b">
        <f aca="false">FALSE()</f>
        <v>0</v>
      </c>
      <c r="L60" s="5" t="b">
        <f aca="false">TRUE()</f>
        <v>1</v>
      </c>
      <c r="M60" s="5" t="b">
        <f aca="false">TRUE()</f>
        <v>1</v>
      </c>
      <c r="N60" s="5" t="b">
        <f aca="false">FALSE()</f>
        <v>0</v>
      </c>
      <c r="O60" s="5" t="b">
        <f aca="false">FALSE()</f>
        <v>0</v>
      </c>
      <c r="R60" s="2" t="s">
        <v>267</v>
      </c>
    </row>
    <row r="61" customFormat="false" ht="15" hidden="false" customHeight="false" outlineLevel="0" collapsed="false">
      <c r="A61" s="3" t="s">
        <v>268</v>
      </c>
      <c r="B61" s="3" t="s">
        <v>269</v>
      </c>
      <c r="C61" s="3" t="s">
        <v>270</v>
      </c>
      <c r="D61" s="3" t="s">
        <v>45</v>
      </c>
      <c r="E61" s="3" t="s">
        <v>45</v>
      </c>
      <c r="F61" s="3" t="n">
        <v>2</v>
      </c>
      <c r="G61" s="3" t="s">
        <v>271</v>
      </c>
      <c r="H61" s="5" t="b">
        <f aca="false">TRUE()</f>
        <v>1</v>
      </c>
      <c r="I61" s="3" t="s">
        <v>47</v>
      </c>
      <c r="J61" s="3" t="s">
        <v>47</v>
      </c>
      <c r="K61" s="5" t="b">
        <f aca="false">TRUE()</f>
        <v>1</v>
      </c>
      <c r="L61" s="5" t="b">
        <f aca="false">FALSE()</f>
        <v>0</v>
      </c>
      <c r="M61" s="5" t="b">
        <f aca="false">FALSE()</f>
        <v>0</v>
      </c>
      <c r="N61" s="5" t="b">
        <f aca="false">FALSE()</f>
        <v>0</v>
      </c>
      <c r="O61" s="5" t="b">
        <f aca="false">FALSE()</f>
        <v>0</v>
      </c>
    </row>
    <row r="62" customFormat="false" ht="23.3" hidden="false" customHeight="false" outlineLevel="0" collapsed="false">
      <c r="A62" s="3" t="s">
        <v>272</v>
      </c>
      <c r="B62" s="3" t="s">
        <v>273</v>
      </c>
      <c r="C62" s="3" t="s">
        <v>274</v>
      </c>
      <c r="D62" s="3" t="s">
        <v>20</v>
      </c>
      <c r="E62" s="3" t="s">
        <v>45</v>
      </c>
      <c r="F62" s="3" t="n">
        <v>2</v>
      </c>
      <c r="G62" s="3" t="s">
        <v>275</v>
      </c>
      <c r="H62" s="6" t="b">
        <f aca="false">FALSE()</f>
        <v>0</v>
      </c>
      <c r="I62" s="3" t="s">
        <v>76</v>
      </c>
      <c r="J62" s="3" t="s">
        <v>47</v>
      </c>
      <c r="K62" s="5" t="b">
        <f aca="false">FALSE()</f>
        <v>0</v>
      </c>
      <c r="L62" s="5" t="b">
        <f aca="false">FALSE()</f>
        <v>0</v>
      </c>
      <c r="M62" s="5" t="b">
        <f aca="false">FALSE()</f>
        <v>0</v>
      </c>
      <c r="N62" s="5" t="b">
        <f aca="false">FALSE()</f>
        <v>0</v>
      </c>
      <c r="O62" s="5" t="b">
        <f aca="false">FALSE()</f>
        <v>0</v>
      </c>
      <c r="Q62" s="2" t="s">
        <v>276</v>
      </c>
    </row>
    <row r="63" customFormat="false" ht="15" hidden="false" customHeight="false" outlineLevel="0" collapsed="false">
      <c r="A63" s="3" t="s">
        <v>277</v>
      </c>
      <c r="B63" s="3" t="s">
        <v>278</v>
      </c>
      <c r="C63" s="3" t="s">
        <v>279</v>
      </c>
      <c r="D63" s="3" t="s">
        <v>45</v>
      </c>
      <c r="E63" s="3" t="s">
        <v>45</v>
      </c>
      <c r="F63" s="3" t="n">
        <v>2</v>
      </c>
      <c r="G63" s="3" t="s">
        <v>280</v>
      </c>
      <c r="H63" s="5" t="b">
        <f aca="false">TRUE()</f>
        <v>1</v>
      </c>
      <c r="I63" s="3" t="s">
        <v>47</v>
      </c>
      <c r="J63" s="3" t="s">
        <v>47</v>
      </c>
      <c r="K63" s="5" t="b">
        <f aca="false">TRUE()</f>
        <v>1</v>
      </c>
      <c r="L63" s="5" t="b">
        <f aca="false">FALSE()</f>
        <v>0</v>
      </c>
      <c r="M63" s="5" t="b">
        <f aca="false">FALSE()</f>
        <v>0</v>
      </c>
      <c r="N63" s="5" t="b">
        <f aca="false">FALSE()</f>
        <v>0</v>
      </c>
      <c r="O63" s="5" t="b">
        <f aca="false">FALSE()</f>
        <v>0</v>
      </c>
    </row>
    <row r="64" customFormat="false" ht="15" hidden="false" customHeight="false" outlineLevel="0" collapsed="false">
      <c r="A64" s="3" t="s">
        <v>281</v>
      </c>
      <c r="B64" s="3" t="s">
        <v>282</v>
      </c>
      <c r="C64" s="3" t="s">
        <v>283</v>
      </c>
      <c r="D64" s="3" t="s">
        <v>20</v>
      </c>
      <c r="E64" s="3" t="s">
        <v>20</v>
      </c>
      <c r="F64" s="3" t="n">
        <v>4</v>
      </c>
      <c r="G64" s="3" t="s">
        <v>284</v>
      </c>
      <c r="H64" s="5" t="b">
        <f aca="false">TRUE()</f>
        <v>1</v>
      </c>
      <c r="I64" s="3" t="s">
        <v>35</v>
      </c>
      <c r="J64" s="3" t="s">
        <v>35</v>
      </c>
      <c r="K64" s="5" t="b">
        <f aca="false">TRUE()</f>
        <v>1</v>
      </c>
      <c r="L64" s="5" t="b">
        <f aca="false">TRUE()</f>
        <v>1</v>
      </c>
      <c r="M64" s="5" t="b">
        <f aca="false">FALSE()</f>
        <v>0</v>
      </c>
      <c r="N64" s="5" t="b">
        <f aca="false">FALSE()</f>
        <v>0</v>
      </c>
      <c r="O64" s="5" t="b">
        <f aca="false">FALSE()</f>
        <v>0</v>
      </c>
    </row>
    <row r="65" customFormat="false" ht="15" hidden="false" customHeight="false" outlineLevel="0" collapsed="false">
      <c r="A65" s="3" t="s">
        <v>285</v>
      </c>
      <c r="B65" s="3" t="s">
        <v>286</v>
      </c>
      <c r="C65" s="3" t="s">
        <v>287</v>
      </c>
      <c r="D65" s="3" t="s">
        <v>20</v>
      </c>
      <c r="E65" s="3" t="s">
        <v>45</v>
      </c>
      <c r="F65" s="3" t="n">
        <v>1</v>
      </c>
      <c r="G65" s="3" t="s">
        <v>288</v>
      </c>
      <c r="H65" s="6" t="b">
        <f aca="false">FALSE()</f>
        <v>0</v>
      </c>
      <c r="I65" s="3" t="s">
        <v>22</v>
      </c>
      <c r="J65" s="3" t="s">
        <v>47</v>
      </c>
      <c r="K65" s="5" t="b">
        <f aca="false">FALSE()</f>
        <v>0</v>
      </c>
      <c r="L65" s="5" t="b">
        <f aca="false">FALSE()</f>
        <v>0</v>
      </c>
      <c r="M65" s="5" t="b">
        <f aca="false">FALSE()</f>
        <v>0</v>
      </c>
      <c r="N65" s="5" t="b">
        <f aca="false">FALSE()</f>
        <v>0</v>
      </c>
      <c r="O65" s="5" t="b">
        <f aca="false">FALSE()</f>
        <v>0</v>
      </c>
      <c r="Q65" s="2" t="s">
        <v>289</v>
      </c>
    </row>
    <row r="66" customFormat="false" ht="15" hidden="false" customHeight="false" outlineLevel="0" collapsed="false">
      <c r="A66" s="3" t="s">
        <v>290</v>
      </c>
      <c r="B66" s="3" t="s">
        <v>291</v>
      </c>
      <c r="C66" s="3" t="s">
        <v>292</v>
      </c>
      <c r="D66" s="3" t="s">
        <v>20</v>
      </c>
      <c r="E66" s="3" t="s">
        <v>20</v>
      </c>
      <c r="F66" s="3" t="n">
        <v>4</v>
      </c>
      <c r="G66" s="3" t="s">
        <v>293</v>
      </c>
      <c r="H66" s="5" t="b">
        <f aca="false">TRUE()</f>
        <v>1</v>
      </c>
      <c r="I66" s="3" t="s">
        <v>76</v>
      </c>
      <c r="J66" s="3" t="s">
        <v>76</v>
      </c>
      <c r="K66" s="5" t="b">
        <f aca="false">TRUE()</f>
        <v>1</v>
      </c>
      <c r="L66" s="5" t="b">
        <f aca="false">FALSE()</f>
        <v>0</v>
      </c>
      <c r="M66" s="5" t="b">
        <f aca="false">TRUE()</f>
        <v>1</v>
      </c>
      <c r="N66" s="5" t="b">
        <f aca="false">FALSE()</f>
        <v>0</v>
      </c>
      <c r="O66" s="5" t="b">
        <f aca="false">FALSE()</f>
        <v>0</v>
      </c>
    </row>
    <row r="67" customFormat="false" ht="15" hidden="false" customHeight="false" outlineLevel="0" collapsed="false">
      <c r="A67" s="3" t="s">
        <v>294</v>
      </c>
      <c r="B67" s="3" t="s">
        <v>295</v>
      </c>
      <c r="C67" s="3" t="s">
        <v>296</v>
      </c>
      <c r="D67" s="3" t="s">
        <v>45</v>
      </c>
      <c r="E67" s="3" t="s">
        <v>45</v>
      </c>
      <c r="F67" s="3" t="n">
        <v>1</v>
      </c>
      <c r="G67" s="3" t="s">
        <v>297</v>
      </c>
      <c r="H67" s="5" t="b">
        <f aca="false">TRUE()</f>
        <v>1</v>
      </c>
      <c r="I67" s="3" t="s">
        <v>47</v>
      </c>
      <c r="J67" s="3" t="s">
        <v>47</v>
      </c>
      <c r="K67" s="5" t="b">
        <f aca="false">TRUE()</f>
        <v>1</v>
      </c>
      <c r="L67" s="5" t="b">
        <f aca="false">FALSE()</f>
        <v>0</v>
      </c>
      <c r="M67" s="5" t="b">
        <f aca="false">FALSE()</f>
        <v>0</v>
      </c>
      <c r="N67" s="5" t="b">
        <f aca="false">FALSE()</f>
        <v>0</v>
      </c>
      <c r="O67" s="5" t="b">
        <f aca="false">FALSE()</f>
        <v>0</v>
      </c>
    </row>
    <row r="68" customFormat="false" ht="15" hidden="false" customHeight="false" outlineLevel="0" collapsed="false">
      <c r="A68" s="3" t="s">
        <v>298</v>
      </c>
      <c r="B68" s="3" t="s">
        <v>299</v>
      </c>
      <c r="C68" s="3" t="s">
        <v>300</v>
      </c>
      <c r="D68" s="3" t="s">
        <v>45</v>
      </c>
      <c r="E68" s="3" t="s">
        <v>45</v>
      </c>
      <c r="F68" s="3" t="n">
        <v>2</v>
      </c>
      <c r="G68" s="3" t="s">
        <v>301</v>
      </c>
      <c r="H68" s="5" t="b">
        <f aca="false">TRUE()</f>
        <v>1</v>
      </c>
      <c r="I68" s="3" t="s">
        <v>47</v>
      </c>
      <c r="J68" s="3" t="s">
        <v>47</v>
      </c>
      <c r="K68" s="5" t="b">
        <f aca="false">TRUE()</f>
        <v>1</v>
      </c>
      <c r="L68" s="5" t="b">
        <f aca="false">FALSE()</f>
        <v>0</v>
      </c>
      <c r="M68" s="5" t="b">
        <f aca="false">FALSE()</f>
        <v>0</v>
      </c>
      <c r="N68" s="5" t="b">
        <f aca="false">FALSE()</f>
        <v>0</v>
      </c>
      <c r="O68" s="5" t="b">
        <f aca="false">FALSE()</f>
        <v>0</v>
      </c>
    </row>
    <row r="69" customFormat="false" ht="15" hidden="false" customHeight="false" outlineLevel="0" collapsed="false">
      <c r="A69" s="3" t="s">
        <v>302</v>
      </c>
      <c r="B69" s="3" t="s">
        <v>303</v>
      </c>
      <c r="C69" s="3" t="s">
        <v>304</v>
      </c>
      <c r="D69" s="3" t="s">
        <v>45</v>
      </c>
      <c r="E69" s="3" t="s">
        <v>45</v>
      </c>
      <c r="F69" s="3" t="n">
        <v>1</v>
      </c>
      <c r="G69" s="3" t="s">
        <v>305</v>
      </c>
      <c r="H69" s="5" t="b">
        <f aca="false">TRUE()</f>
        <v>1</v>
      </c>
      <c r="I69" s="3" t="s">
        <v>47</v>
      </c>
      <c r="J69" s="3" t="s">
        <v>47</v>
      </c>
      <c r="K69" s="5" t="b">
        <f aca="false">TRUE()</f>
        <v>1</v>
      </c>
      <c r="L69" s="5" t="b">
        <f aca="false">FALSE()</f>
        <v>0</v>
      </c>
      <c r="M69" s="5" t="b">
        <f aca="false">FALSE()</f>
        <v>0</v>
      </c>
      <c r="N69" s="5" t="b">
        <f aca="false">FALSE()</f>
        <v>0</v>
      </c>
      <c r="O69" s="5" t="b">
        <f aca="false">FALSE()</f>
        <v>0</v>
      </c>
    </row>
    <row r="70" customFormat="false" ht="15" hidden="false" customHeight="false" outlineLevel="0" collapsed="false">
      <c r="A70" s="3" t="s">
        <v>306</v>
      </c>
      <c r="B70" s="3" t="s">
        <v>307</v>
      </c>
      <c r="C70" s="3" t="s">
        <v>308</v>
      </c>
      <c r="D70" s="3" t="s">
        <v>45</v>
      </c>
      <c r="H70" s="5" t="b">
        <f aca="false">FALSE()</f>
        <v>0</v>
      </c>
      <c r="I70" s="3" t="s">
        <v>47</v>
      </c>
      <c r="J70" s="3" t="s">
        <v>36</v>
      </c>
      <c r="K70" s="6" t="b">
        <f aca="false">FALSE()</f>
        <v>0</v>
      </c>
      <c r="P70" s="3" t="s">
        <v>309</v>
      </c>
    </row>
    <row r="71" customFormat="false" ht="15" hidden="false" customHeight="false" outlineLevel="0" collapsed="false">
      <c r="A71" s="3" t="s">
        <v>310</v>
      </c>
      <c r="B71" s="3" t="s">
        <v>311</v>
      </c>
      <c r="C71" s="3" t="s">
        <v>312</v>
      </c>
      <c r="D71" s="3" t="s">
        <v>20</v>
      </c>
      <c r="E71" s="3" t="s">
        <v>20</v>
      </c>
      <c r="F71" s="3" t="n">
        <v>5</v>
      </c>
      <c r="G71" s="3" t="s">
        <v>313</v>
      </c>
      <c r="H71" s="5" t="b">
        <f aca="false">TRUE()</f>
        <v>1</v>
      </c>
      <c r="I71" s="3" t="s">
        <v>35</v>
      </c>
      <c r="J71" s="3" t="s">
        <v>35</v>
      </c>
      <c r="K71" s="5" t="b">
        <f aca="false">TRUE()</f>
        <v>1</v>
      </c>
      <c r="L71" s="5" t="b">
        <f aca="false">TRUE()</f>
        <v>1</v>
      </c>
      <c r="M71" s="5" t="b">
        <f aca="false">FALSE()</f>
        <v>0</v>
      </c>
      <c r="N71" s="5" t="b">
        <f aca="false">FALSE()</f>
        <v>0</v>
      </c>
      <c r="O71" s="5" t="b">
        <f aca="false">FALSE()</f>
        <v>0</v>
      </c>
    </row>
    <row r="72" customFormat="false" ht="15" hidden="false" customHeight="false" outlineLevel="0" collapsed="false">
      <c r="A72" s="3" t="s">
        <v>314</v>
      </c>
      <c r="B72" s="3" t="s">
        <v>315</v>
      </c>
      <c r="C72" s="3" t="s">
        <v>316</v>
      </c>
      <c r="D72" s="3" t="s">
        <v>20</v>
      </c>
      <c r="E72" s="3" t="s">
        <v>20</v>
      </c>
      <c r="F72" s="3" t="n">
        <v>4</v>
      </c>
      <c r="G72" s="3" t="s">
        <v>317</v>
      </c>
      <c r="H72" s="5" t="b">
        <f aca="false">TRUE()</f>
        <v>1</v>
      </c>
      <c r="I72" s="3" t="s">
        <v>76</v>
      </c>
      <c r="J72" s="3" t="s">
        <v>76</v>
      </c>
      <c r="K72" s="5" t="b">
        <f aca="false">TRUE()</f>
        <v>1</v>
      </c>
      <c r="L72" s="5" t="b">
        <f aca="false">FALSE()</f>
        <v>0</v>
      </c>
      <c r="M72" s="5" t="b">
        <f aca="false">TRUE()</f>
        <v>1</v>
      </c>
      <c r="N72" s="5" t="b">
        <f aca="false">FALSE()</f>
        <v>0</v>
      </c>
      <c r="O72" s="5" t="b">
        <f aca="false">FALSE()</f>
        <v>0</v>
      </c>
    </row>
    <row r="73" customFormat="false" ht="15" hidden="false" customHeight="false" outlineLevel="0" collapsed="false">
      <c r="A73" s="3" t="s">
        <v>318</v>
      </c>
      <c r="B73" s="3" t="s">
        <v>319</v>
      </c>
      <c r="C73" s="3" t="s">
        <v>320</v>
      </c>
      <c r="D73" s="3" t="s">
        <v>20</v>
      </c>
      <c r="E73" s="3" t="s">
        <v>20</v>
      </c>
      <c r="F73" s="3" t="n">
        <v>4</v>
      </c>
      <c r="G73" s="3" t="s">
        <v>321</v>
      </c>
      <c r="H73" s="5" t="b">
        <f aca="false">TRUE()</f>
        <v>1</v>
      </c>
      <c r="I73" s="3" t="s">
        <v>35</v>
      </c>
      <c r="J73" s="3" t="s">
        <v>35</v>
      </c>
      <c r="K73" s="5" t="b">
        <f aca="false">TRUE()</f>
        <v>1</v>
      </c>
      <c r="L73" s="5" t="b">
        <f aca="false">TRUE()</f>
        <v>1</v>
      </c>
      <c r="M73" s="5" t="b">
        <f aca="false">FALSE()</f>
        <v>0</v>
      </c>
      <c r="N73" s="5" t="b">
        <f aca="false">FALSE()</f>
        <v>0</v>
      </c>
      <c r="O73" s="5" t="b">
        <f aca="false">FALSE()</f>
        <v>0</v>
      </c>
    </row>
    <row r="74" customFormat="false" ht="15" hidden="false" customHeight="false" outlineLevel="0" collapsed="false">
      <c r="A74" s="3" t="s">
        <v>322</v>
      </c>
      <c r="B74" s="3" t="s">
        <v>323</v>
      </c>
      <c r="C74" s="3" t="s">
        <v>324</v>
      </c>
      <c r="D74" s="3" t="s">
        <v>20</v>
      </c>
      <c r="E74" s="3" t="s">
        <v>45</v>
      </c>
      <c r="F74" s="3" t="n">
        <v>2</v>
      </c>
      <c r="G74" s="3" t="s">
        <v>325</v>
      </c>
      <c r="H74" s="6" t="b">
        <f aca="false">FALSE()</f>
        <v>0</v>
      </c>
      <c r="I74" s="3" t="s">
        <v>35</v>
      </c>
      <c r="J74" s="3" t="s">
        <v>47</v>
      </c>
      <c r="K74" s="5" t="b">
        <f aca="false">FALSE()</f>
        <v>0</v>
      </c>
      <c r="L74" s="5" t="b">
        <f aca="false">FALSE()</f>
        <v>0</v>
      </c>
      <c r="M74" s="5" t="b">
        <f aca="false">FALSE()</f>
        <v>0</v>
      </c>
      <c r="N74" s="5" t="b">
        <f aca="false">FALSE()</f>
        <v>0</v>
      </c>
      <c r="O74" s="5" t="b">
        <f aca="false">FALSE()</f>
        <v>0</v>
      </c>
      <c r="Q74" s="2" t="s">
        <v>326</v>
      </c>
    </row>
    <row r="75" customFormat="false" ht="15" hidden="false" customHeight="false" outlineLevel="0" collapsed="false">
      <c r="A75" s="3" t="s">
        <v>327</v>
      </c>
      <c r="B75" s="3" t="s">
        <v>328</v>
      </c>
      <c r="C75" s="3" t="s">
        <v>329</v>
      </c>
      <c r="D75" s="3" t="s">
        <v>45</v>
      </c>
      <c r="E75" s="3" t="s">
        <v>45</v>
      </c>
      <c r="F75" s="3" t="n">
        <v>1</v>
      </c>
      <c r="G75" s="3" t="s">
        <v>330</v>
      </c>
      <c r="H75" s="5" t="b">
        <f aca="false">TRUE()</f>
        <v>1</v>
      </c>
      <c r="I75" s="3" t="s">
        <v>47</v>
      </c>
      <c r="J75" s="3" t="s">
        <v>47</v>
      </c>
      <c r="K75" s="5" t="b">
        <f aca="false">TRUE()</f>
        <v>1</v>
      </c>
      <c r="L75" s="5" t="b">
        <f aca="false">FALSE()</f>
        <v>0</v>
      </c>
      <c r="M75" s="5" t="b">
        <f aca="false">FALSE()</f>
        <v>0</v>
      </c>
      <c r="N75" s="5" t="b">
        <f aca="false">FALSE()</f>
        <v>0</v>
      </c>
      <c r="O75" s="5" t="b">
        <f aca="false">FALSE()</f>
        <v>0</v>
      </c>
    </row>
    <row r="76" customFormat="false" ht="15" hidden="false" customHeight="false" outlineLevel="0" collapsed="false">
      <c r="A76" s="3" t="s">
        <v>331</v>
      </c>
      <c r="B76" s="3" t="s">
        <v>332</v>
      </c>
      <c r="C76" s="3" t="s">
        <v>333</v>
      </c>
      <c r="D76" s="3" t="s">
        <v>20</v>
      </c>
      <c r="E76" s="3" t="s">
        <v>20</v>
      </c>
      <c r="F76" s="3" t="n">
        <v>5</v>
      </c>
      <c r="G76" s="3" t="s">
        <v>334</v>
      </c>
      <c r="H76" s="5" t="b">
        <f aca="false">TRUE()</f>
        <v>1</v>
      </c>
      <c r="I76" s="3" t="s">
        <v>35</v>
      </c>
      <c r="J76" s="3" t="s">
        <v>35</v>
      </c>
      <c r="K76" s="5" t="b">
        <f aca="false">TRUE()</f>
        <v>1</v>
      </c>
      <c r="L76" s="5" t="b">
        <f aca="false">TRUE()</f>
        <v>1</v>
      </c>
      <c r="M76" s="5" t="b">
        <f aca="false">FALSE()</f>
        <v>0</v>
      </c>
      <c r="N76" s="5" t="b">
        <f aca="false">FALSE()</f>
        <v>0</v>
      </c>
      <c r="O76" s="5" t="b">
        <f aca="false">FALSE()</f>
        <v>0</v>
      </c>
    </row>
    <row r="77" customFormat="false" ht="15" hidden="false" customHeight="false" outlineLevel="0" collapsed="false">
      <c r="A77" s="3" t="s">
        <v>335</v>
      </c>
      <c r="B77" s="3" t="s">
        <v>336</v>
      </c>
      <c r="C77" s="3" t="s">
        <v>337</v>
      </c>
      <c r="D77" s="3" t="s">
        <v>45</v>
      </c>
      <c r="E77" s="3" t="s">
        <v>45</v>
      </c>
      <c r="F77" s="3" t="n">
        <v>1</v>
      </c>
      <c r="G77" s="3" t="s">
        <v>338</v>
      </c>
      <c r="H77" s="5" t="b">
        <f aca="false">TRUE()</f>
        <v>1</v>
      </c>
      <c r="I77" s="3" t="s">
        <v>47</v>
      </c>
      <c r="J77" s="3" t="s">
        <v>47</v>
      </c>
      <c r="K77" s="5" t="b">
        <f aca="false">TRUE()</f>
        <v>1</v>
      </c>
      <c r="L77" s="5" t="b">
        <f aca="false">FALSE()</f>
        <v>0</v>
      </c>
      <c r="M77" s="5" t="b">
        <f aca="false">FALSE()</f>
        <v>0</v>
      </c>
      <c r="N77" s="5" t="b">
        <f aca="false">FALSE()</f>
        <v>0</v>
      </c>
      <c r="O77" s="5" t="b">
        <f aca="false">FALSE()</f>
        <v>0</v>
      </c>
    </row>
    <row r="78" customFormat="false" ht="45.1" hidden="false" customHeight="false" outlineLevel="0" collapsed="false">
      <c r="A78" s="3" t="s">
        <v>339</v>
      </c>
      <c r="B78" s="3" t="s">
        <v>340</v>
      </c>
      <c r="C78" s="4" t="s">
        <v>341</v>
      </c>
      <c r="D78" s="3" t="s">
        <v>45</v>
      </c>
      <c r="E78" s="3" t="s">
        <v>45</v>
      </c>
      <c r="F78" s="3" t="n">
        <v>1</v>
      </c>
      <c r="G78" s="3" t="s">
        <v>342</v>
      </c>
      <c r="H78" s="5" t="b">
        <f aca="false">TRUE()</f>
        <v>1</v>
      </c>
      <c r="I78" s="3" t="s">
        <v>47</v>
      </c>
      <c r="J78" s="3" t="s">
        <v>47</v>
      </c>
      <c r="K78" s="5" t="b">
        <f aca="false">TRUE()</f>
        <v>1</v>
      </c>
      <c r="L78" s="5" t="b">
        <f aca="false">FALSE()</f>
        <v>0</v>
      </c>
      <c r="M78" s="5" t="b">
        <f aca="false">FALSE()</f>
        <v>0</v>
      </c>
      <c r="N78" s="5" t="b">
        <f aca="false">FALSE()</f>
        <v>0</v>
      </c>
      <c r="O78" s="5" t="b">
        <f aca="false">FALSE()</f>
        <v>0</v>
      </c>
    </row>
    <row r="79" customFormat="false" ht="15" hidden="false" customHeight="false" outlineLevel="0" collapsed="false">
      <c r="A79" s="3" t="s">
        <v>343</v>
      </c>
      <c r="B79" s="3" t="s">
        <v>344</v>
      </c>
      <c r="C79" s="3" t="s">
        <v>345</v>
      </c>
      <c r="D79" s="3" t="s">
        <v>20</v>
      </c>
      <c r="E79" s="3" t="s">
        <v>20</v>
      </c>
      <c r="F79" s="3" t="n">
        <v>5</v>
      </c>
      <c r="G79" s="3" t="s">
        <v>346</v>
      </c>
      <c r="H79" s="5" t="b">
        <f aca="false">TRUE()</f>
        <v>1</v>
      </c>
      <c r="I79" s="3" t="s">
        <v>35</v>
      </c>
      <c r="J79" s="3" t="s">
        <v>35</v>
      </c>
      <c r="K79" s="5" t="b">
        <f aca="false">TRUE()</f>
        <v>1</v>
      </c>
      <c r="L79" s="5" t="b">
        <f aca="false">TRUE()</f>
        <v>1</v>
      </c>
      <c r="M79" s="5" t="b">
        <f aca="false">FALSE()</f>
        <v>0</v>
      </c>
      <c r="N79" s="5" t="b">
        <f aca="false">FALSE()</f>
        <v>0</v>
      </c>
      <c r="O79" s="5" t="b">
        <f aca="false">FALSE()</f>
        <v>0</v>
      </c>
    </row>
    <row r="80" customFormat="false" ht="15" hidden="false" customHeight="false" outlineLevel="0" collapsed="false">
      <c r="A80" s="3" t="s">
        <v>347</v>
      </c>
      <c r="B80" s="3" t="s">
        <v>348</v>
      </c>
      <c r="C80" s="3" t="s">
        <v>349</v>
      </c>
      <c r="D80" s="3" t="s">
        <v>45</v>
      </c>
      <c r="E80" s="3" t="s">
        <v>45</v>
      </c>
      <c r="F80" s="3" t="n">
        <v>1</v>
      </c>
      <c r="G80" s="3" t="s">
        <v>350</v>
      </c>
      <c r="H80" s="5" t="b">
        <f aca="false">TRUE()</f>
        <v>1</v>
      </c>
      <c r="I80" s="3" t="s">
        <v>47</v>
      </c>
      <c r="J80" s="3" t="s">
        <v>47</v>
      </c>
      <c r="K80" s="5" t="b">
        <f aca="false">TRUE()</f>
        <v>1</v>
      </c>
      <c r="L80" s="5" t="b">
        <f aca="false">FALSE()</f>
        <v>0</v>
      </c>
      <c r="M80" s="5" t="b">
        <f aca="false">FALSE()</f>
        <v>0</v>
      </c>
      <c r="N80" s="5" t="b">
        <f aca="false">FALSE()</f>
        <v>0</v>
      </c>
      <c r="O80" s="5" t="b">
        <f aca="false">FALSE()</f>
        <v>0</v>
      </c>
    </row>
    <row r="81" customFormat="false" ht="15" hidden="false" customHeight="false" outlineLevel="0" collapsed="false">
      <c r="A81" s="3" t="s">
        <v>351</v>
      </c>
      <c r="B81" s="3" t="s">
        <v>352</v>
      </c>
      <c r="C81" s="3" t="s">
        <v>353</v>
      </c>
      <c r="D81" s="3" t="s">
        <v>20</v>
      </c>
      <c r="E81" s="3" t="s">
        <v>20</v>
      </c>
      <c r="F81" s="3" t="n">
        <v>5</v>
      </c>
      <c r="G81" s="3" t="s">
        <v>354</v>
      </c>
      <c r="H81" s="5" t="b">
        <f aca="false">TRUE()</f>
        <v>1</v>
      </c>
      <c r="I81" s="3" t="s">
        <v>35</v>
      </c>
      <c r="J81" s="3" t="s">
        <v>35</v>
      </c>
      <c r="K81" s="5" t="b">
        <f aca="false">TRUE()</f>
        <v>1</v>
      </c>
      <c r="L81" s="5" t="b">
        <f aca="false">TRUE()</f>
        <v>1</v>
      </c>
      <c r="M81" s="5" t="b">
        <f aca="false">FALSE()</f>
        <v>0</v>
      </c>
      <c r="N81" s="5" t="b">
        <f aca="false">FALSE()</f>
        <v>0</v>
      </c>
      <c r="O81" s="5" t="b">
        <f aca="false">FALSE()</f>
        <v>0</v>
      </c>
    </row>
    <row r="82" customFormat="false" ht="15" hidden="false" customHeight="false" outlineLevel="0" collapsed="false">
      <c r="A82" s="3" t="s">
        <v>355</v>
      </c>
      <c r="B82" s="3" t="s">
        <v>356</v>
      </c>
      <c r="C82" s="3" t="s">
        <v>357</v>
      </c>
      <c r="D82" s="3" t="s">
        <v>20</v>
      </c>
      <c r="E82" s="3" t="s">
        <v>20</v>
      </c>
      <c r="F82" s="3" t="n">
        <v>5</v>
      </c>
      <c r="G82" s="3" t="s">
        <v>358</v>
      </c>
      <c r="H82" s="5" t="b">
        <f aca="false">TRUE()</f>
        <v>1</v>
      </c>
      <c r="I82" s="3" t="s">
        <v>35</v>
      </c>
      <c r="J82" s="3" t="s">
        <v>35</v>
      </c>
      <c r="K82" s="5" t="b">
        <f aca="false">TRUE()</f>
        <v>1</v>
      </c>
      <c r="L82" s="5" t="b">
        <f aca="false">TRUE()</f>
        <v>1</v>
      </c>
      <c r="M82" s="5" t="b">
        <f aca="false">FALSE()</f>
        <v>0</v>
      </c>
      <c r="N82" s="5" t="b">
        <f aca="false">FALSE()</f>
        <v>0</v>
      </c>
      <c r="O82" s="5" t="b">
        <f aca="false">FALSE()</f>
        <v>0</v>
      </c>
    </row>
    <row r="83" customFormat="false" ht="15" hidden="false" customHeight="false" outlineLevel="0" collapsed="false">
      <c r="A83" s="3" t="s">
        <v>359</v>
      </c>
      <c r="B83" s="3" t="s">
        <v>360</v>
      </c>
      <c r="C83" s="3" t="s">
        <v>361</v>
      </c>
      <c r="D83" s="3" t="s">
        <v>20</v>
      </c>
      <c r="E83" s="3" t="s">
        <v>20</v>
      </c>
      <c r="F83" s="3" t="n">
        <v>5</v>
      </c>
      <c r="G83" s="3" t="s">
        <v>362</v>
      </c>
      <c r="H83" s="5" t="b">
        <f aca="false">TRUE()</f>
        <v>1</v>
      </c>
      <c r="I83" s="3" t="s">
        <v>36</v>
      </c>
      <c r="J83" s="3" t="s">
        <v>36</v>
      </c>
      <c r="K83" s="5" t="b">
        <f aca="false">TRUE()</f>
        <v>1</v>
      </c>
      <c r="L83" s="5" t="b">
        <f aca="false">TRUE()</f>
        <v>1</v>
      </c>
      <c r="M83" s="5" t="b">
        <f aca="false">TRUE()</f>
        <v>1</v>
      </c>
      <c r="N83" s="5" t="b">
        <f aca="false">TRUE()</f>
        <v>1</v>
      </c>
      <c r="O83" s="5" t="b">
        <f aca="false">FALSE()</f>
        <v>0</v>
      </c>
    </row>
    <row r="84" customFormat="false" ht="15" hidden="false" customHeight="false" outlineLevel="0" collapsed="false">
      <c r="A84" s="3" t="s">
        <v>363</v>
      </c>
      <c r="B84" s="3" t="s">
        <v>364</v>
      </c>
      <c r="C84" s="3" t="s">
        <v>365</v>
      </c>
      <c r="D84" s="3" t="s">
        <v>20</v>
      </c>
      <c r="E84" s="3" t="s">
        <v>20</v>
      </c>
      <c r="F84" s="3" t="n">
        <v>4</v>
      </c>
      <c r="G84" s="3" t="s">
        <v>366</v>
      </c>
      <c r="H84" s="5" t="b">
        <f aca="false">TRUE()</f>
        <v>1</v>
      </c>
      <c r="I84" s="3" t="s">
        <v>36</v>
      </c>
      <c r="J84" s="3" t="s">
        <v>36</v>
      </c>
      <c r="K84" s="5" t="b">
        <f aca="false">TRUE()</f>
        <v>1</v>
      </c>
      <c r="L84" s="5" t="b">
        <f aca="false">TRUE()</f>
        <v>1</v>
      </c>
      <c r="M84" s="5" t="b">
        <f aca="false">TRUE()</f>
        <v>1</v>
      </c>
      <c r="N84" s="5" t="b">
        <f aca="false">FALSE()</f>
        <v>0</v>
      </c>
      <c r="O84" s="5" t="b">
        <f aca="false">FALSE()</f>
        <v>0</v>
      </c>
    </row>
    <row r="85" customFormat="false" ht="56" hidden="false" customHeight="false" outlineLevel="0" collapsed="false">
      <c r="A85" s="3" t="s">
        <v>367</v>
      </c>
      <c r="B85" s="3" t="s">
        <v>368</v>
      </c>
      <c r="C85" s="4" t="s">
        <v>369</v>
      </c>
      <c r="D85" s="3" t="s">
        <v>45</v>
      </c>
      <c r="E85" s="3" t="s">
        <v>45</v>
      </c>
      <c r="F85" s="3" t="n">
        <v>1</v>
      </c>
      <c r="G85" s="3" t="s">
        <v>370</v>
      </c>
      <c r="H85" s="5" t="b">
        <f aca="false">TRUE()</f>
        <v>1</v>
      </c>
      <c r="I85" s="3" t="s">
        <v>47</v>
      </c>
      <c r="J85" s="3" t="s">
        <v>47</v>
      </c>
      <c r="K85" s="5" t="b">
        <f aca="false">TRUE()</f>
        <v>1</v>
      </c>
      <c r="L85" s="5" t="b">
        <f aca="false">FALSE()</f>
        <v>0</v>
      </c>
      <c r="M85" s="5" t="b">
        <f aca="false">FALSE()</f>
        <v>0</v>
      </c>
      <c r="N85" s="5" t="b">
        <f aca="false">FALSE()</f>
        <v>0</v>
      </c>
      <c r="O85" s="5" t="b">
        <f aca="false">FALSE()</f>
        <v>0</v>
      </c>
    </row>
    <row r="86" customFormat="false" ht="15" hidden="false" customHeight="false" outlineLevel="0" collapsed="false">
      <c r="A86" s="3" t="s">
        <v>371</v>
      </c>
      <c r="B86" s="3" t="s">
        <v>372</v>
      </c>
      <c r="C86" s="3" t="s">
        <v>373</v>
      </c>
      <c r="D86" s="3" t="s">
        <v>20</v>
      </c>
      <c r="E86" s="3" t="s">
        <v>20</v>
      </c>
      <c r="F86" s="3" t="n">
        <v>5</v>
      </c>
      <c r="G86" s="3" t="s">
        <v>374</v>
      </c>
      <c r="H86" s="5" t="b">
        <f aca="false">TRUE()</f>
        <v>1</v>
      </c>
      <c r="I86" s="3" t="s">
        <v>76</v>
      </c>
      <c r="J86" s="3" t="s">
        <v>76</v>
      </c>
      <c r="K86" s="5" t="b">
        <f aca="false">TRUE()</f>
        <v>1</v>
      </c>
      <c r="L86" s="5" t="b">
        <f aca="false">FALSE()</f>
        <v>0</v>
      </c>
      <c r="M86" s="5" t="b">
        <f aca="false">TRUE()</f>
        <v>1</v>
      </c>
      <c r="N86" s="5" t="b">
        <f aca="false">FALSE()</f>
        <v>0</v>
      </c>
      <c r="O86" s="5" t="b">
        <f aca="false">FALSE()</f>
        <v>0</v>
      </c>
    </row>
    <row r="87" customFormat="false" ht="15" hidden="false" customHeight="false" outlineLevel="0" collapsed="false">
      <c r="A87" s="3" t="s">
        <v>375</v>
      </c>
      <c r="B87" s="3" t="s">
        <v>376</v>
      </c>
      <c r="C87" s="3" t="s">
        <v>377</v>
      </c>
      <c r="D87" s="3" t="s">
        <v>45</v>
      </c>
      <c r="E87" s="3" t="s">
        <v>45</v>
      </c>
      <c r="F87" s="3" t="n">
        <v>1</v>
      </c>
      <c r="G87" s="3" t="s">
        <v>378</v>
      </c>
      <c r="H87" s="5" t="b">
        <f aca="false">TRUE()</f>
        <v>1</v>
      </c>
      <c r="I87" s="3" t="s">
        <v>47</v>
      </c>
      <c r="J87" s="3" t="s">
        <v>47</v>
      </c>
      <c r="K87" s="5" t="b">
        <f aca="false">TRUE()</f>
        <v>1</v>
      </c>
      <c r="L87" s="5" t="b">
        <f aca="false">FALSE()</f>
        <v>0</v>
      </c>
      <c r="M87" s="5" t="b">
        <f aca="false">FALSE()</f>
        <v>0</v>
      </c>
      <c r="N87" s="5" t="b">
        <f aca="false">FALSE()</f>
        <v>0</v>
      </c>
      <c r="O87" s="5" t="b">
        <f aca="false">FALSE()</f>
        <v>0</v>
      </c>
    </row>
    <row r="88" customFormat="false" ht="15" hidden="false" customHeight="false" outlineLevel="0" collapsed="false">
      <c r="A88" s="3" t="s">
        <v>379</v>
      </c>
      <c r="B88" s="3" t="s">
        <v>380</v>
      </c>
      <c r="C88" s="3" t="s">
        <v>381</v>
      </c>
      <c r="D88" s="3" t="s">
        <v>20</v>
      </c>
      <c r="E88" s="3" t="s">
        <v>20</v>
      </c>
      <c r="F88" s="3" t="n">
        <v>5</v>
      </c>
      <c r="G88" s="3" t="s">
        <v>382</v>
      </c>
      <c r="H88" s="5" t="b">
        <f aca="false">TRUE()</f>
        <v>1</v>
      </c>
      <c r="I88" s="3" t="s">
        <v>35</v>
      </c>
      <c r="J88" s="3" t="s">
        <v>35</v>
      </c>
      <c r="K88" s="5" t="b">
        <f aca="false">TRUE()</f>
        <v>1</v>
      </c>
      <c r="L88" s="5" t="b">
        <f aca="false">TRUE()</f>
        <v>1</v>
      </c>
      <c r="M88" s="5" t="b">
        <f aca="false">FALSE()</f>
        <v>0</v>
      </c>
      <c r="N88" s="5" t="b">
        <f aca="false">FALSE()</f>
        <v>0</v>
      </c>
      <c r="O88" s="5" t="b">
        <f aca="false">FALSE()</f>
        <v>0</v>
      </c>
    </row>
    <row r="89" customFormat="false" ht="15" hidden="false" customHeight="false" outlineLevel="0" collapsed="false">
      <c r="A89" s="3" t="s">
        <v>383</v>
      </c>
      <c r="B89" s="3" t="s">
        <v>384</v>
      </c>
      <c r="C89" s="3" t="s">
        <v>385</v>
      </c>
      <c r="D89" s="3" t="s">
        <v>20</v>
      </c>
      <c r="E89" s="3" t="s">
        <v>20</v>
      </c>
      <c r="F89" s="3" t="n">
        <v>5</v>
      </c>
      <c r="G89" s="3" t="s">
        <v>386</v>
      </c>
      <c r="H89" s="5" t="b">
        <f aca="false">TRUE()</f>
        <v>1</v>
      </c>
      <c r="I89" s="3" t="s">
        <v>35</v>
      </c>
      <c r="J89" s="3" t="s">
        <v>35</v>
      </c>
      <c r="K89" s="5" t="b">
        <f aca="false">TRUE()</f>
        <v>1</v>
      </c>
      <c r="L89" s="5" t="b">
        <f aca="false">TRUE()</f>
        <v>1</v>
      </c>
      <c r="M89" s="5" t="b">
        <f aca="false">FALSE()</f>
        <v>0</v>
      </c>
      <c r="N89" s="5" t="b">
        <f aca="false">FALSE()</f>
        <v>0</v>
      </c>
      <c r="O89" s="5" t="b">
        <f aca="false">FALSE()</f>
        <v>0</v>
      </c>
    </row>
    <row r="90" customFormat="false" ht="15" hidden="false" customHeight="false" outlineLevel="0" collapsed="false">
      <c r="A90" s="3" t="s">
        <v>387</v>
      </c>
      <c r="B90" s="3" t="s">
        <v>388</v>
      </c>
      <c r="C90" s="3" t="s">
        <v>389</v>
      </c>
      <c r="D90" s="3" t="s">
        <v>20</v>
      </c>
      <c r="E90" s="3" t="s">
        <v>20</v>
      </c>
      <c r="F90" s="3" t="n">
        <v>4</v>
      </c>
      <c r="G90" s="3" t="s">
        <v>390</v>
      </c>
      <c r="H90" s="5" t="b">
        <f aca="false">TRUE()</f>
        <v>1</v>
      </c>
      <c r="I90" s="3" t="s">
        <v>35</v>
      </c>
      <c r="J90" s="3" t="s">
        <v>35</v>
      </c>
      <c r="K90" s="5" t="b">
        <f aca="false">TRUE()</f>
        <v>1</v>
      </c>
      <c r="L90" s="5" t="b">
        <f aca="false">TRUE()</f>
        <v>1</v>
      </c>
      <c r="M90" s="5" t="b">
        <f aca="false">FALSE()</f>
        <v>0</v>
      </c>
      <c r="N90" s="5" t="b">
        <f aca="false">FALSE()</f>
        <v>0</v>
      </c>
      <c r="O90" s="5" t="b">
        <f aca="false">FALSE()</f>
        <v>0</v>
      </c>
    </row>
    <row r="91" customFormat="false" ht="15" hidden="false" customHeight="false" outlineLevel="0" collapsed="false">
      <c r="A91" s="3" t="s">
        <v>391</v>
      </c>
      <c r="B91" s="3" t="s">
        <v>392</v>
      </c>
      <c r="C91" s="3" t="s">
        <v>393</v>
      </c>
      <c r="D91" s="3" t="s">
        <v>20</v>
      </c>
      <c r="E91" s="3" t="s">
        <v>20</v>
      </c>
      <c r="F91" s="3" t="n">
        <v>5</v>
      </c>
      <c r="G91" s="3" t="s">
        <v>394</v>
      </c>
      <c r="H91" s="5" t="b">
        <f aca="false">TRUE()</f>
        <v>1</v>
      </c>
      <c r="I91" s="3" t="s">
        <v>35</v>
      </c>
      <c r="J91" s="3" t="s">
        <v>35</v>
      </c>
      <c r="K91" s="5" t="b">
        <f aca="false">TRUE()</f>
        <v>1</v>
      </c>
      <c r="L91" s="5" t="b">
        <f aca="false">TRUE()</f>
        <v>1</v>
      </c>
      <c r="M91" s="5" t="b">
        <f aca="false">FALSE()</f>
        <v>0</v>
      </c>
      <c r="N91" s="5" t="b">
        <f aca="false">FALSE()</f>
        <v>0</v>
      </c>
      <c r="O91" s="5" t="b">
        <f aca="false">FALSE()</f>
        <v>0</v>
      </c>
    </row>
    <row r="92" customFormat="false" ht="15" hidden="false" customHeight="false" outlineLevel="0" collapsed="false">
      <c r="A92" s="3" t="s">
        <v>395</v>
      </c>
      <c r="B92" s="3" t="s">
        <v>396</v>
      </c>
      <c r="C92" s="3" t="s">
        <v>397</v>
      </c>
      <c r="D92" s="3" t="s">
        <v>20</v>
      </c>
      <c r="E92" s="3" t="s">
        <v>20</v>
      </c>
      <c r="F92" s="3" t="n">
        <v>5</v>
      </c>
      <c r="G92" s="3" t="s">
        <v>398</v>
      </c>
      <c r="H92" s="5" t="b">
        <f aca="false">TRUE()</f>
        <v>1</v>
      </c>
      <c r="I92" s="3" t="s">
        <v>76</v>
      </c>
      <c r="J92" s="3" t="s">
        <v>76</v>
      </c>
      <c r="K92" s="5" t="b">
        <f aca="false">TRUE()</f>
        <v>1</v>
      </c>
      <c r="L92" s="5" t="b">
        <f aca="false">FALSE()</f>
        <v>0</v>
      </c>
      <c r="M92" s="5" t="b">
        <f aca="false">TRUE()</f>
        <v>1</v>
      </c>
      <c r="N92" s="5" t="b">
        <f aca="false">FALSE()</f>
        <v>0</v>
      </c>
      <c r="O92" s="5" t="b">
        <f aca="false">FALSE()</f>
        <v>0</v>
      </c>
    </row>
    <row r="93" customFormat="false" ht="15" hidden="false" customHeight="false" outlineLevel="0" collapsed="false">
      <c r="A93" s="3" t="s">
        <v>399</v>
      </c>
      <c r="B93" s="3" t="s">
        <v>400</v>
      </c>
      <c r="C93" s="3" t="s">
        <v>401</v>
      </c>
      <c r="D93" s="3" t="s">
        <v>45</v>
      </c>
      <c r="E93" s="3" t="s">
        <v>45</v>
      </c>
      <c r="F93" s="3" t="n">
        <v>1</v>
      </c>
      <c r="G93" s="3" t="s">
        <v>402</v>
      </c>
      <c r="H93" s="5" t="b">
        <f aca="false">TRUE()</f>
        <v>1</v>
      </c>
      <c r="I93" s="3" t="s">
        <v>47</v>
      </c>
      <c r="J93" s="3" t="s">
        <v>47</v>
      </c>
      <c r="K93" s="5" t="b">
        <f aca="false">TRUE()</f>
        <v>1</v>
      </c>
      <c r="L93" s="5" t="b">
        <f aca="false">FALSE()</f>
        <v>0</v>
      </c>
      <c r="M93" s="5" t="b">
        <f aca="false">FALSE()</f>
        <v>0</v>
      </c>
      <c r="N93" s="5" t="b">
        <f aca="false">FALSE()</f>
        <v>0</v>
      </c>
      <c r="O93" s="5" t="b">
        <f aca="false">FALSE()</f>
        <v>0</v>
      </c>
    </row>
    <row r="94" customFormat="false" ht="15" hidden="false" customHeight="false" outlineLevel="0" collapsed="false">
      <c r="A94" s="3" t="s">
        <v>403</v>
      </c>
      <c r="B94" s="3" t="s">
        <v>404</v>
      </c>
      <c r="C94" s="3" t="s">
        <v>405</v>
      </c>
      <c r="D94" s="3" t="s">
        <v>20</v>
      </c>
      <c r="E94" s="3" t="s">
        <v>20</v>
      </c>
      <c r="F94" s="3" t="n">
        <v>4</v>
      </c>
      <c r="G94" s="3" t="s">
        <v>406</v>
      </c>
      <c r="H94" s="5" t="b">
        <f aca="false">TRUE()</f>
        <v>1</v>
      </c>
      <c r="I94" s="3" t="s">
        <v>76</v>
      </c>
      <c r="J94" s="3" t="s">
        <v>76</v>
      </c>
      <c r="K94" s="5" t="b">
        <f aca="false">TRUE()</f>
        <v>1</v>
      </c>
      <c r="L94" s="5" t="b">
        <f aca="false">FALSE()</f>
        <v>0</v>
      </c>
      <c r="M94" s="5" t="b">
        <f aca="false">TRUE()</f>
        <v>1</v>
      </c>
      <c r="N94" s="5" t="b">
        <f aca="false">FALSE()</f>
        <v>0</v>
      </c>
      <c r="O94" s="5" t="b">
        <f aca="false">FALSE()</f>
        <v>0</v>
      </c>
    </row>
    <row r="95" customFormat="false" ht="15" hidden="false" customHeight="false" outlineLevel="0" collapsed="false">
      <c r="A95" s="3" t="s">
        <v>407</v>
      </c>
      <c r="B95" s="3" t="s">
        <v>408</v>
      </c>
      <c r="C95" s="3" t="s">
        <v>409</v>
      </c>
      <c r="D95" s="3" t="s">
        <v>20</v>
      </c>
      <c r="E95" s="3" t="s">
        <v>20</v>
      </c>
      <c r="F95" s="3" t="n">
        <v>4</v>
      </c>
      <c r="G95" s="3" t="s">
        <v>410</v>
      </c>
      <c r="H95" s="5" t="b">
        <f aca="false">TRUE()</f>
        <v>1</v>
      </c>
      <c r="I95" s="3" t="s">
        <v>36</v>
      </c>
      <c r="J95" s="3" t="s">
        <v>36</v>
      </c>
      <c r="K95" s="5" t="b">
        <f aca="false">TRUE()</f>
        <v>1</v>
      </c>
      <c r="L95" s="5" t="b">
        <f aca="false">FALSE()</f>
        <v>0</v>
      </c>
      <c r="M95" s="5" t="b">
        <f aca="false">FALSE()</f>
        <v>0</v>
      </c>
      <c r="N95" s="5" t="b">
        <f aca="false">FALSE()</f>
        <v>0</v>
      </c>
      <c r="O95" s="5" t="b">
        <f aca="false">TRUE()</f>
        <v>1</v>
      </c>
    </row>
    <row r="96" customFormat="false" ht="15" hidden="false" customHeight="false" outlineLevel="0" collapsed="false">
      <c r="A96" s="3" t="s">
        <v>411</v>
      </c>
      <c r="B96" s="3" t="s">
        <v>412</v>
      </c>
      <c r="C96" s="3" t="s">
        <v>413</v>
      </c>
      <c r="D96" s="3" t="s">
        <v>45</v>
      </c>
      <c r="E96" s="3" t="s">
        <v>45</v>
      </c>
      <c r="F96" s="3" t="n">
        <v>2</v>
      </c>
      <c r="G96" s="3" t="s">
        <v>414</v>
      </c>
      <c r="H96" s="5" t="b">
        <f aca="false">TRUE()</f>
        <v>1</v>
      </c>
      <c r="I96" s="3" t="s">
        <v>47</v>
      </c>
      <c r="J96" s="3" t="s">
        <v>47</v>
      </c>
      <c r="K96" s="5" t="b">
        <f aca="false">TRUE()</f>
        <v>1</v>
      </c>
      <c r="L96" s="5" t="b">
        <f aca="false">FALSE()</f>
        <v>0</v>
      </c>
      <c r="M96" s="5" t="b">
        <f aca="false">FALSE()</f>
        <v>0</v>
      </c>
      <c r="N96" s="5" t="b">
        <f aca="false">FALSE()</f>
        <v>0</v>
      </c>
      <c r="O96" s="5" t="b">
        <f aca="false">FALSE()</f>
        <v>0</v>
      </c>
    </row>
    <row r="97" customFormat="false" ht="15" hidden="false" customHeight="false" outlineLevel="0" collapsed="false">
      <c r="A97" s="3" t="s">
        <v>415</v>
      </c>
      <c r="B97" s="3" t="s">
        <v>416</v>
      </c>
      <c r="C97" s="3" t="s">
        <v>417</v>
      </c>
      <c r="D97" s="3" t="s">
        <v>20</v>
      </c>
      <c r="E97" s="3" t="s">
        <v>20</v>
      </c>
      <c r="F97" s="3" t="n">
        <v>5</v>
      </c>
      <c r="G97" s="3" t="s">
        <v>418</v>
      </c>
      <c r="H97" s="5" t="b">
        <f aca="false">TRUE()</f>
        <v>1</v>
      </c>
      <c r="I97" s="3" t="s">
        <v>35</v>
      </c>
      <c r="J97" s="3" t="s">
        <v>35</v>
      </c>
      <c r="K97" s="5" t="b">
        <f aca="false">TRUE()</f>
        <v>1</v>
      </c>
      <c r="L97" s="5" t="b">
        <f aca="false">TRUE()</f>
        <v>1</v>
      </c>
      <c r="M97" s="5" t="b">
        <f aca="false">FALSE()</f>
        <v>0</v>
      </c>
      <c r="N97" s="5" t="b">
        <f aca="false">FALSE()</f>
        <v>0</v>
      </c>
      <c r="O97" s="5" t="b">
        <f aca="false">FALSE()</f>
        <v>0</v>
      </c>
    </row>
    <row r="98" customFormat="false" ht="15" hidden="false" customHeight="false" outlineLevel="0" collapsed="false">
      <c r="A98" s="3" t="s">
        <v>419</v>
      </c>
      <c r="B98" s="3" t="s">
        <v>420</v>
      </c>
      <c r="C98" s="3" t="s">
        <v>421</v>
      </c>
      <c r="D98" s="3" t="s">
        <v>45</v>
      </c>
      <c r="E98" s="3" t="s">
        <v>45</v>
      </c>
      <c r="F98" s="3" t="n">
        <v>2</v>
      </c>
      <c r="G98" s="3" t="s">
        <v>422</v>
      </c>
      <c r="H98" s="5" t="b">
        <f aca="false">TRUE()</f>
        <v>1</v>
      </c>
      <c r="I98" s="3" t="s">
        <v>47</v>
      </c>
      <c r="J98" s="3" t="s">
        <v>47</v>
      </c>
      <c r="K98" s="5" t="b">
        <f aca="false">TRUE()</f>
        <v>1</v>
      </c>
      <c r="L98" s="5" t="b">
        <f aca="false">FALSE()</f>
        <v>0</v>
      </c>
      <c r="M98" s="5" t="b">
        <f aca="false">FALSE()</f>
        <v>0</v>
      </c>
      <c r="N98" s="5" t="b">
        <f aca="false">FALSE()</f>
        <v>0</v>
      </c>
      <c r="O98" s="5" t="b">
        <f aca="false">FALSE()</f>
        <v>0</v>
      </c>
    </row>
    <row r="99" customFormat="false" ht="15" hidden="false" customHeight="false" outlineLevel="0" collapsed="false">
      <c r="A99" s="3" t="s">
        <v>423</v>
      </c>
      <c r="B99" s="3" t="s">
        <v>424</v>
      </c>
      <c r="C99" s="3" t="s">
        <v>425</v>
      </c>
      <c r="D99" s="3" t="s">
        <v>20</v>
      </c>
      <c r="E99" s="3" t="s">
        <v>20</v>
      </c>
      <c r="F99" s="3" t="n">
        <v>5</v>
      </c>
      <c r="G99" s="3" t="s">
        <v>426</v>
      </c>
      <c r="H99" s="5" t="b">
        <f aca="false">TRUE()</f>
        <v>1</v>
      </c>
      <c r="I99" s="3" t="s">
        <v>76</v>
      </c>
      <c r="J99" s="3" t="s">
        <v>76</v>
      </c>
      <c r="K99" s="5" t="b">
        <f aca="false">TRUE()</f>
        <v>1</v>
      </c>
      <c r="L99" s="5" t="b">
        <f aca="false">FALSE()</f>
        <v>0</v>
      </c>
      <c r="M99" s="5" t="b">
        <f aca="false">TRUE()</f>
        <v>1</v>
      </c>
      <c r="N99" s="5" t="b">
        <f aca="false">FALSE()</f>
        <v>0</v>
      </c>
      <c r="O99" s="5" t="b">
        <f aca="false">FALSE()</f>
        <v>0</v>
      </c>
    </row>
    <row r="100" customFormat="false" ht="45.1" hidden="false" customHeight="false" outlineLevel="0" collapsed="false">
      <c r="A100" s="3" t="s">
        <v>427</v>
      </c>
      <c r="B100" s="3" t="s">
        <v>428</v>
      </c>
      <c r="C100" s="4" t="s">
        <v>429</v>
      </c>
      <c r="D100" s="3" t="s">
        <v>20</v>
      </c>
      <c r="E100" s="3" t="s">
        <v>45</v>
      </c>
      <c r="F100" s="3" t="n">
        <v>2</v>
      </c>
      <c r="G100" s="3" t="s">
        <v>430</v>
      </c>
      <c r="H100" s="6" t="b">
        <f aca="false">FALSE()</f>
        <v>0</v>
      </c>
      <c r="I100" s="3" t="s">
        <v>35</v>
      </c>
      <c r="J100" s="3" t="s">
        <v>47</v>
      </c>
      <c r="K100" s="5" t="b">
        <f aca="false">FALSE()</f>
        <v>0</v>
      </c>
      <c r="L100" s="5" t="b">
        <f aca="false">FALSE()</f>
        <v>0</v>
      </c>
      <c r="M100" s="5" t="b">
        <f aca="false">FALSE()</f>
        <v>0</v>
      </c>
      <c r="N100" s="5" t="b">
        <f aca="false">FALSE()</f>
        <v>0</v>
      </c>
      <c r="O100" s="5" t="b">
        <f aca="false">FALSE()</f>
        <v>0</v>
      </c>
      <c r="Q100" s="2" t="s">
        <v>431</v>
      </c>
    </row>
    <row r="101" customFormat="false" ht="15" hidden="false" customHeight="false" outlineLevel="0" collapsed="false">
      <c r="A101" s="3" t="s">
        <v>432</v>
      </c>
      <c r="B101" s="3" t="s">
        <v>433</v>
      </c>
      <c r="C101" s="3" t="s">
        <v>434</v>
      </c>
      <c r="D101" s="3" t="s">
        <v>20</v>
      </c>
      <c r="E101" s="3" t="s">
        <v>20</v>
      </c>
      <c r="F101" s="3" t="n">
        <v>5</v>
      </c>
      <c r="G101" s="3" t="s">
        <v>435</v>
      </c>
      <c r="H101" s="5" t="b">
        <f aca="false">TRUE()</f>
        <v>1</v>
      </c>
      <c r="I101" s="3" t="s">
        <v>22</v>
      </c>
      <c r="J101" s="3" t="s">
        <v>22</v>
      </c>
      <c r="K101" s="5" t="b">
        <f aca="false">TRUE()</f>
        <v>1</v>
      </c>
      <c r="L101" s="5" t="b">
        <f aca="false">FALSE()</f>
        <v>0</v>
      </c>
      <c r="M101" s="5" t="b">
        <f aca="false">FALSE()</f>
        <v>0</v>
      </c>
      <c r="N101" s="5" t="b">
        <f aca="false">TRUE()</f>
        <v>1</v>
      </c>
      <c r="O101" s="5" t="b">
        <f aca="false">FALSE()</f>
        <v>0</v>
      </c>
    </row>
    <row r="102" customFormat="false" ht="15" hidden="false" customHeight="false" outlineLevel="0" collapsed="false">
      <c r="A102" s="3" t="s">
        <v>436</v>
      </c>
      <c r="B102" s="3" t="s">
        <v>437</v>
      </c>
      <c r="C102" s="3" t="s">
        <v>438</v>
      </c>
      <c r="D102" s="3" t="s">
        <v>20</v>
      </c>
      <c r="E102" s="3" t="s">
        <v>20</v>
      </c>
      <c r="F102" s="3" t="n">
        <v>5</v>
      </c>
      <c r="G102" s="3" t="s">
        <v>439</v>
      </c>
      <c r="H102" s="5" t="b">
        <f aca="false">TRUE()</f>
        <v>1</v>
      </c>
      <c r="I102" s="3" t="s">
        <v>22</v>
      </c>
      <c r="J102" s="3" t="s">
        <v>22</v>
      </c>
      <c r="K102" s="5" t="b">
        <f aca="false">TRUE()</f>
        <v>1</v>
      </c>
      <c r="L102" s="5" t="b">
        <f aca="false">FALSE()</f>
        <v>0</v>
      </c>
      <c r="M102" s="5" t="b">
        <f aca="false">FALSE()</f>
        <v>0</v>
      </c>
      <c r="N102" s="5" t="b">
        <f aca="false">TRUE()</f>
        <v>1</v>
      </c>
      <c r="O102" s="5" t="b">
        <f aca="false">FALSE()</f>
        <v>0</v>
      </c>
    </row>
    <row r="103" customFormat="false" ht="15" hidden="false" customHeight="false" outlineLevel="0" collapsed="false">
      <c r="A103" s="3" t="s">
        <v>440</v>
      </c>
      <c r="B103" s="3" t="s">
        <v>441</v>
      </c>
      <c r="C103" s="3" t="s">
        <v>442</v>
      </c>
      <c r="D103" s="3" t="s">
        <v>20</v>
      </c>
      <c r="E103" s="3" t="s">
        <v>20</v>
      </c>
      <c r="F103" s="3" t="n">
        <v>4</v>
      </c>
      <c r="G103" s="3" t="s">
        <v>443</v>
      </c>
      <c r="H103" s="5" t="b">
        <f aca="false">TRUE()</f>
        <v>1</v>
      </c>
      <c r="I103" s="3" t="s">
        <v>22</v>
      </c>
      <c r="J103" s="3" t="s">
        <v>22</v>
      </c>
      <c r="K103" s="5" t="b">
        <f aca="false">TRUE()</f>
        <v>1</v>
      </c>
      <c r="L103" s="5" t="b">
        <f aca="false">FALSE()</f>
        <v>0</v>
      </c>
      <c r="M103" s="5" t="b">
        <f aca="false">FALSE()</f>
        <v>0</v>
      </c>
      <c r="N103" s="5" t="b">
        <f aca="false">TRUE()</f>
        <v>1</v>
      </c>
      <c r="O103" s="5" t="b">
        <f aca="false">FALSE()</f>
        <v>0</v>
      </c>
    </row>
    <row r="104" customFormat="false" ht="15" hidden="false" customHeight="false" outlineLevel="0" collapsed="false">
      <c r="A104" s="3" t="s">
        <v>444</v>
      </c>
      <c r="B104" s="3" t="s">
        <v>445</v>
      </c>
      <c r="C104" s="3" t="s">
        <v>446</v>
      </c>
      <c r="D104" s="3" t="s">
        <v>20</v>
      </c>
      <c r="E104" s="3" t="s">
        <v>20</v>
      </c>
      <c r="F104" s="3" t="n">
        <v>5</v>
      </c>
      <c r="G104" s="3" t="s">
        <v>447</v>
      </c>
      <c r="H104" s="5" t="b">
        <f aca="false">TRUE()</f>
        <v>1</v>
      </c>
      <c r="I104" s="3" t="s">
        <v>35</v>
      </c>
      <c r="J104" s="3" t="s">
        <v>35</v>
      </c>
      <c r="K104" s="5" t="b">
        <f aca="false">TRUE()</f>
        <v>1</v>
      </c>
      <c r="L104" s="5" t="b">
        <f aca="false">TRUE()</f>
        <v>1</v>
      </c>
      <c r="M104" s="5" t="b">
        <f aca="false">FALSE()</f>
        <v>0</v>
      </c>
      <c r="N104" s="5" t="b">
        <f aca="false">FALSE()</f>
        <v>0</v>
      </c>
      <c r="O104" s="5" t="b">
        <f aca="false">FALSE()</f>
        <v>0</v>
      </c>
    </row>
    <row r="105" customFormat="false" ht="15" hidden="false" customHeight="false" outlineLevel="0" collapsed="false">
      <c r="A105" s="3" t="s">
        <v>448</v>
      </c>
      <c r="B105" s="3" t="s">
        <v>449</v>
      </c>
      <c r="C105" s="3" t="s">
        <v>450</v>
      </c>
      <c r="D105" s="3" t="s">
        <v>20</v>
      </c>
      <c r="E105" s="3" t="s">
        <v>20</v>
      </c>
      <c r="F105" s="3" t="n">
        <v>5</v>
      </c>
      <c r="G105" s="3" t="s">
        <v>451</v>
      </c>
      <c r="H105" s="5" t="b">
        <f aca="false">TRUE()</f>
        <v>1</v>
      </c>
      <c r="I105" s="3" t="s">
        <v>76</v>
      </c>
      <c r="J105" s="3" t="s">
        <v>76</v>
      </c>
      <c r="K105" s="5" t="b">
        <f aca="false">TRUE()</f>
        <v>1</v>
      </c>
      <c r="L105" s="5" t="b">
        <f aca="false">FALSE()</f>
        <v>0</v>
      </c>
      <c r="M105" s="5" t="b">
        <f aca="false">TRUE()</f>
        <v>1</v>
      </c>
      <c r="N105" s="5" t="b">
        <f aca="false">FALSE()</f>
        <v>0</v>
      </c>
      <c r="O105" s="5" t="b">
        <f aca="false">FALSE()</f>
        <v>0</v>
      </c>
    </row>
    <row r="106" customFormat="false" ht="66.9" hidden="false" customHeight="false" outlineLevel="0" collapsed="false">
      <c r="A106" s="3" t="s">
        <v>452</v>
      </c>
      <c r="B106" s="3" t="s">
        <v>453</v>
      </c>
      <c r="C106" s="4" t="s">
        <v>454</v>
      </c>
      <c r="D106" s="3" t="s">
        <v>45</v>
      </c>
      <c r="E106" s="3" t="s">
        <v>45</v>
      </c>
      <c r="F106" s="3" t="n">
        <v>1</v>
      </c>
      <c r="G106" s="3" t="s">
        <v>455</v>
      </c>
      <c r="H106" s="5" t="b">
        <f aca="false">TRUE()</f>
        <v>1</v>
      </c>
      <c r="I106" s="3" t="s">
        <v>47</v>
      </c>
      <c r="J106" s="3" t="s">
        <v>47</v>
      </c>
      <c r="K106" s="5" t="b">
        <f aca="false">TRUE()</f>
        <v>1</v>
      </c>
      <c r="L106" s="5" t="b">
        <f aca="false">FALSE()</f>
        <v>0</v>
      </c>
      <c r="M106" s="5" t="b">
        <f aca="false">FALSE()</f>
        <v>0</v>
      </c>
      <c r="N106" s="5" t="b">
        <f aca="false">FALSE()</f>
        <v>0</v>
      </c>
      <c r="O106" s="5" t="b">
        <f aca="false">FALSE()</f>
        <v>0</v>
      </c>
    </row>
    <row r="107" customFormat="false" ht="15" hidden="false" customHeight="false" outlineLevel="0" collapsed="false">
      <c r="A107" s="3" t="s">
        <v>456</v>
      </c>
      <c r="B107" s="3" t="s">
        <v>457</v>
      </c>
      <c r="C107" s="3" t="s">
        <v>458</v>
      </c>
      <c r="D107" s="3" t="s">
        <v>20</v>
      </c>
      <c r="E107" s="3" t="s">
        <v>20</v>
      </c>
      <c r="F107" s="3" t="n">
        <v>4</v>
      </c>
      <c r="G107" s="3" t="s">
        <v>459</v>
      </c>
      <c r="H107" s="5" t="b">
        <f aca="false">TRUE()</f>
        <v>1</v>
      </c>
      <c r="I107" s="3" t="s">
        <v>36</v>
      </c>
      <c r="J107" s="3" t="s">
        <v>36</v>
      </c>
      <c r="K107" s="5" t="b">
        <f aca="false">TRUE()</f>
        <v>1</v>
      </c>
      <c r="L107" s="5" t="b">
        <f aca="false">FALSE()</f>
        <v>0</v>
      </c>
      <c r="M107" s="5" t="b">
        <f aca="false">FALSE()</f>
        <v>0</v>
      </c>
      <c r="N107" s="5" t="b">
        <f aca="false">FALSE()</f>
        <v>0</v>
      </c>
      <c r="O107" s="5" t="b">
        <f aca="false">TRUE()</f>
        <v>1</v>
      </c>
    </row>
    <row r="108" customFormat="false" ht="15" hidden="false" customHeight="false" outlineLevel="0" collapsed="false">
      <c r="A108" s="3" t="s">
        <v>460</v>
      </c>
      <c r="B108" s="3" t="s">
        <v>461</v>
      </c>
      <c r="C108" s="3" t="s">
        <v>462</v>
      </c>
      <c r="D108" s="3" t="s">
        <v>20</v>
      </c>
      <c r="E108" s="3" t="s">
        <v>20</v>
      </c>
      <c r="F108" s="3" t="n">
        <v>5</v>
      </c>
      <c r="G108" s="3" t="s">
        <v>463</v>
      </c>
      <c r="H108" s="5" t="b">
        <f aca="false">TRUE()</f>
        <v>1</v>
      </c>
      <c r="I108" s="3" t="s">
        <v>22</v>
      </c>
      <c r="J108" s="3" t="s">
        <v>22</v>
      </c>
      <c r="K108" s="5" t="b">
        <f aca="false">TRUE()</f>
        <v>1</v>
      </c>
      <c r="L108" s="5" t="b">
        <f aca="false">FALSE()</f>
        <v>0</v>
      </c>
      <c r="M108" s="5" t="b">
        <f aca="false">FALSE()</f>
        <v>0</v>
      </c>
      <c r="N108" s="5" t="b">
        <f aca="false">TRUE()</f>
        <v>1</v>
      </c>
      <c r="O108" s="5" t="b">
        <f aca="false">FALSE()</f>
        <v>0</v>
      </c>
    </row>
    <row r="109" customFormat="false" ht="15" hidden="false" customHeight="false" outlineLevel="0" collapsed="false">
      <c r="A109" s="3" t="s">
        <v>464</v>
      </c>
      <c r="B109" s="3" t="s">
        <v>465</v>
      </c>
      <c r="C109" s="3" t="s">
        <v>466</v>
      </c>
      <c r="D109" s="3" t="s">
        <v>20</v>
      </c>
      <c r="E109" s="3" t="s">
        <v>20</v>
      </c>
      <c r="F109" s="3" t="n">
        <v>5</v>
      </c>
      <c r="G109" s="3" t="s">
        <v>467</v>
      </c>
      <c r="H109" s="5" t="b">
        <f aca="false">TRUE()</f>
        <v>1</v>
      </c>
      <c r="I109" s="3" t="s">
        <v>22</v>
      </c>
      <c r="J109" s="3" t="s">
        <v>22</v>
      </c>
      <c r="K109" s="5" t="b">
        <f aca="false">TRUE()</f>
        <v>1</v>
      </c>
      <c r="L109" s="5" t="b">
        <f aca="false">FALSE()</f>
        <v>0</v>
      </c>
      <c r="M109" s="5" t="b">
        <f aca="false">FALSE()</f>
        <v>0</v>
      </c>
      <c r="N109" s="5" t="b">
        <f aca="false">TRUE()</f>
        <v>1</v>
      </c>
      <c r="O109" s="5" t="b">
        <f aca="false">FALSE()</f>
        <v>0</v>
      </c>
    </row>
    <row r="110" customFormat="false" ht="15" hidden="false" customHeight="false" outlineLevel="0" collapsed="false">
      <c r="A110" s="3" t="s">
        <v>468</v>
      </c>
      <c r="B110" s="3" t="s">
        <v>469</v>
      </c>
      <c r="C110" s="3" t="s">
        <v>470</v>
      </c>
      <c r="D110" s="3" t="s">
        <v>20</v>
      </c>
      <c r="E110" s="3" t="s">
        <v>20</v>
      </c>
      <c r="F110" s="3" t="n">
        <v>5</v>
      </c>
      <c r="G110" s="3" t="s">
        <v>471</v>
      </c>
      <c r="H110" s="5" t="b">
        <f aca="false">TRUE()</f>
        <v>1</v>
      </c>
      <c r="I110" s="3" t="s">
        <v>35</v>
      </c>
      <c r="J110" s="3" t="s">
        <v>35</v>
      </c>
      <c r="K110" s="5" t="b">
        <f aca="false">TRUE()</f>
        <v>1</v>
      </c>
      <c r="L110" s="5" t="b">
        <f aca="false">TRUE()</f>
        <v>1</v>
      </c>
      <c r="M110" s="5" t="b">
        <f aca="false">FALSE()</f>
        <v>0</v>
      </c>
      <c r="N110" s="5" t="b">
        <f aca="false">FALSE()</f>
        <v>0</v>
      </c>
      <c r="O110" s="5" t="b">
        <f aca="false">FALSE()</f>
        <v>0</v>
      </c>
    </row>
    <row r="111" customFormat="false" ht="15" hidden="false" customHeight="false" outlineLevel="0" collapsed="false">
      <c r="A111" s="3" t="s">
        <v>472</v>
      </c>
      <c r="B111" s="3" t="s">
        <v>473</v>
      </c>
      <c r="C111" s="3" t="s">
        <v>474</v>
      </c>
      <c r="D111" s="3" t="s">
        <v>20</v>
      </c>
      <c r="E111" s="3" t="s">
        <v>20</v>
      </c>
      <c r="F111" s="3" t="n">
        <v>5</v>
      </c>
      <c r="G111" s="3" t="s">
        <v>475</v>
      </c>
      <c r="H111" s="5" t="b">
        <f aca="false">TRUE()</f>
        <v>1</v>
      </c>
      <c r="I111" s="3" t="s">
        <v>36</v>
      </c>
      <c r="J111" s="3" t="s">
        <v>36</v>
      </c>
      <c r="K111" s="5" t="b">
        <f aca="false">TRUE()</f>
        <v>1</v>
      </c>
      <c r="L111" s="5" t="b">
        <f aca="false">FALSE()</f>
        <v>0</v>
      </c>
      <c r="M111" s="5" t="b">
        <f aca="false">FALSE()</f>
        <v>0</v>
      </c>
      <c r="N111" s="5" t="b">
        <f aca="false">FALSE()</f>
        <v>0</v>
      </c>
      <c r="O111" s="5" t="b">
        <f aca="false">TRUE()</f>
        <v>1</v>
      </c>
    </row>
    <row r="113" customFormat="false" ht="15" hidden="false" customHeight="false" outlineLevel="0" collapsed="false">
      <c r="E113" s="3" t="s">
        <v>476</v>
      </c>
      <c r="F113" s="3" t="n">
        <f aca="false">COUNTIF(F2:F111,2)</f>
        <v>21</v>
      </c>
    </row>
    <row r="114" customFormat="false" ht="15" hidden="false" customHeight="false" outlineLevel="0" collapsed="false">
      <c r="E114" s="3" t="s">
        <v>477</v>
      </c>
      <c r="F114" s="3" t="n">
        <f aca="false">COUNTIF(F2:F111,3)</f>
        <v>0</v>
      </c>
      <c r="H114" s="9" t="s">
        <v>478</v>
      </c>
      <c r="I114" s="9"/>
      <c r="J114" s="9"/>
      <c r="K114" s="9"/>
      <c r="L114" s="9"/>
      <c r="M114" s="9"/>
    </row>
    <row r="115" customFormat="false" ht="15" hidden="false" customHeight="false" outlineLevel="0" collapsed="false">
      <c r="H115" s="9" t="s">
        <v>479</v>
      </c>
      <c r="I115" s="9"/>
      <c r="J115" s="9"/>
      <c r="K115" s="9"/>
      <c r="L115" s="9"/>
      <c r="M115" s="9"/>
    </row>
    <row r="116" customFormat="false" ht="15" hidden="false" customHeight="false" outlineLevel="0" collapsed="false">
      <c r="H116" s="9" t="s">
        <v>480</v>
      </c>
      <c r="I116" s="9"/>
      <c r="J116" s="9"/>
      <c r="K116" s="9"/>
      <c r="L116" s="9"/>
      <c r="M116" s="9"/>
      <c r="N116" s="3" t="s">
        <v>481</v>
      </c>
    </row>
    <row r="118" customFormat="false" ht="15" hidden="false" customHeight="false" outlineLevel="0" collapsed="false">
      <c r="E118" s="3" t="n">
        <f aca="false">COUNTIF(E2:E111,"in")</f>
        <v>65</v>
      </c>
    </row>
    <row r="119" customFormat="false" ht="15" hidden="false" customHeight="false" outlineLevel="0" collapsed="false">
      <c r="H119" s="3" t="n">
        <f aca="false">(110-2)/110</f>
        <v>0.981818181818182</v>
      </c>
      <c r="I119" s="3" t="s">
        <v>482</v>
      </c>
    </row>
    <row r="120" customFormat="false" ht="15" hidden="false" customHeight="false" outlineLevel="0" collapsed="false">
      <c r="H120" s="3" t="n">
        <f aca="false">62/65</f>
        <v>0.953846153846154</v>
      </c>
      <c r="I120" s="3" t="s">
        <v>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34375" defaultRowHeight="15" customHeight="false" zeroHeight="false" outlineLevelRow="0" outlineLevelCol="0"/>
  <sheetData>
    <row r="1" customFormat="false" ht="15" hidden="false" customHeight="false" outlineLevel="0" collapsed="false">
      <c r="A1" s="3" t="s">
        <v>484</v>
      </c>
      <c r="B1" s="3" t="s">
        <v>485</v>
      </c>
      <c r="C1" s="3" t="s">
        <v>486</v>
      </c>
    </row>
    <row r="2" customFormat="false" ht="15" hidden="false" customHeight="false" outlineLevel="0" collapsed="false">
      <c r="A2" s="3" t="s">
        <v>487</v>
      </c>
      <c r="B2" s="3" t="s">
        <v>488</v>
      </c>
      <c r="C2" s="3" t="n">
        <v>110</v>
      </c>
    </row>
    <row r="3" customFormat="false" ht="15" hidden="false" customHeight="false" outlineLevel="0" collapsed="false">
      <c r="A3" s="3" t="s">
        <v>489</v>
      </c>
      <c r="B3" s="3" t="s">
        <v>490</v>
      </c>
      <c r="C3" s="3" t="n">
        <v>110</v>
      </c>
    </row>
    <row r="4" customFormat="false" ht="15" hidden="false" customHeight="false" outlineLevel="0" collapsed="false">
      <c r="A4" s="3" t="s">
        <v>491</v>
      </c>
      <c r="B4" s="3" t="s">
        <v>492</v>
      </c>
      <c r="C4" s="3" t="n">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2026-06-11T17:04:30Z</dcterms:created>
  <dc:creator>openpyxl</dc:creator>
  <dc:description/>
  <dc:language>en-GB</dc:language>
  <cp:lastModifiedBy/>
  <dcterms:modified xsi:type="dcterms:W3CDTF">2026-06-12T13:11:50Z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