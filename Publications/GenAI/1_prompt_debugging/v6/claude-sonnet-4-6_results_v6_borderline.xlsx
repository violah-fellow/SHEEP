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<sst xmlns="http://schemas.openxmlformats.org/spreadsheetml/2006/main" count="278" uniqueCount="164">
  <si>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</si>
  <si>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</si>
  <si>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</si>
  <si>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</si>
  <si>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</si>
  <si>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</si>
  <si>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</si>
  <si>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</si>
  <si>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</si>
  <si>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</si>
  <si>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</si>
  <si>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</si>
  <si>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</si>
  <si>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</si>
  <si>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</si>
  <si>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Scope notes</t>
  </si>
  <si>
    <t xml:space="preserve">Pillar notes</t>
  </si>
  <si>
    <t xml:space="preserve">pub.1193718255</t>
  </si>
  <si>
    <t xml:space="preserve">Associations between the EAT-Lancet Index, food group consumption and Eatwell Guide adherence in UK adults</t>
  </si>
  <si>
    <t xml:space="preserve">The EAT-Lancet Commission’s “Planetary Health Diet” (PHD) aims to optimise population health and environmental sustainability by promoting a plant-forward diet with animal products consumed in moderation (1) . The UK’s Eatwell Guide provides recommendations for key nutrients and food groups to achieve a healthy, balanced diet; greater adherence is associated with environmental benefits (2) . This secondary analysis examines the relationships between PHD adherence, food group intakes and compliance with the Eatwell Guide in UK adults. Data from disease-free UK adults aged ≥18 years (n=452) were pooled from five cross- sectional analyses that recorded habitual dietary intake using the eNutri food frequency questionnaire, which generated nutrient and food group data (3) . EAT-Lancet Index scores were calculated (4) for each participant then stratified into quartiles (Q), with the highest scores in Q4 (representing greater adherence to the PHD). Adherence to the 9 Eatwell Guide recommendations were determined for each quartile then classified as ‘very low’ (0– 2 recommendations met), ‘low’ (3–4) or ‘intermediate-to-high’ (5–9) (2) . ANCOVA (adjusted for sex, age, physical activity, ethnicity, employment status, and body mass index (BMI)) compared the mean daily intakes of 17 food groups across quartiles. If significant, pairwise comparisons with Bonferroni correction were determined. P values ≤0.01 were considered significant for all. Study participants had a mean (SD) age of 44 (19) years and a BMI of 25.7 (6.0) kg/m2 and 79.6% were female. Adherence to the Eatwell Guide was very low in Q1 and Q2, low in Q3 and intermediate-to-high in Q4 (where 5 out of the 9 recommendations were met). Compared to Q1, higher adherence to the PHD (Q4) was associated with higher intakes of ‘fruits and vegetables’ (+408 g/d), ‘pulses’ (+25.0 g/d), ‘whole grains’(+29.2 g/d), ‘nuts and seeds’(+15.8 g/d) ‘plant-based meat alternatives’ (+14.3 g/d) and ‘plant-based dairy alternatives’ (+110 g/d) (all p≤0.001). In contrast, Q4 had lower intakes of ‘eggs’ (-17.0 g/d), ‘potatoes’(-50.5 g/d), ‘poultry’ (-38.1 g/d), ‘red meat’(-40.4 g/d), ‘processed meat’(-22.5 g/d), ‘refined grains’ (-65.0 g/d) and ‘dairy products’ (-110 g/d) relative to Q1 (all p≤0.001). Although intakes of ‘unsaturated fats and oils’ and ‘fish and other seafood’ were highest in Q4, neither was significantly different from the other quartiles. Greater adherence to the PHD was associated with higher intakes of plant-based foods (including a two-fold higher intake in fruits and vegetables), and lower consumption of animal products, notably a five-fold lower intake of red meat. Moreover, UK adults whose diets more closely reflected the PHD also met a higher proportion of Eatwell Guide recommendations. These findings suggest that closer adherence to the PHD aligns with greater compliance to UK dietary guidelines (Eatwell Guide), reflecting a more favorable dietary pattern.</t>
  </si>
  <si>
    <t xml:space="preserve">in</t>
  </si>
  <si>
    <t xml:space="preserve">The study explicitly reports data on plant-based meat and dairy alternative consumption as part of dietary pattern analysis, making it in scope as a consumer/dietary study that includes alternative proteins as a named category with data collected and reported.</t>
  </si>
  <si>
    <t xml:space="preserve">PB</t>
  </si>
  <si>
    <t xml:space="preserve">Now in scope! Includes dietary studies.</t>
  </si>
  <si>
    <t xml:space="preserve">pub.1195208348</t>
  </si>
  <si>
    <t xml:space="preserve">Plant-based proteins for infant formula: findings and recommendations from the ILSI Europe workshop</t>
  </si>
  <si>
    <t xml:space="preserve">This Review Article summarizes outcomes from the ILSI Europe expert workshop on plant-based proteins in infant formula, held in November 2024. Experts from academia, clinical nutrition, and food science evaluated the current use and future potential of plant-based protein sources in infant formula, considering nutritional adequacy, allergenicity, sustainability, processing technologies, and regulatory constraints. While soy and hydrolyzed rice proteins are already approved and in use, emerging sources such as pea, lentil, and faba beans show promise but require further validation of their amino acid profiles, digestibility, safety, and suitability for infants. Key research priorities identified include the development of improved protein extraction methods, in vitro digestion and allergy modeling, and targeted clinical studies. This review synthesizes current evidence and expert perspectives to support the development of sustainable, nutritionally adequate plant-based infant formulas.</t>
  </si>
  <si>
    <t xml:space="preserve">This publication directly concerns plant-based protein sources (soy, rice, pea, lentil, faba bean) for use in infant formula, which is a general nutritional product for healthy populations and thus in scope, covering nutritional adequacy, processing, allergenicity, and regulatory aspects of plant-based proteins as alternatives to conventional animal-derived proteins in infant nutrition.</t>
  </si>
  <si>
    <t xml:space="preserve">Now in scope! Includes infant formula as a product.</t>
  </si>
  <si>
    <t xml:space="preserve">pub.1193233825</t>
  </si>
  <si>
    <t xml:space="preserve">Development of plant-based infant complementary food from Cucumeropsis mannii, Dioscorea dumetorum, Musa paradiasica, and Malus domestica fermented with lactic acid bacteria</t>
  </si>
  <si>
    <t xml:space="preserve">Plant-based complementary foods offer a promising alternative to conventional infant formulas; however, their nutritional limitations, anti-nutritional factors, and functional properties require optimization to ensure suitability for infant nutrition. In this study, a novel ready-to-eat plant-based infant food in paste form was developed from Cucumeropsis mannii (Melon seeds), Dioscorea dumetorum (sweet Yellow Yam tubers), banana, and apple through fermentation with lactic acid bacteria (LAB) to enhance its nutritional properties. After starter screening and fermentation optimization, the formulation was individually inoculated with 6 Log CFU/g of Lacticaseibacillus paracasei (SK8), Leuconostoc mesenteroides (GSL7), and Lactiplantibacillus plantarum (AFI5), and incubated at 30 °C for 24 h. Subsequently, the effect of fermentation on chemical composition, peptide profile, and antioxidant capacity was investigated. Compared to the control formulation (RAW-F3), fermentation induced distinct changes in sugar consumption, free amino acids content, peptides profiles, along with reductions in key anti-nutritional factors (particularly phytic acid and saponins). Proteolysis driven by enzymes produced by LAB contributed to a modified free amino acid profile, with the formulation inoculated with L. paracasei (SK8-F3) having the highest amounts of free amino acids (401.8 mg/100 g). Likewise, a notable change in peptide profile was observed, and the formulation was inoculated with L. mesenteroides (GSL7-F3) recorded the highest diverse number of peptides (3352), followed by the formulation inoculated with L. plantarum (3417), and SK8-F3 (2697). In SK8-F3, phytic acid and saponins were significantly reduced by 75% and 50%, respectively, compared to RAW-F3 (P &lt; 0.05). Generally, fermentation enhanced total phenolic content and antioxidant activity, with the highest phenolics in GSL7-F3 (267 mg/L) and the strongest DPPH scavenging in AFI5-F3 (61.3%). Procyanidin B2 and caffeic acid peaked in SK8-F3, while ferulic acid and phloridzin remained consistently high across all formulations. Metabolism by LAB also contributed to improved sensory properties, with the SK8-F3 and AFI5-F3 formulations receiving the highest sensory scores. Overall, our findings affirm the role of LAB in enhancing the nutritional quality, safety, and sensory characteristics of foods, supporting their application in infant food formulations.</t>
  </si>
  <si>
    <t xml:space="preserve">This publication develops a plant-based infant complementary food using fermentation with lactic acid bacteria to improve nutritional quality, directly fitting the plant-based and fermentation categories for human food (infant complementary foods for healthy populations are in scope).</t>
  </si>
  <si>
    <t xml:space="preserve">CC</t>
  </si>
  <si>
    <t xml:space="preserve">Still incorrect… I may need to address this traditional fermentation problem.</t>
  </si>
  <si>
    <t xml:space="preserve">pub.1191132017</t>
  </si>
  <si>
    <t xml:space="preserve">ELABORACIÓN DE ANÁLOGOS CÁRNICOS MEDIANTE EL PROCESO DE EXTRUSIÓN DE ALTA HUMEDAD A PARTIR DE AISLADO DE PROTEÍNA DE HABA Y SALVADO DE TRIGO INTEGRAL</t>
  </si>
  <si>
    <t xml:space="preserve">El interés por una alimentación saludable ha crecido en los últimos años, aumentando el consumo de proteínas. La carne es la principal fuente de proteínas, aunque su consumo se ha visto reducido por su impacto negativo en la salud, el medio ambiente y su elevado precio. Esto impulsa la búsqueda de alternativas más sostenibles, como los análogos cárnicos. Estos productos imitan la carne y son elaborados a partir de proteínas vegetales mediante la tecnología de extrusión. Entre las diversas fuentes de proteínas vegetales, las legumbres son las más comunes por su elevada calidad proteica. Este estudio se centró en el desarrollo de análogos cárnicos utilizando aislado de proteína de haba y salvado de trigo integral en una proporción 2:1 respectivamente. Se elaboraron tres lotes con diferente contenido de agua:harina inicial, siendo HA: 60%:40%, HM: 50%:50% y HB: 40%:50% respectivamente. Los lotes HA y HM se prepararon mezclando el agua y la materia prima antes de añadirlos al extrusor. El lote HM se elaboró añadiendo la materia prima manualmente al extrusor y el flujo de agua fue de 18 ml/min a través de una bomba. Las muestras se procesaron en una extrusora de doble tornillo a una velocidad de 150 rpm. Se evaluó el índice de absorción de agua de la harina de haba y su mezcla con salvado de trigo, sin encontrarse diferencias significativas entre ambas. Las muestras texturizadas presentaron diferentes niveles de humedad lo que afectó el color y la textura. La muestra HB, con menor humedad, fue la más oscura. En cuanto a la textura, la muestra HB tuvo mayor dureza, gomosidad y masticabilidad que HM y HA debido a su menor contenido de humedad. No se observaron diferencias significativas en la capacidad de retención de agua entre las muestras.
Interest in healthy eating has grown in recent years, increasing the consumption of protein. Meat is the main source of protein, although its consumption has been reduced due to its negative impact on health, the environment and its high price. This is driving the search for more sustainable alternatives, such as meat analogues. These products mimic meat and are made from vegetable proteins using extrusion technology. Among the various sources of vegetable proteins, pulses are the most common due to their high protein quality. This study focused on the development of meat analogues using bean protein isolate and whole wheat bran in a 2:1 ratio respectively. Three batches were prepared with different initial water:flour content, being HA: 60%:40%, HM: 50%:50% and HB: 40%:50% respectively. The HA and HM batches were prepared by mixing the water and raw material before adding them to the extruder. The HM batch was prepared by adding the feedstock manually to the extruder and the water flow was 18 ml/min through a pump. The samples were processed in a twin screw extruder at a speed of 150 rpm. The water absorption rate of broad bean flour and its mixture with wheat bran were evaluated, with no significant differences between the two. The textured samples had different moisture levels, which affected colour and texture. The HB sample, with the lowest moisture content, was the darkest. In terms of texture, the HB sample had higher hardness, gumminess and chewiness than HM and HA due to its lower moisture content. No significant differences in water holding capacity were observed between the samples.</t>
  </si>
  <si>
    <t xml:space="preserve">This study directly develops plant-based meat analogues using faba bean protein isolate and wheat bran via high-moisture extrusion, which is clearly in scope as alternative protein product development.</t>
  </si>
  <si>
    <t xml:space="preserve">pub.1188951678</t>
  </si>
  <si>
    <t xml:space="preserve">Modifications in lipids and storage proteins composition during germination of chia seeds (Salvia hispanica L.)</t>
  </si>
  <si>
    <t xml:space="preserve">Salvia hispanica L. (chia) is a plant of the Lamiaceae family native to Central America, is mainly grown in southwestern France, with a preference for the ORURO® variety. Chia seeds contain over 30 % oil and 19 % protein. They are rich in omega-3 (ω3) and omega-6 (ω6) fatty acids, with a favorable ω3/ ω6 ratio, making them a valuable source of nutrients. Chia seeds store nutrients in lipid droplets and protein bodies. During germination, these nutrients are mobilized to support seedling growth. This study explores how germination can enhance the quality of chia seed reserves for food applications. Thus, we examined the biochemical and metabolic changes during germination leading to the breakdown and mobilization of seed reserves. Using proteomics and lipidomics, we monitored changes in storage proteins and lipids during chia seed germination. Our findings revealed significant molecular remodeling, suggesting that germination may enhances chia's nutritional value for human consumption.</t>
  </si>
  <si>
    <t xml:space="preserve">The study examines germination-induced changes in storage proteins and lipids in chia seeds with stated relevance to food applications and human consumption, making it marginally in scope as a plant protein source study, though the primary focus is on seed biology rather than alternative protein development per se.</t>
  </si>
  <si>
    <t xml:space="preserve">pub.1187223408</t>
  </si>
  <si>
    <t xml:space="preserve">Research progress on lentil-based composite flours: physicochemical, techno-functional properties, and high-performance food applications</t>
  </si>
  <si>
    <t xml:space="preserve">As the global population continues to grow, there is an increasing need to explore alternative nutrition sources that are sustainable, affordable, and environmentally friendly. Lentils, from leguminous crops, are a promising option because of their high protein content and numerous health benefits. The Food and Agriculture Organization (FAO) has recommended the development of composite flours as an effective way to incorporate local, nutritious grains into food products. Composite flours are mixtures of different flours, often combining traditional grains with healthier alternatives like lentils. These flours are cost-effective, quick to produce, and improve food quality. While many studies explore lentil-based composite flours, few provide comprehensive reviews of their physicochemical and technological properties. Understanding these properties—such as water absorption, binding capacity, and effects on food texture and flavor—is crucial for predicting their quality and potential applications in various food systems. By reviewing the techno-functional and physicochemical characteristics of lentil-based composite flours, this study aims to fill that gap and provide insights that could promote the commercialization of food products made with these flours. Ultimately, this could help make healthier, sustainable food options more accessible to a larger population.</t>
  </si>
  <si>
    <t xml:space="preserve">Lentils are a high-protein legume crop used as an alternative protein feedstock, and this review focuses on the techno-functional and physicochemical properties of lentil-based composite flours relevant to food product development, making it in scope as plant-based alternative protein research.</t>
  </si>
  <si>
    <t xml:space="preserve">pub.1191085313</t>
  </si>
  <si>
    <t xml:space="preserve">Pseudocereals for modern diets: Multifunctional grains with superior bioactive properties, nutraceutical potential, and diverse industrial applications</t>
  </si>
  <si>
    <t xml:space="preserve">Pseudocereals, such as quinoa, buckwheat, and amaranth, have emerged as promising alternatives to traditional cereals due to their superior nutritional composition, abundance of bioactive compounds, and multifunctional properties. This review synthesizes the current knowledge of bioactive compounds present in these multifunctional grains, highlighting their superior antioxidant, anti-inflammatory, anticancer, hypocholesterolemic, and antidiabetic properties. It discusses the major bioactive compounds, including polyphenols, flavonoids, saponins, fagopyritols, and peptides, and advanced analytical approaches, including HPLC and UPLC for separation, and MS/MS and NMR spectroscopy for detection and structural elucidation. The review also highlights the nutraceutical potential of pseudocereals in preventing chronic diseases, promoting overall health, and addressing nutritional deficiencies. Furthermore, pseudocereals demonstrate significant industrial potential through their versatile applications in gluten-free bakery products, meat analogues, dairy substitutes, fermented beverages, edible films, animal feed formulations, and nutraceutical delivery systems. Considering their adaptability to marginal environments, resilience to climate stress, and superior nutritional profiles, integrating pseudocereals into modern agriculture and diets aligns with achieving SDGs such as zero hunger, good health and well-being, and sustainable agriculture. This review serves as a comprehensive resource bridging the gap between research and industry applications, highlighting future opportunities for utilizing pseudocereals to enhance food security and support sustainable agricultural systems.</t>
  </si>
  <si>
    <t xml:space="preserve">The review explicitly covers pseudocereals (quinoa, buckwheat, amaranth) as ingredients in meat analogues and dairy substitutes, making it in scope for plant-based alternative proteins, despite also covering nutraceutical and general food applications.</t>
  </si>
  <si>
    <t xml:space="preserve">Now in scope!</t>
  </si>
  <si>
    <t xml:space="preserve">pub.1188583025</t>
  </si>
  <si>
    <t xml:space="preserve">Balancing culinary excellence with ethical responsibility: A scientific perspective on animal welfare in gastronomy</t>
  </si>
  <si>
    <t xml:space="preserve">The culinary industry not only seeks gastronomic excellence but must also address society's mounting concern for animal welfare. This review explores scientific and technological advances shaping animal welfare across the contemporary food system, mapping five critical value-chain stages, animal breeding and rearing; transport and handling; slaughter practices; distribution and procurement; and culinary preparation, where ethical tensions and welfare risks converge. It synthesizes welfare frameworks from the “Five Freedoms” to sentience-based and competence models, highlighting empirical gaps, particularly for crustaceans and insects, that have prompted precautionary bans such as Switzerland's prohibition on boiling lobsters alive. It is catalog key innovations, cultured meat regulatory milestones on March 21 and July 2023, plant-based analogues from pea protein to seitan, and emerging insect-protein applications and assess their potential to decouple gastronomic quality from animal harm. By comparing EU and US regulatory frameworks and private certification schemes, it identify fragmented standards as a barrier to coherent supply-chain compliance. The paper concludes by outlining a roadmap to integrate animal welfare science into culinary curricula, foster multi-stakeholder partnerships, and leverage precision livestock and vertical-farming technologies to advance a sustainable, responsible, and compassionate gastronomy.</t>
  </si>
  <si>
    <t xml:space="preserve">The publication explicitly covers plant-based analogues (pea protein, seitan) and cultivated meat regulatory milestones as part of its analysis of alternative proteins in gastronomy, with specific data and discussion on these categories.</t>
  </si>
  <si>
    <t xml:space="preserve">pub.1148377610</t>
  </si>
  <si>
    <t xml:space="preserve">Children Prefer Natural Food, Too</t>
  </si>
  <si>
    <t xml:space="preserve">Adults often prefer things that they believe are natural, including natural foods. This preference has serious implications, such as the rejection of cultured meat and other sustainable technologies. Here we explore whether children also prefer natural foods. We conducted two preregistered studies with 374 adults and children from the United States. In Study 1, children's (N = 120) ages ranged from 6-10 years, with 57% of the sample identifying as female identifying as White/European American, whereas adults (N = 120) had a mean age of 30 years and 4 months, with 48.7% identifying as female, and 69.2% identifying as White/European American. In Study 2, children's (N = 63) aged ranged from 5-7 years, with 57% identifying as female and 66% identifying as White/European American, whereas adults (N = 64) had a mean age of 29 years and 11 months, with 60.7% of the sample identifying as female and 59% of participants identifying as White/European American. We found that, like adults, American children of these ages prefer natural over unnatural foods. This was found across two domains (fruit, juice) and a range of measures (tastiness, safety, unnaturalness, desire to consume). This preference was found in children as young as 5 years of age. Overall, we provide evidence that, at least in the United States, our tendency to prefer natural food is present even in childhood. (PsycInfo Database Record (c) 2022 APA, all rights reserved).</t>
  </si>
  <si>
    <t xml:space="preserve">The study explicitly investigates consumer preference for natural foods with direct implications for acceptance of cultured meat and other sustainable alternative protein technologies, making it in scope as cross-cutting consumer acceptance research.</t>
  </si>
  <si>
    <t xml:space="preserve">pub.1181836516</t>
  </si>
  <si>
    <t xml:space="preserve">Gastrointestinal fate of proteins from commercial plant–based meat analogs: Silent passage through the stomach, oxidative stress in intestine, and gut dysbiosis in Wistar rats</t>
  </si>
  <si>
    <t xml:space="preserve">Plant-based meat analogs (PBMAs) are common ultra-processed foods (UPFs) included in the vegan/vegetarian diets as presumed healthy alternatives to meat and meat products. However, such health claims need to be supported by scientific evidence. To gain further insight into this topic, two commercial UPFs typically sold as meat analogs, namely, seitan (S) and tofu (T), were included in a cereal-based chow and provided to Wistar rats for 10 weeks. A group of animals had, simultaneously, an isocaloric and isoprotein experimental diet formulated with cooked beef (B). In all cases, experimental chows (∼4 kcal/g feed) had their basal protein concentration increased from 14% to 30% using proteins from S, T, or B. Upon slaughter, in vivo protein digestibility was assessed, and the entire gastrointestinal tract (digests and tissues) was analyzed for markers of oxidative stress and untargeted metabolomics. Metagenomics was also applied to assess the variation of microbiota composition as affected by dietary protein. Diets based on PBMAs showed lower protein digestibility than those containing meat and promoted an intense luminal glycoxidative stress and an inflammatory intestinal response. The fermentation of undigested oxidized proteins from T in the colon of Wistar rats likely led to formation of mutagenic metabolites such as p-cresol. The presence of these compounds in the animal models raises concerns about the potential effects of full replacement of meat by certain PBMAs in the diet. Therefore, future research might target on translational human studies to shed light on these findings.</t>
  </si>
  <si>
    <t xml:space="preserve">This study directly investigates the gastrointestinal fate, digestibility, and health effects of plant-based meat analogs (seitan and tofu) compared to conventional meat, making it clearly in scope as research advancing understanding of plant-based protein products.</t>
  </si>
  <si>
    <t xml:space="preserve">pub.1173257003</t>
  </si>
  <si>
    <t xml:space="preserve">Sustainable processing of microalgae protein: Design of biphasic partitioning systems based on natural deep eutectic solvents for C-phycocyanin recovery from model aqueous solutions</t>
  </si>
  <si>
    <t xml:space="preserve">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</si>
  <si>
    <t xml:space="preserve">This publication focuses on the extraction and recovery of C-phycocyanin from Spirulina (a microalga), which is classified as fermentation/single-cell protein, and the processing method is directly relevant to microalgal protein production for food applications.</t>
  </si>
  <si>
    <t xml:space="preserve">F</t>
  </si>
  <si>
    <t xml:space="preserve">pub.1175524716</t>
  </si>
  <si>
    <t xml:space="preserve">A comparative study on gelation behaviours of lentil-dairy binary protein gels treated by heat and microbial transglutaminase</t>
  </si>
  <si>
    <t xml:space="preserve">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</si>
  <si>
    <t xml:space="preserve">This study directly investigates gelation strategies for substituting dairy proteins with lentil plant protein isolate in plant-based dairy alternatives, making it clearly in scope as plant-based alternative protein research.</t>
  </si>
  <si>
    <t xml:space="preserve">pub.1175608755</t>
  </si>
  <si>
    <t xml:space="preserve">Comparative study of interaction and complex formation of Tremella fuciformis polysaccharide with whey protein, lentil protein, and soy protein isolates</t>
  </si>
  <si>
    <t xml:space="preserve">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</si>
  <si>
    <t xml:space="preserve">The study examines polysaccharide-protein interactions and emulsion stabilization using lentil protein and soy protein isolates (plant-based) alongside whey protein (precision fermentation context is absent, but whey here is conventional), with the functional ingredient application relevant to alternative protein product development; lentil and soy proteins are key alternative protein sources studied for emulsion functionality.</t>
  </si>
  <si>
    <t xml:space="preserve">pub.1181848290</t>
  </si>
  <si>
    <t xml:space="preserve">Consumer sensory profiling and liking of Bolognese-type sauces: how do insect and plant foods really fare against red meat?</t>
  </si>
  <si>
    <t xml:space="preserve">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</si>
  <si>
    <t xml:space="preserve">out</t>
  </si>
  <si>
    <t xml:space="preserve">While the study includes plant-based protein products, insect-based proteins are a co-equal focus of the research, and the exclusion for insect-based proteins applies when it is a primary focus alongside (not merely incidental to) plant-based content — however, plant-based sauces are substantively included with data collected and reported, making this borderline; ultimately the insect protein focus is so central that classifying as out of scope is marginally more appropriate, though confidence is low.</t>
  </si>
  <si>
    <t xml:space="preserve">NA</t>
  </si>
  <si>
    <t xml:space="preserve">Consider edit to prompt: again, lower the exclusion bias to prevent insects being an immediate exclusion.</t>
  </si>
  <si>
    <t xml:space="preserve">pub.1182396222</t>
  </si>
  <si>
    <t xml:space="preserve">The dairy production system in the north of Sweden under possible future food scenarios</t>
  </si>
  <si>
    <t xml:space="preserve">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</si>
  <si>
    <t xml:space="preserve">This publication focuses on conventional dairy production system sustainability and future scenarios in northern Sweden; while one scenario briefly mentions novel foods from microbial cultures, alternative proteins are not a primary or significant focus with specific data collected or analysed on them.</t>
  </si>
  <si>
    <t xml:space="preserve">Challenging… consider edit to prompt: grant more scope to include publications where alt proteins are an example scenario.</t>
  </si>
  <si>
    <t xml:space="preserve">pub.1183157921</t>
  </si>
  <si>
    <t xml:space="preserve">Winter wheat–soybean relay intercropping in conjunction with a shift in sowing dates as a climate change adaptation and mitigation strategy for crop production in Germany</t>
  </si>
  <si>
    <t xml:space="preserve">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</si>
  <si>
    <t xml:space="preserve">This study examines soybean intercropping systems with a focus on grain protein yield and production efficiency, making it relevant to soybean as a high-protein crop used as an alternative protein feedstock, even though the agronomic context is broader climate adaptation.</t>
  </si>
  <si>
    <t xml:space="preserve">pub.1197164068</t>
  </si>
  <si>
    <t xml:space="preserve">Food and ethics: How German far-right defend their dietary ideology in times of climate change</t>
  </si>
  <si>
    <t xml:space="preserve">This article examines how the German far right – specifically the Alternative für Deutschland (AfD) and die Heimat – instrumentalizes food politics to advance ideological narratives amid contemporary debates on climate change. While these parties present themselves as defenders of “ordinary people” against environmental “hysteria,” their rhetoric surrounding food, purity, and health reveals deep continuities with historical fascist thought. Through a qualitative analysis of Facebook posts, party documents, and far-right media, the study shows how concerns about pesticides, synthetic meat, insect-based foods, and halal/kosher practices are reframed as threats to the purity of the German nation and its soil. This food discourse is intertwined with broader themes of anti-elitism, climate denialism, ethnopluralism, and masculinist identity politics. Drawing on the historical precedent of Nazi dietary propaganda – which linked plant-based eating, bodily purity, and racial superiority – the article highlights how contemporary actors selectively adopt ecological language to legitimize xenophobic and exclusionary agendas. While die Heimat occasionally draws on a vegan tradition rooted in Aryan purity myths, the AfD emphasizes meat as a cultural asset tied to national identity and male strength, even as both parties claim to champion animal welfare. The study shows that far-right food politics function simultaneously as lifestyle guidance, coded extremist messaging, and a strategic tool for mainstream appeal. Ultimately, it argues that dietary discourse provides the far right with a subtle yet powerful means to normalize eco-fascist ideology under the guise of health, tradition, and environmental concern.</t>
  </si>
  <si>
    <t xml:space="preserve">While the article mentions synthetic meat, insect-based foods, and plant-based eating, these are discussed as political/ideological symbols within far-right rhetoric rather than as subjects of substantive alternative protein research, development, or policy analysis with data collected on them.</t>
  </si>
  <si>
    <t xml:space="preserve">CM</t>
  </si>
  <si>
    <t xml:space="preserve">Could similarly edit prompt, but leaning just using the confidence scores (2&amp;3) for manual review.</t>
  </si>
  <si>
    <t xml:space="preserve">pub.1196678028</t>
  </si>
  <si>
    <t xml:space="preserve">Combining plant and dairy proteins to enhance the oxidative stability of microencapsulated lipids in spray-dried powders</t>
  </si>
  <si>
    <t xml:space="preserve">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</si>
  <si>
    <t xml:space="preserve">This study focuses on lipid encapsulation and oxidative stability using protein systems as encapsulants, with the stated application being shelf-stable food powders rather than alternative protein products or animal protein substitution; the hybrid systems aim to improve conventional dairy-containing formulations, not alternative proteins.</t>
  </si>
  <si>
    <t xml:space="preserve">Prompt edit: increase scope of hybrids to include improving alt protein development</t>
  </si>
  <si>
    <t xml:space="preserve">pub.1196657616</t>
  </si>
  <si>
    <t xml:space="preserve">What is the role of plant-based alternatives to animal foods in the Great Food Transformation? A narrative review.</t>
  </si>
  <si>
    <t xml:space="preserve">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</si>
  <si>
    <t xml:space="preserve">This review explicitly evaluates plant-based alternatives to animal foods (meat, dairy analogues) in terms of nutritional composition, dietary impacts, and policy implications, placing it firmly within the plant-based alternative protein scope.</t>
  </si>
  <si>
    <t xml:space="preserve">pub.1196619630</t>
  </si>
  <si>
    <t xml:space="preserve">Production of Kefir and Kefir-like Beverages: Fundamental Aspects, Advances, and Future Challenges</t>
  </si>
  <si>
    <t xml:space="preserve">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</si>
  <si>
    <t xml:space="preserve">While the publication covers fermentation of plant-based milks to produce kefir-like beverages, the primary focus is on kefir as a probiotic/functional food product rather than as an alternative protein, and there is no indication that protein substitution of animal products is a stated or implied goal.</t>
  </si>
  <si>
    <t xml:space="preserve">MAJOR edit to prompt: widen general definition to be less protein-focussed and include alt proteins more generally.</t>
  </si>
  <si>
    <t xml:space="preserve">pub.1196599903</t>
  </si>
  <si>
    <t xml:space="preserve">Special issue related to the 3rd NIZO Plant Protein Conference</t>
  </si>
  <si>
    <t xml:space="preserve">No abstract is available, and the title alone (a conference special issue on plant proteins) is insufficient to confirm the publication contains substantive in-scope alternative protein research content.</t>
  </si>
  <si>
    <t xml:space="preserve">pub.1196595072</t>
  </si>
  <si>
    <t xml:space="preserve">Proteins supplements and protein-containing products use in ice cream – A review</t>
  </si>
  <si>
    <t xml:space="preserve">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</si>
  <si>
    <t xml:space="preserve">This review covers plant-based and microbial (fermentation-derived) proteins as ingredients in ice cream, explicitly addressing their functional, technological, and consumer acceptance aspects in the context of alternative protein sources, making it in scope despite ice cream not being a direct meat/dairy analogue.</t>
  </si>
  <si>
    <t xml:space="preserve">pub.1196580100</t>
  </si>
  <si>
    <t xml:space="preserve">Agro-Waste as a Source of Functional Proteins: Extraction, Purification and Applications in Food and Nutraceutical Industries</t>
  </si>
  <si>
    <t xml:space="preserve">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</si>
  <si>
    <t xml:space="preserve">While this review covers protein extraction from agro-waste including legume and oilseed byproducts, the primary focus is on nutraceutical applications (bioactive peptides with antioxidant, antimicrobial, antihypertensive properties) rather than alternative protein development as substitutes for animal proteins in food, placing it outside the defined scope.</t>
  </si>
  <si>
    <t xml:space="preserve">Challenging… conflict with many exclusions. Leave for manual review.</t>
  </si>
  <si>
    <t xml:space="preserve">pub.1196485914</t>
  </si>
  <si>
    <t xml:space="preserve">Consumer‐Perceived Responsible Innovation: Scale Development and Its Influence on Adoption and Anticonsumption</t>
  </si>
  <si>
    <t xml:space="preserve">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</si>
  <si>
    <t xml:space="preserve">The study develops a consumer perception scale tested across multiple innovation contexts including cultured meat, making it partially in scope for alternative proteins, though cultured meat is one of several non-food innovation contexts used to validate the scale rather than the primary focus.</t>
  </si>
  <si>
    <t xml:space="preserve">pub.1196249573</t>
  </si>
  <si>
    <t xml:space="preserve">Techno-Fixes: On the Non-Disruptive Disruptions of Cultured Meat, Social Freezing and AI Assistants.</t>
  </si>
  <si>
    <t xml:space="preserve">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</si>
  <si>
    <t xml:space="preserve">This sociological analysis explicitly includes cultured meat as one of three case studies, examining its sociomaterial scripts and innovation processes, making it in scope as societal/policy research on cultivated meat.</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</si>
  <si>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</si>
  <si>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</si>
  <si>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</si>
  <si>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publication covers alternative proteins from legumes, microalgae, and fermentation for food and feed applications, which are substantively in scope despite also including insect proteins (which are not the sole focus).</t>
  </si>
  <si>
    <t xml:space="preserve">pub.1195931632</t>
  </si>
  <si>
    <t xml:space="preserve">Biomass and bioethanol production from pretreated mixed fruit peel hydrolysate using Saccharomyces cerevisiae strains at different pH and oxygen conditions</t>
  </si>
  <si>
    <t xml:space="preserve">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</si>
  <si>
    <t xml:space="preserve">The study investigates single-cell protein (SCP) production via biomass fermentation using Saccharomyces cerevisiae on fruit peel hydrolysate, which is directly relevant to fermentation-derived alternative proteins for human food.</t>
  </si>
  <si>
    <t xml:space="preserve">pub.1195697981</t>
  </si>
  <si>
    <t xml:space="preserve">Protein-Enriched Fruit Smoothies with Wet Spirulina Biomass: High-Pressure Processing (HPP) and Quality Stability Evaluation</t>
  </si>
  <si>
    <t xml:space="preserve">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</si>
  <si>
    <t xml:space="preserve">This publication directly concerns the use of Spirulina (a microalgae, classified as fermentation) and chickpea protein concentrate (plant-based) as alternative protein ingredients in a food product, with explicit focus on protein enrichment and non-animal protein sourcing.</t>
  </si>
  <si>
    <t xml:space="preserve">I agree with LLM for CC label</t>
  </si>
  <si>
    <t xml:space="preserve">pub.1195363103</t>
  </si>
  <si>
    <t xml:space="preserve">Pedoclimatic, knowledge and management factors drive European soybean and faba bean yields</t>
  </si>
  <si>
    <t xml:space="preserve">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</si>
  <si>
    <t xml:space="preserve">This publication focuses on agronomic yield gap research for soybean and faba bean, which are high-protein crops used as alternative protein feedstocks, making it in scope per the agronomic research boundary for high-protein crops.</t>
  </si>
  <si>
    <t xml:space="preserve">pub.1195267885</t>
  </si>
  <si>
    <t xml:space="preserve">Consumer-Oriented Perspectives for Sustainable Animal Products and Consumption</t>
  </si>
  <si>
    <t xml:space="preserve">Intensive livestock production faces scrutiny due to ethical and ecological concerns and is increasingly in need of transformation. Outlining the goal of “less but better” animal products as a driver for sustainability transformation, this chapter describes potential transformations within the livestock sector at a techno-science level and thereafter discusses the role consumers play in enabling sustainability transformation success. Using techno-science arguments as marketing tools is not sufficient to gain acceptance for and drive sustainability transformations in the intensive livestock sector. Consumer perspectives, including maintaining sector transparency, understanding price constraints, and overcoming habitual buying behavior, are essential for the success of sustainability transformations in the livestock sector. Due to forthcoming sector disruptions, such as advances in cellular agriculture, the livestock sector should focus on increasing extrinsic and intrinsic quality within its products while creating synergies with other sectors to continue to provide nutritious healthy food for all.</t>
  </si>
  <si>
    <t xml:space="preserve">This publication addresses consumer acceptance, sustainability transformation, and the disruption of conventional animal protein systems by alternative proteins including cellular agriculture, making it in scope as cross-cutting alternative protein research.</t>
  </si>
  <si>
    <t xml:space="preserve">Only one AP pillar incorrect</t>
  </si>
  <si>
    <t xml:space="preserve">metric</t>
  </si>
  <si>
    <t xml:space="preserve">value</t>
  </si>
  <si>
    <t xml:space="preserve">n</t>
  </si>
  <si>
    <t xml:space="preserve">scope_accuracy</t>
  </si>
  <si>
    <t xml:space="preserve">77%</t>
  </si>
  <si>
    <t xml:space="preserve">pillar_accuracy</t>
  </si>
  <si>
    <t xml:space="preserve">70%</t>
  </si>
  <si>
    <t xml:space="preserve">pillar_accuracy_both_in_scope</t>
  </si>
  <si>
    <t xml:space="preserve">91%</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</si>
</sst>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4">
    <fill>
      <patternFill patternType="none"/>
    </fill>
    <fill>
      <patternFill patternType="gray125"/>
    </fill>
    <fill>
      <patternFill patternType="solid">
        <fgColor rgb="FFFFFF00"/>
        <bgColor rgb="FFFFFF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4"/>
  <sheetViews>
    <sheetView showFormulas="false" showGridLines="true" showRowColHeaders="true" showZeros="true" rightToLeft="false" tabSelected="true" showOutlineSymbols="true" defaultGridColor="true" view="normal" topLeftCell="H1" colorId="64" zoomScale="100" zoomScaleNormal="100" zoomScalePageLayoutView="100" workbookViewId="0">
      <selection pane="topLeft" activeCell="Q11" activeCellId="0" sqref="Q11"/>
    </sheetView>
  </sheetViews>
  <sheetFormatPr defaultColWidth="8.34375" defaultRowHeight="15" customHeight="false" zeroHeight="false" outlineLevelRow="0" outlineLevelCol="0"/>
  <cols>
    <col collapsed="false" customWidth="false" hidden="false" outlineLevel="0" max="15" min="1" style="1" width="8.34"/>
    <col collapsed="false" customWidth="true" hidden="false" outlineLevel="0" max="18" min="17" style="2" width="24.99"/>
  </cols>
  <sheetData>
    <row r="1" customFormat="false" ht="1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c r="Q1" s="2" t="s">
        <v>15</v>
      </c>
      <c r="R1" s="2" t="s">
        <v>16</v>
      </c>
    </row>
    <row r="2" customFormat="false" ht="23.3" hidden="false" customHeight="false" outlineLevel="0" collapsed="false">
      <c r="A2" s="3" t="s">
        <v>17</v>
      </c>
      <c r="B2" s="3" t="s">
        <v>18</v>
      </c>
      <c r="C2" s="3" t="s">
        <v>19</v>
      </c>
      <c r="D2" s="3" t="s">
        <v>20</v>
      </c>
      <c r="E2" s="3" t="s">
        <v>20</v>
      </c>
      <c r="F2" s="3" t="n">
        <v>4</v>
      </c>
      <c r="G2" s="3" t="s">
        <v>21</v>
      </c>
      <c r="H2" s="4" t="b">
        <f aca="false">TRUE()</f>
        <v>1</v>
      </c>
      <c r="I2" s="3" t="s">
        <v>22</v>
      </c>
      <c r="J2" s="3" t="s">
        <v>22</v>
      </c>
      <c r="K2" s="4" t="b">
        <f aca="false">TRUE()</f>
        <v>1</v>
      </c>
      <c r="L2" s="4" t="b">
        <f aca="false">TRUE()</f>
        <v>1</v>
      </c>
      <c r="M2" s="4" t="b">
        <f aca="false">FALSE()</f>
        <v>0</v>
      </c>
      <c r="N2" s="4" t="b">
        <f aca="false">FALSE()</f>
        <v>0</v>
      </c>
      <c r="O2" s="4" t="b">
        <f aca="false">FALSE()</f>
        <v>0</v>
      </c>
      <c r="Q2" s="2" t="s">
        <v>23</v>
      </c>
    </row>
    <row r="3" customFormat="false" ht="23.3" hidden="false" customHeight="false" outlineLevel="0" collapsed="false">
      <c r="A3" s="3" t="s">
        <v>24</v>
      </c>
      <c r="B3" s="3" t="s">
        <v>25</v>
      </c>
      <c r="C3" s="3" t="s">
        <v>26</v>
      </c>
      <c r="D3" s="3" t="s">
        <v>20</v>
      </c>
      <c r="E3" s="3" t="s">
        <v>20</v>
      </c>
      <c r="F3" s="3" t="n">
        <v>5</v>
      </c>
      <c r="G3" s="3" t="s">
        <v>27</v>
      </c>
      <c r="H3" s="4" t="b">
        <f aca="false">TRUE()</f>
        <v>1</v>
      </c>
      <c r="I3" s="3" t="s">
        <v>22</v>
      </c>
      <c r="J3" s="3" t="s">
        <v>22</v>
      </c>
      <c r="K3" s="4" t="b">
        <f aca="false">TRUE()</f>
        <v>1</v>
      </c>
      <c r="L3" s="4" t="b">
        <f aca="false">TRUE()</f>
        <v>1</v>
      </c>
      <c r="M3" s="4" t="b">
        <f aca="false">FALSE()</f>
        <v>0</v>
      </c>
      <c r="N3" s="4" t="b">
        <f aca="false">FALSE()</f>
        <v>0</v>
      </c>
      <c r="O3" s="4" t="b">
        <f aca="false">FALSE()</f>
        <v>0</v>
      </c>
      <c r="Q3" s="2" t="s">
        <v>28</v>
      </c>
    </row>
    <row r="4" customFormat="false" ht="34.2" hidden="false" customHeight="false" outlineLevel="0" collapsed="false">
      <c r="A4" s="3" t="s">
        <v>29</v>
      </c>
      <c r="B4" s="3" t="s">
        <v>30</v>
      </c>
      <c r="C4" s="3" t="s">
        <v>31</v>
      </c>
      <c r="D4" s="3" t="s">
        <v>20</v>
      </c>
      <c r="E4" s="3" t="s">
        <v>20</v>
      </c>
      <c r="F4" s="3" t="n">
        <v>5</v>
      </c>
      <c r="G4" s="3" t="s">
        <v>32</v>
      </c>
      <c r="H4" s="4" t="b">
        <f aca="false">TRUE()</f>
        <v>1</v>
      </c>
      <c r="I4" s="3" t="s">
        <v>22</v>
      </c>
      <c r="J4" s="3" t="s">
        <v>33</v>
      </c>
      <c r="K4" s="5" t="b">
        <f aca="false">FALSE()</f>
        <v>0</v>
      </c>
      <c r="L4" s="4" t="b">
        <f aca="false">TRUE()</f>
        <v>1</v>
      </c>
      <c r="M4" s="4" t="b">
        <f aca="false">TRUE()</f>
        <v>1</v>
      </c>
      <c r="N4" s="4" t="b">
        <f aca="false">FALSE()</f>
        <v>0</v>
      </c>
      <c r="O4" s="4" t="b">
        <f aca="false">FALSE()</f>
        <v>0</v>
      </c>
      <c r="Q4" s="2" t="s">
        <v>28</v>
      </c>
      <c r="R4" s="6" t="s">
        <v>34</v>
      </c>
    </row>
    <row r="5" customFormat="false" ht="23.3" hidden="false" customHeight="false" outlineLevel="0" collapsed="false">
      <c r="A5" s="3" t="s">
        <v>35</v>
      </c>
      <c r="B5" s="3" t="s">
        <v>36</v>
      </c>
      <c r="C5" s="7" t="s">
        <v>37</v>
      </c>
      <c r="D5" s="3" t="s">
        <v>20</v>
      </c>
      <c r="E5" s="3" t="s">
        <v>20</v>
      </c>
      <c r="F5" s="3" t="n">
        <v>5</v>
      </c>
      <c r="G5" s="3" t="s">
        <v>38</v>
      </c>
      <c r="H5" s="4" t="b">
        <f aca="false">TRUE()</f>
        <v>1</v>
      </c>
      <c r="I5" s="3" t="s">
        <v>22</v>
      </c>
      <c r="J5" s="3" t="s">
        <v>22</v>
      </c>
      <c r="K5" s="4" t="b">
        <f aca="false">TRUE()</f>
        <v>1</v>
      </c>
      <c r="L5" s="4" t="b">
        <f aca="false">TRUE()</f>
        <v>1</v>
      </c>
      <c r="M5" s="4" t="b">
        <f aca="false">FALSE()</f>
        <v>0</v>
      </c>
      <c r="N5" s="4" t="b">
        <f aca="false">FALSE()</f>
        <v>0</v>
      </c>
      <c r="O5" s="4" t="b">
        <f aca="false">FALSE()</f>
        <v>0</v>
      </c>
    </row>
    <row r="6" customFormat="false" ht="15" hidden="false" customHeight="false" outlineLevel="0" collapsed="false">
      <c r="A6" s="3" t="s">
        <v>39</v>
      </c>
      <c r="B6" s="3" t="s">
        <v>40</v>
      </c>
      <c r="C6" s="3" t="s">
        <v>41</v>
      </c>
      <c r="D6" s="3" t="s">
        <v>20</v>
      </c>
      <c r="E6" s="3" t="s">
        <v>20</v>
      </c>
      <c r="F6" s="3" t="n">
        <v>3</v>
      </c>
      <c r="G6" s="3" t="s">
        <v>42</v>
      </c>
      <c r="H6" s="4" t="b">
        <f aca="false">TRUE()</f>
        <v>1</v>
      </c>
      <c r="I6" s="3" t="s">
        <v>22</v>
      </c>
      <c r="J6" s="3" t="s">
        <v>22</v>
      </c>
      <c r="K6" s="4" t="b">
        <f aca="false">TRUE()</f>
        <v>1</v>
      </c>
      <c r="L6" s="4" t="b">
        <f aca="false">TRUE()</f>
        <v>1</v>
      </c>
      <c r="M6" s="4" t="b">
        <f aca="false">FALSE()</f>
        <v>0</v>
      </c>
      <c r="N6" s="4" t="b">
        <f aca="false">FALSE()</f>
        <v>0</v>
      </c>
      <c r="O6" s="4" t="b">
        <f aca="false">FALSE()</f>
        <v>0</v>
      </c>
    </row>
    <row r="7" customFormat="false" ht="15" hidden="false" customHeight="false" outlineLevel="0" collapsed="false">
      <c r="A7" s="3" t="s">
        <v>43</v>
      </c>
      <c r="B7" s="3" t="s">
        <v>44</v>
      </c>
      <c r="C7" s="3" t="s">
        <v>45</v>
      </c>
      <c r="D7" s="3" t="s">
        <v>20</v>
      </c>
      <c r="E7" s="3" t="s">
        <v>20</v>
      </c>
      <c r="F7" s="3" t="n">
        <v>4</v>
      </c>
      <c r="G7" s="3" t="s">
        <v>46</v>
      </c>
      <c r="H7" s="4" t="b">
        <f aca="false">TRUE()</f>
        <v>1</v>
      </c>
      <c r="I7" s="3" t="s">
        <v>22</v>
      </c>
      <c r="J7" s="3" t="s">
        <v>22</v>
      </c>
      <c r="K7" s="4" t="b">
        <f aca="false">TRUE()</f>
        <v>1</v>
      </c>
      <c r="L7" s="4" t="b">
        <f aca="false">TRUE()</f>
        <v>1</v>
      </c>
      <c r="M7" s="4" t="b">
        <f aca="false">FALSE()</f>
        <v>0</v>
      </c>
      <c r="N7" s="4" t="b">
        <f aca="false">FALSE()</f>
        <v>0</v>
      </c>
      <c r="O7" s="4" t="b">
        <f aca="false">FALSE()</f>
        <v>0</v>
      </c>
    </row>
    <row r="8" customFormat="false" ht="15" hidden="false" customHeight="false" outlineLevel="0" collapsed="false">
      <c r="A8" s="3" t="s">
        <v>47</v>
      </c>
      <c r="B8" s="3" t="s">
        <v>48</v>
      </c>
      <c r="C8" s="3" t="s">
        <v>49</v>
      </c>
      <c r="D8" s="3" t="s">
        <v>20</v>
      </c>
      <c r="E8" s="3" t="s">
        <v>20</v>
      </c>
      <c r="F8" s="3" t="n">
        <v>4</v>
      </c>
      <c r="G8" s="3" t="s">
        <v>50</v>
      </c>
      <c r="H8" s="4" t="b">
        <f aca="false">TRUE()</f>
        <v>1</v>
      </c>
      <c r="I8" s="3" t="s">
        <v>22</v>
      </c>
      <c r="J8" s="3" t="s">
        <v>22</v>
      </c>
      <c r="K8" s="4" t="b">
        <f aca="false">TRUE()</f>
        <v>1</v>
      </c>
      <c r="L8" s="4" t="b">
        <f aca="false">TRUE()</f>
        <v>1</v>
      </c>
      <c r="M8" s="4" t="b">
        <f aca="false">FALSE()</f>
        <v>0</v>
      </c>
      <c r="N8" s="4" t="b">
        <f aca="false">FALSE()</f>
        <v>0</v>
      </c>
      <c r="O8" s="4" t="b">
        <f aca="false">FALSE()</f>
        <v>0</v>
      </c>
      <c r="Q8" s="2" t="s">
        <v>51</v>
      </c>
    </row>
    <row r="9" customFormat="false" ht="15" hidden="false" customHeight="false" outlineLevel="0" collapsed="false">
      <c r="A9" s="3" t="s">
        <v>52</v>
      </c>
      <c r="B9" s="3" t="s">
        <v>53</v>
      </c>
      <c r="C9" s="3" t="s">
        <v>54</v>
      </c>
      <c r="D9" s="3" t="s">
        <v>20</v>
      </c>
      <c r="E9" s="3" t="s">
        <v>20</v>
      </c>
      <c r="F9" s="3" t="n">
        <v>4</v>
      </c>
      <c r="G9" s="3" t="s">
        <v>55</v>
      </c>
      <c r="H9" s="4" t="b">
        <f aca="false">TRUE()</f>
        <v>1</v>
      </c>
      <c r="I9" s="3" t="s">
        <v>33</v>
      </c>
      <c r="J9" s="3" t="s">
        <v>33</v>
      </c>
      <c r="K9" s="4" t="b">
        <f aca="false">TRUE()</f>
        <v>1</v>
      </c>
      <c r="L9" s="4" t="b">
        <f aca="false">TRUE()</f>
        <v>1</v>
      </c>
      <c r="M9" s="4" t="b">
        <f aca="false">FALSE()</f>
        <v>0</v>
      </c>
      <c r="N9" s="4" t="b">
        <f aca="false">TRUE()</f>
        <v>1</v>
      </c>
      <c r="O9" s="4" t="b">
        <f aca="false">FALSE()</f>
        <v>0</v>
      </c>
    </row>
    <row r="10" customFormat="false" ht="15" hidden="false" customHeight="false" outlineLevel="0" collapsed="false">
      <c r="A10" s="3" t="s">
        <v>56</v>
      </c>
      <c r="B10" s="3" t="s">
        <v>57</v>
      </c>
      <c r="C10" s="3" t="s">
        <v>58</v>
      </c>
      <c r="D10" s="3" t="s">
        <v>20</v>
      </c>
      <c r="E10" s="3" t="s">
        <v>20</v>
      </c>
      <c r="F10" s="3" t="n">
        <v>4</v>
      </c>
      <c r="G10" s="3" t="s">
        <v>59</v>
      </c>
      <c r="H10" s="4" t="b">
        <f aca="false">TRUE()</f>
        <v>1</v>
      </c>
      <c r="I10" s="3" t="s">
        <v>33</v>
      </c>
      <c r="J10" s="3" t="s">
        <v>33</v>
      </c>
      <c r="K10" s="4" t="b">
        <f aca="false">TRUE()</f>
        <v>1</v>
      </c>
      <c r="L10" s="4" t="b">
        <f aca="false">FALSE()</f>
        <v>0</v>
      </c>
      <c r="M10" s="4" t="b">
        <f aca="false">FALSE()</f>
        <v>0</v>
      </c>
      <c r="N10" s="4" t="b">
        <f aca="false">FALSE()</f>
        <v>0</v>
      </c>
      <c r="O10" s="4" t="b">
        <f aca="false">TRUE()</f>
        <v>1</v>
      </c>
    </row>
    <row r="11" customFormat="false" ht="15" hidden="false" customHeight="false" outlineLevel="0" collapsed="false">
      <c r="A11" s="3" t="s">
        <v>60</v>
      </c>
      <c r="B11" s="3" t="s">
        <v>61</v>
      </c>
      <c r="C11" s="3" t="s">
        <v>62</v>
      </c>
      <c r="D11" s="3" t="s">
        <v>20</v>
      </c>
      <c r="E11" s="3" t="s">
        <v>20</v>
      </c>
      <c r="F11" s="3" t="n">
        <v>5</v>
      </c>
      <c r="G11" s="3" t="s">
        <v>63</v>
      </c>
      <c r="H11" s="4" t="b">
        <f aca="false">TRUE()</f>
        <v>1</v>
      </c>
      <c r="I11" s="3" t="s">
        <v>22</v>
      </c>
      <c r="J11" s="3" t="s">
        <v>22</v>
      </c>
      <c r="K11" s="4" t="b">
        <f aca="false">TRUE()</f>
        <v>1</v>
      </c>
      <c r="L11" s="4" t="b">
        <f aca="false">TRUE()</f>
        <v>1</v>
      </c>
      <c r="M11" s="4" t="b">
        <f aca="false">FALSE()</f>
        <v>0</v>
      </c>
      <c r="N11" s="4" t="b">
        <f aca="false">FALSE()</f>
        <v>0</v>
      </c>
      <c r="O11" s="4" t="b">
        <f aca="false">FALSE()</f>
        <v>0</v>
      </c>
    </row>
    <row r="12" customFormat="false" ht="15" hidden="false" customHeight="false" outlineLevel="0" collapsed="false">
      <c r="A12" s="3" t="s">
        <v>64</v>
      </c>
      <c r="B12" s="3" t="s">
        <v>65</v>
      </c>
      <c r="C12" s="3" t="s">
        <v>66</v>
      </c>
      <c r="D12" s="3" t="s">
        <v>20</v>
      </c>
      <c r="E12" s="3" t="s">
        <v>20</v>
      </c>
      <c r="F12" s="3" t="n">
        <v>4</v>
      </c>
      <c r="G12" s="3" t="s">
        <v>67</v>
      </c>
      <c r="H12" s="4" t="b">
        <f aca="false">TRUE()</f>
        <v>1</v>
      </c>
      <c r="I12" s="3" t="s">
        <v>68</v>
      </c>
      <c r="J12" s="3" t="s">
        <v>68</v>
      </c>
      <c r="K12" s="4" t="b">
        <f aca="false">TRUE()</f>
        <v>1</v>
      </c>
      <c r="L12" s="4" t="b">
        <f aca="false">FALSE()</f>
        <v>0</v>
      </c>
      <c r="M12" s="4" t="b">
        <f aca="false">TRUE()</f>
        <v>1</v>
      </c>
      <c r="N12" s="4" t="b">
        <f aca="false">FALSE()</f>
        <v>0</v>
      </c>
      <c r="O12" s="4" t="b">
        <f aca="false">FALSE()</f>
        <v>0</v>
      </c>
    </row>
    <row r="13" customFormat="false" ht="15" hidden="false" customHeight="false" outlineLevel="0" collapsed="false">
      <c r="A13" s="3" t="s">
        <v>69</v>
      </c>
      <c r="B13" s="3" t="s">
        <v>70</v>
      </c>
      <c r="C13" s="3" t="s">
        <v>71</v>
      </c>
      <c r="D13" s="3" t="s">
        <v>20</v>
      </c>
      <c r="E13" s="3" t="s">
        <v>20</v>
      </c>
      <c r="F13" s="3" t="n">
        <v>5</v>
      </c>
      <c r="G13" s="3" t="s">
        <v>72</v>
      </c>
      <c r="H13" s="4" t="b">
        <f aca="false">TRUE()</f>
        <v>1</v>
      </c>
      <c r="I13" s="3" t="s">
        <v>22</v>
      </c>
      <c r="J13" s="3" t="s">
        <v>22</v>
      </c>
      <c r="K13" s="4" t="b">
        <f aca="false">TRUE()</f>
        <v>1</v>
      </c>
      <c r="L13" s="4" t="b">
        <f aca="false">TRUE()</f>
        <v>1</v>
      </c>
      <c r="M13" s="4" t="b">
        <f aca="false">FALSE()</f>
        <v>0</v>
      </c>
      <c r="N13" s="4" t="b">
        <f aca="false">FALSE()</f>
        <v>0</v>
      </c>
      <c r="O13" s="4" t="b">
        <f aca="false">FALSE()</f>
        <v>0</v>
      </c>
    </row>
    <row r="14" customFormat="false" ht="15" hidden="false" customHeight="false" outlineLevel="0" collapsed="false">
      <c r="A14" s="3" t="s">
        <v>73</v>
      </c>
      <c r="B14" s="3" t="s">
        <v>74</v>
      </c>
      <c r="C14" s="3" t="s">
        <v>75</v>
      </c>
      <c r="D14" s="3" t="s">
        <v>20</v>
      </c>
      <c r="E14" s="3" t="s">
        <v>20</v>
      </c>
      <c r="F14" s="3" t="n">
        <v>4</v>
      </c>
      <c r="G14" s="3" t="s">
        <v>76</v>
      </c>
      <c r="H14" s="4" t="b">
        <f aca="false">TRUE()</f>
        <v>1</v>
      </c>
      <c r="I14" s="3" t="s">
        <v>33</v>
      </c>
      <c r="J14" s="3" t="s">
        <v>33</v>
      </c>
      <c r="K14" s="4" t="b">
        <f aca="false">TRUE()</f>
        <v>1</v>
      </c>
      <c r="L14" s="4" t="b">
        <f aca="false">TRUE()</f>
        <v>1</v>
      </c>
      <c r="M14" s="4" t="b">
        <f aca="false">TRUE()</f>
        <v>1</v>
      </c>
      <c r="N14" s="4" t="b">
        <f aca="false">FALSE()</f>
        <v>0</v>
      </c>
      <c r="O14" s="4" t="b">
        <f aca="false">FALSE()</f>
        <v>0</v>
      </c>
    </row>
    <row r="15" customFormat="false" ht="45.1" hidden="false" customHeight="false" outlineLevel="0" collapsed="false">
      <c r="A15" s="3" t="s">
        <v>77</v>
      </c>
      <c r="B15" s="3" t="s">
        <v>78</v>
      </c>
      <c r="C15" s="3" t="s">
        <v>79</v>
      </c>
      <c r="D15" s="3" t="s">
        <v>20</v>
      </c>
      <c r="E15" s="3" t="s">
        <v>80</v>
      </c>
      <c r="F15" s="8" t="n">
        <v>2</v>
      </c>
      <c r="G15" s="3" t="s">
        <v>81</v>
      </c>
      <c r="H15" s="5" t="b">
        <f aca="false">FALSE()</f>
        <v>0</v>
      </c>
      <c r="I15" s="3" t="s">
        <v>22</v>
      </c>
      <c r="J15" s="3" t="s">
        <v>82</v>
      </c>
      <c r="K15" s="5" t="b">
        <f aca="false">FALSE()</f>
        <v>0</v>
      </c>
      <c r="L15" s="4" t="b">
        <f aca="false">FALSE()</f>
        <v>0</v>
      </c>
      <c r="M15" s="4" t="b">
        <f aca="false">FALSE()</f>
        <v>0</v>
      </c>
      <c r="N15" s="4" t="b">
        <f aca="false">FALSE()</f>
        <v>0</v>
      </c>
      <c r="O15" s="4" t="b">
        <f aca="false">FALSE()</f>
        <v>0</v>
      </c>
      <c r="Q15" s="2" t="s">
        <v>83</v>
      </c>
    </row>
    <row r="16" customFormat="false" ht="56" hidden="false" customHeight="false" outlineLevel="0" collapsed="false">
      <c r="A16" s="3" t="s">
        <v>84</v>
      </c>
      <c r="B16" s="3" t="s">
        <v>85</v>
      </c>
      <c r="C16" s="3" t="s">
        <v>86</v>
      </c>
      <c r="D16" s="3" t="s">
        <v>20</v>
      </c>
      <c r="E16" s="3" t="s">
        <v>80</v>
      </c>
      <c r="F16" s="8" t="n">
        <v>2</v>
      </c>
      <c r="G16" s="3" t="s">
        <v>87</v>
      </c>
      <c r="H16" s="5" t="b">
        <f aca="false">FALSE()</f>
        <v>0</v>
      </c>
      <c r="I16" s="3" t="s">
        <v>33</v>
      </c>
      <c r="J16" s="3" t="s">
        <v>82</v>
      </c>
      <c r="K16" s="5" t="b">
        <f aca="false">FALSE()</f>
        <v>0</v>
      </c>
      <c r="L16" s="4" t="b">
        <f aca="false">FALSE()</f>
        <v>0</v>
      </c>
      <c r="M16" s="4" t="b">
        <f aca="false">FALSE()</f>
        <v>0</v>
      </c>
      <c r="N16" s="4" t="b">
        <f aca="false">FALSE()</f>
        <v>0</v>
      </c>
      <c r="O16" s="4" t="b">
        <f aca="false">FALSE()</f>
        <v>0</v>
      </c>
      <c r="Q16" s="2" t="s">
        <v>88</v>
      </c>
    </row>
    <row r="17" customFormat="false" ht="15" hidden="false" customHeight="false" outlineLevel="0" collapsed="false">
      <c r="A17" s="3" t="s">
        <v>89</v>
      </c>
      <c r="B17" s="3" t="s">
        <v>90</v>
      </c>
      <c r="C17" s="3" t="s">
        <v>91</v>
      </c>
      <c r="D17" s="3" t="s">
        <v>20</v>
      </c>
      <c r="E17" s="3" t="s">
        <v>20</v>
      </c>
      <c r="F17" s="3" t="n">
        <v>4</v>
      </c>
      <c r="G17" s="3" t="s">
        <v>92</v>
      </c>
      <c r="H17" s="4" t="b">
        <f aca="false">TRUE()</f>
        <v>1</v>
      </c>
      <c r="I17" s="3" t="s">
        <v>22</v>
      </c>
      <c r="J17" s="3" t="s">
        <v>22</v>
      </c>
      <c r="K17" s="4" t="b">
        <f aca="false">TRUE()</f>
        <v>1</v>
      </c>
      <c r="L17" s="4" t="b">
        <f aca="false">TRUE()</f>
        <v>1</v>
      </c>
      <c r="M17" s="4" t="b">
        <f aca="false">FALSE()</f>
        <v>0</v>
      </c>
      <c r="N17" s="4" t="b">
        <f aca="false">FALSE()</f>
        <v>0</v>
      </c>
      <c r="O17" s="4" t="b">
        <f aca="false">FALSE()</f>
        <v>0</v>
      </c>
    </row>
    <row r="18" customFormat="false" ht="45.1" hidden="false" customHeight="false" outlineLevel="0" collapsed="false">
      <c r="A18" s="3" t="s">
        <v>93</v>
      </c>
      <c r="B18" s="3" t="s">
        <v>94</v>
      </c>
      <c r="C18" s="3" t="s">
        <v>95</v>
      </c>
      <c r="D18" s="3" t="s">
        <v>20</v>
      </c>
      <c r="E18" s="3" t="s">
        <v>80</v>
      </c>
      <c r="F18" s="8" t="n">
        <v>2</v>
      </c>
      <c r="G18" s="3" t="s">
        <v>96</v>
      </c>
      <c r="H18" s="5" t="b">
        <f aca="false">FALSE()</f>
        <v>0</v>
      </c>
      <c r="I18" s="3" t="s">
        <v>97</v>
      </c>
      <c r="J18" s="3" t="s">
        <v>82</v>
      </c>
      <c r="K18" s="5" t="b">
        <f aca="false">FALSE()</f>
        <v>0</v>
      </c>
      <c r="L18" s="4" t="b">
        <f aca="false">FALSE()</f>
        <v>0</v>
      </c>
      <c r="M18" s="4" t="b">
        <f aca="false">FALSE()</f>
        <v>0</v>
      </c>
      <c r="N18" s="4" t="b">
        <f aca="false">FALSE()</f>
        <v>0</v>
      </c>
      <c r="O18" s="4" t="b">
        <f aca="false">FALSE()</f>
        <v>0</v>
      </c>
      <c r="Q18" s="2" t="s">
        <v>98</v>
      </c>
    </row>
    <row r="19" customFormat="false" ht="34.2" hidden="false" customHeight="false" outlineLevel="0" collapsed="false">
      <c r="A19" s="3" t="s">
        <v>99</v>
      </c>
      <c r="B19" s="3" t="s">
        <v>100</v>
      </c>
      <c r="C19" s="3" t="s">
        <v>101</v>
      </c>
      <c r="D19" s="3" t="s">
        <v>20</v>
      </c>
      <c r="E19" s="3" t="s">
        <v>80</v>
      </c>
      <c r="F19" s="8" t="n">
        <v>2</v>
      </c>
      <c r="G19" s="3" t="s">
        <v>102</v>
      </c>
      <c r="H19" s="5" t="b">
        <f aca="false">FALSE()</f>
        <v>0</v>
      </c>
      <c r="I19" s="3" t="s">
        <v>22</v>
      </c>
      <c r="J19" s="3" t="s">
        <v>82</v>
      </c>
      <c r="K19" s="5" t="b">
        <f aca="false">FALSE()</f>
        <v>0</v>
      </c>
      <c r="L19" s="4" t="b">
        <f aca="false">FALSE()</f>
        <v>0</v>
      </c>
      <c r="M19" s="4" t="b">
        <f aca="false">FALSE()</f>
        <v>0</v>
      </c>
      <c r="N19" s="4" t="b">
        <f aca="false">FALSE()</f>
        <v>0</v>
      </c>
      <c r="O19" s="4" t="b">
        <f aca="false">FALSE()</f>
        <v>0</v>
      </c>
      <c r="Q19" s="2" t="s">
        <v>103</v>
      </c>
    </row>
    <row r="20" customFormat="false" ht="15" hidden="false" customHeight="false" outlineLevel="0" collapsed="false">
      <c r="A20" s="3" t="s">
        <v>104</v>
      </c>
      <c r="B20" s="3" t="s">
        <v>105</v>
      </c>
      <c r="C20" s="3" t="s">
        <v>106</v>
      </c>
      <c r="D20" s="3" t="s">
        <v>20</v>
      </c>
      <c r="E20" s="3" t="s">
        <v>20</v>
      </c>
      <c r="F20" s="3" t="n">
        <v>5</v>
      </c>
      <c r="G20" s="3" t="s">
        <v>107</v>
      </c>
      <c r="H20" s="4" t="b">
        <f aca="false">TRUE()</f>
        <v>1</v>
      </c>
      <c r="I20" s="3" t="s">
        <v>22</v>
      </c>
      <c r="J20" s="3" t="s">
        <v>22</v>
      </c>
      <c r="K20" s="4" t="b">
        <f aca="false">TRUE()</f>
        <v>1</v>
      </c>
      <c r="L20" s="4" t="b">
        <f aca="false">TRUE()</f>
        <v>1</v>
      </c>
      <c r="M20" s="4" t="b">
        <f aca="false">FALSE()</f>
        <v>0</v>
      </c>
      <c r="N20" s="4" t="b">
        <f aca="false">FALSE()</f>
        <v>0</v>
      </c>
      <c r="O20" s="4" t="b">
        <f aca="false">FALSE()</f>
        <v>0</v>
      </c>
    </row>
    <row r="21" customFormat="false" ht="45.1" hidden="false" customHeight="false" outlineLevel="0" collapsed="false">
      <c r="A21" s="3" t="s">
        <v>108</v>
      </c>
      <c r="B21" s="3" t="s">
        <v>109</v>
      </c>
      <c r="C21" s="3" t="s">
        <v>110</v>
      </c>
      <c r="D21" s="3" t="s">
        <v>20</v>
      </c>
      <c r="E21" s="3" t="s">
        <v>80</v>
      </c>
      <c r="F21" s="8" t="n">
        <v>2</v>
      </c>
      <c r="G21" s="3" t="s">
        <v>111</v>
      </c>
      <c r="H21" s="5" t="b">
        <f aca="false">FALSE()</f>
        <v>0</v>
      </c>
      <c r="I21" s="3" t="s">
        <v>22</v>
      </c>
      <c r="J21" s="3" t="s">
        <v>82</v>
      </c>
      <c r="K21" s="5" t="b">
        <f aca="false">FALSE()</f>
        <v>0</v>
      </c>
      <c r="L21" s="4" t="b">
        <f aca="false">FALSE()</f>
        <v>0</v>
      </c>
      <c r="M21" s="4" t="b">
        <f aca="false">FALSE()</f>
        <v>0</v>
      </c>
      <c r="N21" s="4" t="b">
        <f aca="false">FALSE()</f>
        <v>0</v>
      </c>
      <c r="O21" s="4" t="b">
        <f aca="false">FALSE()</f>
        <v>0</v>
      </c>
      <c r="Q21" s="2" t="s">
        <v>112</v>
      </c>
    </row>
    <row r="22" customFormat="false" ht="15" hidden="false" customHeight="false" outlineLevel="0" collapsed="false">
      <c r="A22" s="3" t="s">
        <v>113</v>
      </c>
      <c r="B22" s="3" t="s">
        <v>114</v>
      </c>
      <c r="D22" s="3" t="s">
        <v>20</v>
      </c>
      <c r="E22" s="3" t="s">
        <v>80</v>
      </c>
      <c r="F22" s="3" t="n">
        <v>2</v>
      </c>
      <c r="G22" s="3" t="s">
        <v>115</v>
      </c>
      <c r="H22" s="8" t="b">
        <f aca="false">FALSE()</f>
        <v>0</v>
      </c>
      <c r="I22" s="3" t="s">
        <v>22</v>
      </c>
      <c r="J22" s="3" t="s">
        <v>82</v>
      </c>
      <c r="K22" s="5" t="b">
        <f aca="false">FALSE()</f>
        <v>0</v>
      </c>
      <c r="L22" s="4" t="b">
        <f aca="false">FALSE()</f>
        <v>0</v>
      </c>
      <c r="M22" s="4" t="b">
        <f aca="false">FALSE()</f>
        <v>0</v>
      </c>
      <c r="N22" s="4" t="b">
        <f aca="false">FALSE()</f>
        <v>0</v>
      </c>
      <c r="O22" s="4" t="b">
        <f aca="false">FALSE()</f>
        <v>0</v>
      </c>
    </row>
    <row r="23" customFormat="false" ht="15" hidden="false" customHeight="false" outlineLevel="0" collapsed="false">
      <c r="A23" s="3" t="s">
        <v>116</v>
      </c>
      <c r="B23" s="3" t="s">
        <v>117</v>
      </c>
      <c r="C23" s="3" t="s">
        <v>118</v>
      </c>
      <c r="D23" s="3" t="s">
        <v>20</v>
      </c>
      <c r="E23" s="3" t="s">
        <v>20</v>
      </c>
      <c r="F23" s="3" t="n">
        <v>4</v>
      </c>
      <c r="G23" s="3" t="s">
        <v>119</v>
      </c>
      <c r="H23" s="4" t="b">
        <f aca="false">TRUE()</f>
        <v>1</v>
      </c>
      <c r="I23" s="3" t="s">
        <v>33</v>
      </c>
      <c r="J23" s="3" t="s">
        <v>33</v>
      </c>
      <c r="K23" s="4" t="b">
        <f aca="false">TRUE()</f>
        <v>1</v>
      </c>
      <c r="L23" s="4" t="b">
        <f aca="false">TRUE()</f>
        <v>1</v>
      </c>
      <c r="M23" s="4" t="b">
        <f aca="false">TRUE()</f>
        <v>1</v>
      </c>
      <c r="N23" s="4" t="b">
        <f aca="false">FALSE()</f>
        <v>0</v>
      </c>
      <c r="O23" s="4" t="b">
        <f aca="false">FALSE()</f>
        <v>0</v>
      </c>
    </row>
    <row r="24" customFormat="false" ht="34.2" hidden="false" customHeight="false" outlineLevel="0" collapsed="false">
      <c r="A24" s="3" t="s">
        <v>120</v>
      </c>
      <c r="B24" s="3" t="s">
        <v>121</v>
      </c>
      <c r="C24" s="3" t="s">
        <v>122</v>
      </c>
      <c r="D24" s="3" t="s">
        <v>20</v>
      </c>
      <c r="E24" s="3" t="s">
        <v>80</v>
      </c>
      <c r="F24" s="8" t="n">
        <v>2</v>
      </c>
      <c r="G24" s="3" t="s">
        <v>123</v>
      </c>
      <c r="H24" s="5" t="b">
        <f aca="false">FALSE()</f>
        <v>0</v>
      </c>
      <c r="I24" s="3" t="s">
        <v>22</v>
      </c>
      <c r="J24" s="3" t="s">
        <v>82</v>
      </c>
      <c r="K24" s="5" t="b">
        <f aca="false">FALSE()</f>
        <v>0</v>
      </c>
      <c r="L24" s="4" t="b">
        <f aca="false">FALSE()</f>
        <v>0</v>
      </c>
      <c r="M24" s="4" t="b">
        <f aca="false">FALSE()</f>
        <v>0</v>
      </c>
      <c r="N24" s="4" t="b">
        <f aca="false">FALSE()</f>
        <v>0</v>
      </c>
      <c r="O24" s="4" t="b">
        <f aca="false">FALSE()</f>
        <v>0</v>
      </c>
      <c r="Q24" s="2" t="s">
        <v>124</v>
      </c>
    </row>
    <row r="25" customFormat="false" ht="15" hidden="false" customHeight="false" outlineLevel="0" collapsed="false">
      <c r="A25" s="3" t="s">
        <v>125</v>
      </c>
      <c r="B25" s="3" t="s">
        <v>126</v>
      </c>
      <c r="C25" s="3" t="s">
        <v>127</v>
      </c>
      <c r="D25" s="3" t="s">
        <v>20</v>
      </c>
      <c r="E25" s="3" t="s">
        <v>20</v>
      </c>
      <c r="F25" s="3" t="n">
        <v>3</v>
      </c>
      <c r="G25" s="3" t="s">
        <v>128</v>
      </c>
      <c r="H25" s="4" t="b">
        <f aca="false">TRUE()</f>
        <v>1</v>
      </c>
      <c r="I25" s="3" t="s">
        <v>97</v>
      </c>
      <c r="J25" s="3" t="s">
        <v>97</v>
      </c>
      <c r="K25" s="4" t="b">
        <f aca="false">TRUE()</f>
        <v>1</v>
      </c>
      <c r="L25" s="4" t="b">
        <f aca="false">FALSE()</f>
        <v>0</v>
      </c>
      <c r="M25" s="4" t="b">
        <f aca="false">FALSE()</f>
        <v>0</v>
      </c>
      <c r="N25" s="4" t="b">
        <f aca="false">TRUE()</f>
        <v>1</v>
      </c>
      <c r="O25" s="4" t="b">
        <f aca="false">FALSE()</f>
        <v>0</v>
      </c>
    </row>
    <row r="26" customFormat="false" ht="15" hidden="false" customHeight="false" outlineLevel="0" collapsed="false">
      <c r="A26" s="3" t="s">
        <v>129</v>
      </c>
      <c r="B26" s="3" t="s">
        <v>130</v>
      </c>
      <c r="C26" s="3" t="s">
        <v>131</v>
      </c>
      <c r="D26" s="3" t="s">
        <v>20</v>
      </c>
      <c r="E26" s="3" t="s">
        <v>20</v>
      </c>
      <c r="F26" s="3" t="n">
        <v>4</v>
      </c>
      <c r="G26" s="3" t="s">
        <v>132</v>
      </c>
      <c r="H26" s="4" t="b">
        <f aca="false">TRUE()</f>
        <v>1</v>
      </c>
      <c r="I26" s="3" t="s">
        <v>97</v>
      </c>
      <c r="J26" s="3" t="s">
        <v>97</v>
      </c>
      <c r="K26" s="4" t="b">
        <f aca="false">TRUE()</f>
        <v>1</v>
      </c>
      <c r="L26" s="4" t="b">
        <f aca="false">FALSE()</f>
        <v>0</v>
      </c>
      <c r="M26" s="4" t="b">
        <f aca="false">FALSE()</f>
        <v>0</v>
      </c>
      <c r="N26" s="4" t="b">
        <f aca="false">TRUE()</f>
        <v>1</v>
      </c>
      <c r="O26" s="4" t="b">
        <f aca="false">FALSE()</f>
        <v>0</v>
      </c>
    </row>
    <row r="27" customFormat="false" ht="15" hidden="false" customHeight="false" outlineLevel="0" collapsed="false">
      <c r="A27" s="3" t="s">
        <v>133</v>
      </c>
      <c r="B27" s="3" t="s">
        <v>134</v>
      </c>
      <c r="C27" s="3" t="s">
        <v>135</v>
      </c>
      <c r="D27" s="3" t="s">
        <v>20</v>
      </c>
      <c r="E27" s="3" t="s">
        <v>20</v>
      </c>
      <c r="F27" s="3" t="n">
        <v>4</v>
      </c>
      <c r="G27" s="3" t="s">
        <v>136</v>
      </c>
      <c r="H27" s="4" t="b">
        <f aca="false">TRUE()</f>
        <v>1</v>
      </c>
      <c r="I27" s="3" t="s">
        <v>33</v>
      </c>
      <c r="J27" s="3" t="s">
        <v>33</v>
      </c>
      <c r="K27" s="4" t="b">
        <f aca="false">TRUE()</f>
        <v>1</v>
      </c>
      <c r="L27" s="4" t="b">
        <f aca="false">TRUE()</f>
        <v>1</v>
      </c>
      <c r="M27" s="4" t="b">
        <f aca="false">TRUE()</f>
        <v>1</v>
      </c>
      <c r="N27" s="4" t="b">
        <f aca="false">FALSE()</f>
        <v>0</v>
      </c>
      <c r="O27" s="4" t="b">
        <f aca="false">FALSE()</f>
        <v>0</v>
      </c>
    </row>
    <row r="28" customFormat="false" ht="15" hidden="false" customHeight="false" outlineLevel="0" collapsed="false">
      <c r="A28" s="3" t="s">
        <v>137</v>
      </c>
      <c r="B28" s="3" t="s">
        <v>138</v>
      </c>
      <c r="C28" s="3" t="s">
        <v>139</v>
      </c>
      <c r="D28" s="3" t="s">
        <v>20</v>
      </c>
      <c r="E28" s="3" t="s">
        <v>20</v>
      </c>
      <c r="F28" s="3" t="n">
        <v>4</v>
      </c>
      <c r="G28" s="3" t="s">
        <v>140</v>
      </c>
      <c r="H28" s="4" t="b">
        <f aca="false">TRUE()</f>
        <v>1</v>
      </c>
      <c r="I28" s="3" t="s">
        <v>68</v>
      </c>
      <c r="J28" s="3" t="s">
        <v>68</v>
      </c>
      <c r="K28" s="4" t="b">
        <f aca="false">TRUE()</f>
        <v>1</v>
      </c>
      <c r="L28" s="4" t="b">
        <f aca="false">FALSE()</f>
        <v>0</v>
      </c>
      <c r="M28" s="4" t="b">
        <f aca="false">TRUE()</f>
        <v>1</v>
      </c>
      <c r="N28" s="4" t="b">
        <f aca="false">FALSE()</f>
        <v>0</v>
      </c>
      <c r="O28" s="4" t="b">
        <f aca="false">FALSE()</f>
        <v>0</v>
      </c>
    </row>
    <row r="29" customFormat="false" ht="15" hidden="false" customHeight="false" outlineLevel="0" collapsed="false">
      <c r="A29" s="3" t="s">
        <v>141</v>
      </c>
      <c r="B29" s="3" t="s">
        <v>142</v>
      </c>
      <c r="C29" s="3" t="s">
        <v>143</v>
      </c>
      <c r="D29" s="3" t="s">
        <v>20</v>
      </c>
      <c r="E29" s="3" t="s">
        <v>20</v>
      </c>
      <c r="F29" s="3" t="n">
        <v>5</v>
      </c>
      <c r="G29" s="3" t="s">
        <v>144</v>
      </c>
      <c r="H29" s="4" t="b">
        <f aca="false">TRUE()</f>
        <v>1</v>
      </c>
      <c r="I29" s="3" t="s">
        <v>68</v>
      </c>
      <c r="J29" s="3" t="s">
        <v>33</v>
      </c>
      <c r="K29" s="8" t="b">
        <f aca="false">FALSE()</f>
        <v>0</v>
      </c>
      <c r="L29" s="4" t="b">
        <f aca="false">TRUE()</f>
        <v>1</v>
      </c>
      <c r="M29" s="4" t="b">
        <f aca="false">TRUE()</f>
        <v>1</v>
      </c>
      <c r="N29" s="4" t="b">
        <f aca="false">FALSE()</f>
        <v>0</v>
      </c>
      <c r="O29" s="4" t="b">
        <f aca="false">FALSE()</f>
        <v>0</v>
      </c>
      <c r="R29" s="7" t="s">
        <v>145</v>
      </c>
    </row>
    <row r="30" customFormat="false" ht="15" hidden="false" customHeight="false" outlineLevel="0" collapsed="false">
      <c r="A30" s="3" t="s">
        <v>146</v>
      </c>
      <c r="B30" s="3" t="s">
        <v>147</v>
      </c>
      <c r="C30" s="3" t="s">
        <v>148</v>
      </c>
      <c r="D30" s="3" t="s">
        <v>20</v>
      </c>
      <c r="E30" s="3" t="s">
        <v>20</v>
      </c>
      <c r="F30" s="3" t="n">
        <v>4</v>
      </c>
      <c r="G30" s="3" t="s">
        <v>149</v>
      </c>
      <c r="H30" s="4" t="b">
        <f aca="false">TRUE()</f>
        <v>1</v>
      </c>
      <c r="I30" s="3" t="s">
        <v>22</v>
      </c>
      <c r="J30" s="3" t="s">
        <v>22</v>
      </c>
      <c r="K30" s="4" t="b">
        <f aca="false">TRUE()</f>
        <v>1</v>
      </c>
      <c r="L30" s="4" t="b">
        <f aca="false">TRUE()</f>
        <v>1</v>
      </c>
      <c r="M30" s="4" t="b">
        <f aca="false">FALSE()</f>
        <v>0</v>
      </c>
      <c r="N30" s="4" t="b">
        <f aca="false">FALSE()</f>
        <v>0</v>
      </c>
      <c r="O30" s="4" t="b">
        <f aca="false">FALSE()</f>
        <v>0</v>
      </c>
    </row>
    <row r="31" customFormat="false" ht="15" hidden="false" customHeight="false" outlineLevel="0" collapsed="false">
      <c r="A31" s="3" t="s">
        <v>150</v>
      </c>
      <c r="B31" s="3" t="s">
        <v>151</v>
      </c>
      <c r="C31" s="3" t="s">
        <v>152</v>
      </c>
      <c r="D31" s="3" t="s">
        <v>20</v>
      </c>
      <c r="E31" s="3" t="s">
        <v>20</v>
      </c>
      <c r="F31" s="3" t="n">
        <v>4</v>
      </c>
      <c r="G31" s="3" t="s">
        <v>153</v>
      </c>
      <c r="H31" s="4" t="b">
        <f aca="false">TRUE()</f>
        <v>1</v>
      </c>
      <c r="I31" s="3" t="s">
        <v>33</v>
      </c>
      <c r="J31" s="3" t="s">
        <v>33</v>
      </c>
      <c r="K31" s="4" t="b">
        <f aca="false">TRUE()</f>
        <v>1</v>
      </c>
      <c r="L31" s="4" t="b">
        <f aca="false">FALSE()</f>
        <v>0</v>
      </c>
      <c r="M31" s="4" t="b">
        <f aca="false">FALSE()</f>
        <v>0</v>
      </c>
      <c r="N31" s="4" t="b">
        <f aca="false">FALSE()</f>
        <v>0</v>
      </c>
      <c r="O31" s="4" t="b">
        <f aca="false">TRUE()</f>
        <v>1</v>
      </c>
    </row>
    <row r="34" customFormat="false" ht="15" hidden="false" customHeight="false" outlineLevel="0" collapsed="false">
      <c r="K34" s="1" t="s">
        <v>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3" t="s">
        <v>155</v>
      </c>
      <c r="B1" s="3" t="s">
        <v>156</v>
      </c>
      <c r="C1" s="3" t="s">
        <v>157</v>
      </c>
    </row>
    <row r="2" customFormat="false" ht="15" hidden="false" customHeight="false" outlineLevel="0" collapsed="false">
      <c r="A2" s="3" t="s">
        <v>158</v>
      </c>
      <c r="B2" s="3" t="s">
        <v>159</v>
      </c>
      <c r="C2" s="3" t="n">
        <v>30</v>
      </c>
    </row>
    <row r="3" customFormat="false" ht="15" hidden="false" customHeight="false" outlineLevel="0" collapsed="false">
      <c r="A3" s="3" t="s">
        <v>160</v>
      </c>
      <c r="B3" s="3" t="s">
        <v>161</v>
      </c>
      <c r="C3" s="3" t="n">
        <v>30</v>
      </c>
    </row>
    <row r="4" customFormat="false" ht="15" hidden="false" customHeight="false" outlineLevel="0" collapsed="false">
      <c r="A4" s="3" t="s">
        <v>162</v>
      </c>
      <c r="B4" s="3" t="s">
        <v>163</v>
      </c>
      <c r="C4" s="3" t="n">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89</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2026-06-11T14:59:23Z</dcterms:created>
  <dc:creator>openpyxl</dc:creator>
  <dc:description/>
  <dc:language>en-GB</dc:language>
  <cp:lastModifiedBy/>
  <dcterms:modified xsi:type="dcterms:W3CDTF">2026-06-12T13:29:11Z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