
<file path=[Content_Types].xml><?xml version="1.0" encoding="utf-8"?>
<Types xmlns="http://schemas.openxmlformats.org/package/2006/content-types">
  <Default Extension="fntdata" ContentType="application/x-fontdata"/>
  <Default Extension="jpeg" ContentType="image/jpeg"/>
  <Default Extension="png" ContentType="image/png"/>
  <Default Extension="rels" ContentType="application/vnd.openxmlformats-package.relationships+xml"/>
  <Default Extension="xml" ContentType="application/xml"/>
  <Override PartName="/docProps/custom.xml" ContentType="application/vnd.openxmlformats-officedocument.custom-properties+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styles.xml" ContentType="application/vnd.openxmlformats-officedocument.spreadsheetml.styles+xml"/>
  <Override PartName="/xl/workbook.xml" ContentType="application/vnd.openxmlformats-officedocument.spreadsheetml.sheet.main+xml"/>
  <Override PartName="/xl/theme/theme1.xml" ContentType="application/vnd.openxmlformats-officedocument.theme+xml"/>
  <Override PartName="/xl/sharedStrings.xml" ContentType="application/vnd.openxmlformats-officedocument.spreadsheetml.sharedString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fileVersion appName="Calc" lowestEdited="4"/>
  <workbookPr backupFile="false" showObjects="all" date1904="false"/>
  <workbookProtection/>
  <bookViews>
    <workbookView showHorizontalScroll="true" showVerticalScroll="true" showSheetTabs="true" xWindow="0" yWindow="0" windowWidth="16384" windowHeight="8192" tabRatio="500" firstSheet="0" activeTab="0"/>
  </bookViews>
  <sheets>
    <sheet name="comparison" sheetId="1" state="visible" r:id="rId3"/>
    <sheet name="metrics" sheetId="2" state="visible" r:id="rId4"/>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<sst xmlns="http://schemas.openxmlformats.org/spreadsheetml/2006/main" count="48" uniqueCount="37">
  <si>
    <t xml:space="preserve">id</t>
  </si>
  <si>
    <t xml:space="preserve">title</t>
  </si>
  <si>
    <t xml:space="preserve">abstract</t>
  </si>
  <si>
    <t xml:space="preserve">scope</t>
  </si>
  <si>
    <t xml:space="preserve">scope_LLM</t>
  </si>
  <si>
    <t xml:space="preserve">confidence_LLM</t>
  </si>
  <si>
    <t xml:space="preserve">reasoning_LLM</t>
  </si>
  <si>
    <t xml:space="preserve">correct_scope</t>
  </si>
  <si>
    <t xml:space="preserve">pillar</t>
  </si>
  <si>
    <t xml:space="preserve">pillar_LLM</t>
  </si>
  <si>
    <t xml:space="preserve">correct_pillar</t>
  </si>
  <si>
    <t xml:space="preserve">plant_based_LLM</t>
  </si>
  <si>
    <t xml:space="preserve">fermentation_LLM</t>
  </si>
  <si>
    <t xml:space="preserve">cultivated_LLM</t>
  </si>
  <si>
    <t xml:space="preserve">cross_cutting_LLM</t>
  </si>
  <si>
    <t xml:space="preserve">pub.1193233825</t>
  </si>
  <si>
    <t xml:space="preserve">Development of plant-based infant complementary food from Cucumeropsis mannii, Dioscorea dumetorum, Musa paradiasica, and Malus domestica fermented with lactic acid bacteria</t>
  </si>
  <si>
    <t xml:space="preserve">Plant-based complementary foods offer a promising alternative to conventional infant formulas; however, their nutritional limitations, anti-nutritional factors, and functional properties require optimization to ensure suitability for infant nutrition. In this study, a novel ready-to-eat plant-based infant food in paste form was developed from Cucumeropsis mannii (Melon seeds), Dioscorea dumetorum (sweet Yellow Yam tubers), banana, and apple through fermentation with lactic acid bacteria (LAB) to enhance its nutritional properties. After starter screening and fermentation optimization, the formulation was individually inoculated with 6 Log CFU/g of Lacticaseibacillus paracasei (SK8), Leuconostoc mesenteroides (GSL7), and Lactiplantibacillus plantarum (AFI5), and incubated at 30 °C for 24 h. Subsequently, the effect of fermentation on chemical composition, peptide profile, and antioxidant capacity was investigated. Compared to the control formulation (RAW-F3), fermentation induced distinct changes in sugar consumption, free amino acids content, peptides profiles, along with reductions in key anti-nutritional factors (particularly phytic acid and saponins). Proteolysis driven by enzymes produced by LAB contributed to a modified free amino acid profile, with the formulation inoculated with L. paracasei (SK8-F3) having the highest amounts of free amino acids (401.8 mg/100 g). Likewise, a notable change in peptide profile was observed, and the formulation was inoculated with L. mesenteroides (GSL7-F3) recorded the highest diverse number of peptides (3352), followed by the formulation inoculated with L. plantarum (3417), and SK8-F3 (2697). In SK8-F3, phytic acid and saponins were significantly reduced by 75% and 50%, respectively, compared to RAW-F3 (P &lt; 0.05). Generally, fermentation enhanced total phenolic content and antioxidant activity, with the highest phenolics in GSL7-F3 (267 mg/L) and the strongest DPPH scavenging in AFI5-F3 (61.3%). Procyanidin B2 and caffeic acid peaked in SK8-F3, while ferulic acid and phloridzin remained consistently high across all formulations. Metabolism by LAB also contributed to improved sensory properties, with the SK8-F3 and AFI5-F3 formulations receiving the highest sensory scores. Overall, our findings affirm the role of LAB in enhancing the nutritional quality, safety, and sensory characteristics of foods, supporting their application in infant food formulations.</t>
  </si>
  <si>
    <t xml:space="preserve">in</t>
  </si>
  <si>
    <t xml:space="preserve">This study develops a plant-based infant complementary food using plant protein sources (melon seeds, yam, banana, apple) fermented with lactic acid bacteria as a processing method to improve nutritional quality, which is in scope as a plant-based alternative protein product for a healthy population (infants).</t>
  </si>
  <si>
    <t xml:space="preserve">PB</t>
  </si>
  <si>
    <t xml:space="preserve">pub.1181848290</t>
  </si>
  <si>
    <t xml:space="preserve">Consumer sensory profiling and liking of Bolognese-type sauces: how do insect and plant foods really fare against red meat?</t>
  </si>
  <si>
    <t xml:space="preserve">Meeting global targets for healthier and more sustainable diets calls for a substantial reduction of meat consumption in Western nations, especially red and processed meat. This requires a transition to the large-scale production, marketing, and adoption of alternative proteins. The current state of development of new plant- and insect-based foods holds good promise, but optimizing their sensory quality to the point where they can satisfactorily replace everyday meat-eating experiences remains a challenge, demanding a more consumer-oriented approach. This study investigated how Portuguese adults ( N = 130, 18-40 years old, 50% female, regular meat eaters) perceived the sensory characteristics of seven Bolognese-style pasta sauces – made with 100% red meat (beef and pork), plant (soya beans or peas) or edible insect (house cricket or yellow mealworm larvae) protein – and how this affected their hedonic preferences for these products. Expectedly, the meat-based sauce was generally the most appreciated. Still, consumers liked all products slightly to moderately apart from mealworm mince. Sensory-mediated disgust affected the evaluations of some insect- and plant-based sauces, while others benefitted from formulations that enhanced savouriness and the prototypical attributes of a tomato pasta sauce. Moreover, the disconfirmation of positive sensory-affective judgements of ‘meatiness’ induced by mince-like texture cues penalized liking. High inter-individual variation in evaluations was observed. Distinct preferences for spiciness, for instance, moderated the effects of meat substitution on product liking, with over half of participants appreciating a mild or a spicy plant-based option more than the typical beef Bolognese. Sociodemographics, Beef Consumption, Healthy Eating Consciousness and Food Disgust Sensitivity were all important predictors of patterns of product liking, pointing out that the type of protein selected is just one of the many factors driving the acceptance of meat substitutes by consumers that can be leveraged by the food industry.</t>
  </si>
  <si>
    <t xml:space="preserve">This study directly investigates consumer sensory profiling and acceptance of plant-based (soy, pea) and insect-based meat substitutes in Bolognese-style sauces, which is clearly in scope as research advancing understanding of alternative protein acceptance.</t>
  </si>
  <si>
    <t xml:space="preserve">pub.1195931632</t>
  </si>
  <si>
    <t xml:space="preserve">Biomass and bioethanol production from pretreated mixed fruit peel hydrolysate using Saccharomyces cerevisiae strains at different pH and oxygen conditions</t>
  </si>
  <si>
    <t xml:space="preserve">BackgroundFruit peels as a lignocellulosic biomass are rich in sugars and nutrients, thus making them favorable medium for yeast growth and various materials production. This study showed the potential of fuit peels hydrolysate (FPH) as a substrate for single-cell protein (SCP) and bioethanol production, depending on substrate concentration, pH, oxygen availability.ResultsThe highest specific growth rate (0.50 ± 0.01 h− 1) was observed at pH 6.5 in non-diluted hydrolysates, which corresponds to ~ 250.0 g L− 1 carbohydrates and 0.2 g L− 1 total nitrogen concentration. The maximal protein production yield (~ 50% by dry weight) was recorded during 24 h cultivation of S. cerevisiae ATCC 13,007 under oxygen-limited conditions at pH 6.5, while the maximal ethanol production (109.00 ± 4.00 g L− 1) was observed at 6 h for S. cerevisiae ATCC 9804 and ATCC 13,007 starins under aerobic conditions. The maximal fermentation efficiency (~ 99%) was observed at 24 h cultivation of S. cerevisiae ATCC 13,007 in 2-fold diluted hydrolysate under oxygen-limited conditions at pH 6.5, while the same strain exhibited the highest carbon conversion efficiency (CCE) (~ 56%) during aerobic cultivation in 2-fold diluted hydrolysate at pH 3.0.ConclusionThus, FPH can serve as a favorable substrate for SCP and bioethanol production using S. cerevisiae strains ATCC 13,007 and ATCC 9804. Nitrogen supplementation and combination with fruit and vegetable processing industries could further enhance SCP production and process efficiency which aligns with circular economic strategy.</t>
  </si>
  <si>
    <t xml:space="preserve">The study investigates single-cell protein (SCP) production from Saccharomyces cerevisiae using fruit peel hydrolysate, which falls under biomass fermentation for alternative protein; however, the primary focus is split between SCP and bioethanol production, and the food application of the SCP is not explicitly stated, reducing confidence.</t>
  </si>
  <si>
    <t xml:space="preserve">F</t>
  </si>
  <si>
    <t xml:space="preserve">metric</t>
  </si>
  <si>
    <t xml:space="preserve">value</t>
  </si>
  <si>
    <t xml:space="preserve">n</t>
  </si>
  <si>
    <t xml:space="preserve">scope_accuracy</t>
  </si>
  <si>
    <t xml:space="preserve">100%</t>
  </si>
  <si>
    <t xml:space="preserve">pillar_accuracy</t>
  </si>
  <si>
    <t xml:space="preserve">pillar_accuracy_both_in_scope</t>
  </si>
</sst>
</file>

<file path=xl/styles.xml><?xml version="1.0" encoding="utf-8"?>
<styleSheet xmlns="http://schemas.openxmlformats.org/spreadsheetml/2006/main">
  <numFmts count="1">
    <numFmt numFmtId="164" formatCode="General"/>
  </numFmts>
  <fonts count="4">
    <font>
      <sz val="11"/>
      <color theme="1"/>
      <name val="Calibri"/>
      <family val="2"/>
      <charset val="1"/>
    </font>
    <font>
      <sz val="10"/>
      <name val="Arial"/>
      <family val="0"/>
    </font>
    <font>
      <sz val="10"/>
      <name val="Arial"/>
      <family val="0"/>
    </font>
    <font>
      <sz val="10"/>
      <name val="Arial"/>
      <family val="0"/>
    </font>
  </fonts>
  <fills count="3">
    <fill>
      <patternFill patternType="none"/>
    </fill>
    <fill>
      <patternFill patternType="gray125"/>
    </fill>
    <fill>
      <patternFill patternType="solid">
        <fgColor rgb="FF81D41A"/>
        <bgColor rgb="FF969696"/>
      </patternFill>
    </fill>
  </fills>
  <borders count="1">
    <border diagonalUp="false" diagonalDown="false">
      <left/>
      <right/>
      <top/>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3">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2" borderId="0" xfId="0" applyFont="false" applyBorder="false" applyAlignment="false" applyProtection="false">
      <alignment horizontal="general"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FFFCC"/>
      <rgbColor rgb="FFCCFFFF"/>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81D41A"/>
      <rgbColor rgb="FFFFCC00"/>
      <rgbColor rgb="FFFF9900"/>
      <rgbColor rgb="FFFF6600"/>
      <rgbColor rgb="FF666699"/>
      <rgbColor rgb="FF969696"/>
      <rgbColor rgb="FF003366"/>
      <rgbColor rgb="FF339966"/>
      <rgbColor rgb="FF003300"/>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O4"/>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G5" activeCellId="0" sqref="G5"/>
    </sheetView>
  </sheetViews>
  <sheetFormatPr defaultColWidth="8.34375" defaultRowHeight="15" customHeight="false" zeroHeight="false" outlineLevelRow="0" outlineLevelCol="0"/>
  <sheetData>
    <row r="1" customFormat="false" ht="15" hidden="false" customHeight="false" outlineLevel="0" collapsed="false">
      <c r="A1" s="0" t="s">
        <v>0</v>
      </c>
      <c r="B1" s="0" t="s">
        <v>1</v>
      </c>
      <c r="C1" s="0" t="s">
        <v>2</v>
      </c>
      <c r="D1" s="0" t="s">
        <v>3</v>
      </c>
      <c r="E1" s="0" t="s">
        <v>4</v>
      </c>
      <c r="F1" s="0" t="s">
        <v>5</v>
      </c>
      <c r="G1" s="0" t="s">
        <v>6</v>
      </c>
      <c r="H1" s="0" t="s">
        <v>7</v>
      </c>
      <c r="I1" s="0" t="s">
        <v>8</v>
      </c>
      <c r="J1" s="0" t="s">
        <v>9</v>
      </c>
      <c r="K1" s="0" t="s">
        <v>10</v>
      </c>
      <c r="L1" s="0" t="s">
        <v>11</v>
      </c>
      <c r="M1" s="0" t="s">
        <v>12</v>
      </c>
      <c r="N1" s="0" t="s">
        <v>13</v>
      </c>
      <c r="O1" s="0" t="s">
        <v>14</v>
      </c>
    </row>
    <row r="2" customFormat="false" ht="15" hidden="false" customHeight="false" outlineLevel="0" collapsed="false">
      <c r="A2" s="0" t="s">
        <v>15</v>
      </c>
      <c r="B2" s="0" t="s">
        <v>16</v>
      </c>
      <c r="C2" s="0" t="s">
        <v>17</v>
      </c>
      <c r="D2" s="0" t="s">
        <v>18</v>
      </c>
      <c r="E2" s="0" t="s">
        <v>18</v>
      </c>
      <c r="F2" s="0" t="n">
        <v>5</v>
      </c>
      <c r="G2" s="0" t="s">
        <v>19</v>
      </c>
      <c r="H2" s="1" t="b">
        <f aca="false">TRUE()</f>
        <v>1</v>
      </c>
      <c r="I2" s="0" t="s">
        <v>20</v>
      </c>
      <c r="J2" s="0" t="s">
        <v>20</v>
      </c>
      <c r="K2" s="2" t="b">
        <f aca="false">TRUE()</f>
        <v>1</v>
      </c>
      <c r="L2" s="1" t="b">
        <f aca="false">TRUE()</f>
        <v>1</v>
      </c>
      <c r="M2" s="1" t="b">
        <f aca="false">FALSE()</f>
        <v>0</v>
      </c>
      <c r="N2" s="1" t="b">
        <f aca="false">FALSE()</f>
        <v>0</v>
      </c>
      <c r="O2" s="1" t="b">
        <f aca="false">FALSE()</f>
        <v>0</v>
      </c>
    </row>
    <row r="3" customFormat="false" ht="15" hidden="false" customHeight="false" outlineLevel="0" collapsed="false">
      <c r="A3" s="0" t="s">
        <v>21</v>
      </c>
      <c r="B3" s="0" t="s">
        <v>22</v>
      </c>
      <c r="C3" s="0" t="s">
        <v>23</v>
      </c>
      <c r="D3" s="0" t="s">
        <v>18</v>
      </c>
      <c r="E3" s="0" t="s">
        <v>18</v>
      </c>
      <c r="F3" s="0" t="n">
        <v>5</v>
      </c>
      <c r="G3" s="0" t="s">
        <v>24</v>
      </c>
      <c r="H3" s="2" t="b">
        <f aca="false">TRUE()</f>
        <v>1</v>
      </c>
      <c r="I3" s="0" t="s">
        <v>20</v>
      </c>
      <c r="J3" s="0" t="s">
        <v>20</v>
      </c>
      <c r="K3" s="1" t="b">
        <f aca="false">TRUE()</f>
        <v>1</v>
      </c>
      <c r="L3" s="1" t="b">
        <f aca="false">TRUE()</f>
        <v>1</v>
      </c>
      <c r="M3" s="1" t="b">
        <f aca="false">FALSE()</f>
        <v>0</v>
      </c>
      <c r="N3" s="1" t="b">
        <f aca="false">FALSE()</f>
        <v>0</v>
      </c>
      <c r="O3" s="1" t="b">
        <f aca="false">FALSE()</f>
        <v>0</v>
      </c>
    </row>
    <row r="4" customFormat="false" ht="15" hidden="false" customHeight="false" outlineLevel="0" collapsed="false">
      <c r="A4" s="0" t="s">
        <v>25</v>
      </c>
      <c r="B4" s="0" t="s">
        <v>26</v>
      </c>
      <c r="C4" s="0" t="s">
        <v>27</v>
      </c>
      <c r="D4" s="0" t="s">
        <v>18</v>
      </c>
      <c r="E4" s="0" t="s">
        <v>18</v>
      </c>
      <c r="F4" s="0" t="n">
        <v>3</v>
      </c>
      <c r="G4" s="0" t="s">
        <v>28</v>
      </c>
      <c r="H4" s="2" t="b">
        <f aca="false">TRUE()</f>
        <v>1</v>
      </c>
      <c r="I4" s="0" t="s">
        <v>29</v>
      </c>
      <c r="J4" s="0" t="s">
        <v>29</v>
      </c>
      <c r="K4" s="1" t="b">
        <f aca="false">TRUE()</f>
        <v>1</v>
      </c>
      <c r="L4" s="1" t="b">
        <f aca="false">FALSE()</f>
        <v>0</v>
      </c>
      <c r="M4" s="1" t="b">
        <f aca="false">TRUE()</f>
        <v>1</v>
      </c>
      <c r="N4" s="1" t="b">
        <f aca="false">FALSE()</f>
        <v>0</v>
      </c>
      <c r="O4" s="1" t="b">
        <f aca="false">FALSE()</f>
        <v>0</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C4"/>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34375" defaultRowHeight="15" customHeight="false" zeroHeight="false" outlineLevelRow="0" outlineLevelCol="0"/>
  <sheetData>
    <row r="1" customFormat="false" ht="15" hidden="false" customHeight="false" outlineLevel="0" collapsed="false">
      <c r="A1" s="0" t="s">
        <v>30</v>
      </c>
      <c r="B1" s="0" t="s">
        <v>31</v>
      </c>
      <c r="C1" s="0" t="s">
        <v>32</v>
      </c>
    </row>
    <row r="2" customFormat="false" ht="15" hidden="false" customHeight="false" outlineLevel="0" collapsed="false">
      <c r="A2" s="0" t="s">
        <v>33</v>
      </c>
      <c r="B2" s="0" t="s">
        <v>34</v>
      </c>
      <c r="C2" s="0" t="n">
        <v>3</v>
      </c>
    </row>
    <row r="3" customFormat="false" ht="15" hidden="false" customHeight="false" outlineLevel="0" collapsed="false">
      <c r="A3" s="0" t="s">
        <v>35</v>
      </c>
      <c r="B3" s="0" t="s">
        <v>34</v>
      </c>
      <c r="C3" s="0" t="n">
        <v>3</v>
      </c>
    </row>
    <row r="4" customFormat="false" ht="15" hidden="false" customHeight="false" outlineLevel="0" collapsed="false">
      <c r="A4" s="0" t="s">
        <v>36</v>
      </c>
      <c r="B4" s="0" t="s">
        <v>34</v>
      </c>
      <c r="C4" s="0" t="n">
        <v>3</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LibreOffice/26.2.4.2$Windows_X86_64 LibreOffice_project/0229ac93fcf0d7cbc6376066c6f35021cef002dc</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2026-06-13T20:48:30Z</dcterms:created>
  <dc:creator>openpyxl</dc:creator>
  <dc:description/>
  <dc:language>en-GB</dc:language>
  <cp:lastModifiedBy/>
  <dcterms:modified xsi:type="dcterms:W3CDTF">2026-06-13T21:49:43Z</dcterms:modified>
  <cp:revision>1</cp:revision>
  <dc:subject/>
  <dc:title/>
</cp:coreProperties>
</file>

<file path=docProps/custom.xml><?xml version="1.0" encoding="utf-8"?>
<Properties xmlns="http://schemas.openxmlformats.org/officeDocument/2006/custom-properties" xmlns:vt="http://schemas.openxmlformats.org/officeDocument/2006/docPropsVTypes"/>
</file>