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mparison" sheetId="1" state="visible" r:id="rId3"/>
    <sheet name="metrics"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<sst xmlns="http://schemas.openxmlformats.org/spreadsheetml/2006/main" count="941" uniqueCount="503">
  <si>
    <t xml:space="preserve">id</t>
  </si>
  <si>
    <t xml:space="preserve">title</t>
  </si>
  <si>
    <t xml:space="preserve">abstract</t>
  </si>
  <si>
    <t xml:space="preserve">scope</t>
  </si>
  <si>
    <t xml:space="preserve">scope_LLM</t>
  </si>
  <si>
    <t xml:space="preserve">confidence_LLM</t>
  </si>
  <si>
    <t xml:space="preserve">reasoning_LLM</t>
  </si>
  <si>
    <t xml:space="preserve">correct_scope</t>
  </si>
  <si>
    <t xml:space="preserve">pillar</t>
  </si>
  <si>
    <t xml:space="preserve">pillar_LLM</t>
  </si>
  <si>
    <t xml:space="preserve">correct_pillar</t>
  </si>
  <si>
    <t xml:space="preserve">plant_based_LLM</t>
  </si>
  <si>
    <t xml:space="preserve">fermentation_LLM</t>
  </si>
  <si>
    <t xml:space="preserve">cultivated_LLM</t>
  </si>
  <si>
    <t xml:space="preserve">Manual review notes for scope</t>
  </si>
  <si>
    <t xml:space="preserve">Manual review notes for pillar</t>
  </si>
  <si>
    <t xml:space="preserve">pub.1193443783</t>
  </si>
  <si>
    <t xml:space="preserve">Proliferation and metabolic activity of the Atlantic sturgeon cell line AOXlar7y under short-term serum-reduced conditions, and the effect of stimulation with growth factors and cytokines</t>
  </si>
  <si>
    <t xml:space="preserve">Introduction: Fish cell lines represent a powerful tool for studying the biology and toxicology of aquatic species in compliance with the 3Rs principles. In addition, they hold potential for more advanced biotechnological applications. However, fish cell cultures are mainly cultivated with fetal bovine serum. Therefore, in this study, we investigated the impact of serum reduction and the effects of six growth factors and cytokines on a sturgeon larval cell line (AOXla7y), which has been previously proven to be a valuable model for climate change and toxicology studies.
Methods: The serum reduction (from 10% to 5% and 2%) and the addition of two concentrations (10 and 50 ng/mL) of six growth factors and cytokines (FGF-2, IGF-1, LIF, IFN-γ, IL-13, and IL-15) to the 2% serum growth medium were evaluated over 6 days of cultivation. The morphology and cell density were determined using phasecontrast images after the experiment ended, while real-time label-free cell impedance (xCELLigence) was recorded throughout the cultivation period. Moreover, the end-point oxygen consumption in basal and uncoupled respiration conditions was analyzed with the Seahorse XF Cell Mito Stress Test Kit.
Results: The results demonstrated a general adaptation of the sturgeon cell line to a serum-reduced environment and the modulatory effects of growth factor and cytokine supplementation on cell growth and metabolism.
Discussion: These findings suggest that the sturgeon cell line has the potential to transition to a serumfree medium without major observed morphological modifications and with a limited reduction in proliferation. Its metabolism was differentially modulated by the signaling of growth factors and cytokines and exhibited a variable metabolic phenotype under mitochondrial stress. This study provides a characterization of the Atlantic sturgeon cell metabolism and offers a preliminary assessment for developing an animal-free and chemically defined medium.</t>
  </si>
  <si>
    <t xml:space="preserve">in</t>
  </si>
  <si>
    <t xml:space="preserve">out</t>
  </si>
  <si>
    <t xml:space="preserve">This publication focuses on fish cell culture optimization for toxicology and climate change research, not on cultivated meat or alternative proteins for human food. The stated applications are compliance with 3Rs principles in research and general biotechnological applications, with no mention of human food production or animal protein substitution. Fish cell lines used for non-food research purposes are explicitly out of scope.</t>
  </si>
  <si>
    <t xml:space="preserve">CM</t>
  </si>
  <si>
    <t xml:space="preserve">NA</t>
  </si>
  <si>
    <t xml:space="preserve">Known issue from v1 (is truly out of scope)</t>
  </si>
  <si>
    <t xml:space="preserve">pub.1189767013</t>
  </si>
  <si>
    <t xml:space="preserve">Keeping an eye on alginate: innovations and opportunities for sustainable production and diverse applications</t>
  </si>
  <si>
    <t xml:space="preserve">Alginate is a biocompatible, biodegradable, brown seaweed polysaccharide with diverse techno-functional properties. However, growing environmental concerns are driving the need for more sustainable alginate extraction methods. Novel methods such as ultrasound-assisted extraction, microwave-assisted extraction and subcritical water extraction among others, have attracted significant attention by improving polysaccharide yields and addressing current production bottlenecks i.e., extraction time, solvent consumption and energy demand. These technologies used individually or in combination with novel solvents (food grade solvents, ionic liquids, deep eutectic solvents), offer promising environmentally friendly and food-grade alternatives. Large-scale optimised methods utilising these innovative methods remain underexplored. In addition, pre-treatment strategies utilising green protocols could improve alginate yields and properties. This narrative review aims to examine conventional alginate processing alongside emerging technologies and solvents to enhance extraction efficiency and functional properties. It explores the advantages as well as disadvantages of these approaches such as cost and scalability. Challenges for future uses of alginates are also discussed i.e., mechanical and biological. By deepening our understanding of these properties future research could unlock innovative applications, with cultivated meat offering a novel and promising direction.</t>
  </si>
  <si>
    <t xml:space="preserve">While the abstract mentions cultivated meat as a potential future application, alginate itself is a polysaccharide functional ingredient, not a protein. The publication focuses on extraction methods and processing of alginate from brown seaweed, with protein as neither a primary nor significant focus. Alginate is a thickening/gelling agent used in food formulations, not an alternative protein source intended to substitute animal proteins. The cultivated meat mention is speculative and not the primary research focus.</t>
  </si>
  <si>
    <t xml:space="preserve">I agree with the LLM. Cultivated meat is barely mentioned in the paper. I should add a boundary condition to specify more clearly that enabling technologies are included when alternative protein production is a primary or significant stated application, but not speculative or incidental mention. But this should be excluded imo.</t>
  </si>
  <si>
    <t xml:space="preserve">Edit to prompt: specify / clarify that enabling technologies for these alternative proteins are included (maybe add as a boundary condition specific for cultivated meat?)</t>
  </si>
  <si>
    <t xml:space="preserve">https://www.sciencedirect.com/science/article/pii/S014486172500685X#s0130</t>
  </si>
  <si>
    <t xml:space="preserve">pub.1187346550</t>
  </si>
  <si>
    <t xml:space="preserve">Unfamiliar familiarity: A scoping review on the role of familiarity in consumer acceptance of cultivated meat</t>
  </si>
  <si>
    <t xml:space="preserve">The potential introduction of cultivated meat products to the market, framed as sustainable alternative to conventional animal-source foods, underscores the need to examine psychological barriers and predisposing factors influencing consumer acceptance. Familiarity is often considered a facilitating factor, based on the premise that higher familiarity with cultivated meat is associated with greater acceptance. However, evidence remains contradictory and poorly integrated. This review examines and organizes the literature on familiarity with cultivated meat and its influence on consumer acceptance. A scoping review of peer-reviewed and grey literature was conducted on June 7, 2024, following PRISMA-ScR and Joanna Briggs Institute guidelines. Comprehensive searches across Scopus, Web of Science, PubMed, and PsycInfo included no restrictions on participant type, geographic location, social and cultural contexts, language, or publication time. 63 articles were analyzed to examine (i) definitions of familiarity, (ii) methodologies measuring familiarity with cultivated meat, and (iii) evidence regarding its influence on consumer acceptance of cultivated meat. Results indicate that current research on familiarity is largely based on non-representative samples, with data recency limitations, and inconsistent operationalization. Familiarity is often conflated with the related yet distinct constructs of awareness and knowledge, revealing a lack of clarity in literature. The review also identified various approaches for assessing familiarity, all lacking psychometric rigor, hindering replicability and comparability of findings. This review highlights the need for further research to clarify the theoretical and operational definition of familiarity and its role in consumer acceptance of cultivated meat.</t>
  </si>
  <si>
    <t xml:space="preserve">This scoping review directly examines consumer acceptance of cultivated meat, a core alternative protein category. The publication advances understanding of psychological and perceptual factors influencing cultivated meat adoption, which falls squarely within the scope of publications on perception and understanding of alternative proteins. The focus on cultivated meat as a sustainable alternative to conventional animal-source foods confirms the in-scope classification.</t>
  </si>
  <si>
    <t xml:space="preserve">pub.1189916353</t>
  </si>
  <si>
    <t xml:space="preserve">“It's not bad, but it's not chicken”: Sensorial drivers of liking and their correlates for plant-based chicken analogues in Sweden</t>
  </si>
  <si>
    <t xml:space="preserve">Development of satisfying plant based (PB) meat analogues could be expedited through better understanding of the sensorial drivers of hedonic (dis)liking. To address this, here six commercially available PB chicken analogues and a chicken breast reference are evaluated. Consumers (N = 105) report hedonic liking (appearance, aroma, taste/flavour, texture, and overall), sensorially profile the samples with rate-all-that-apply (RATA) and just-about-right (JAR) scales and describe what they like and dislike about the tasted samples in their own words (free-text responses). The samples are also characterized instrumentally: microscopy to visualize the microstructure and cyclic compression testing to quantify key mechanical properties (maximum true stress, Young's modulus, and compressive energy). The sensory space is explored with principal component analysis and penalty analysis; associations between the modalities of liking and how these may determine overall liking is assessed using Bayesian network analysis; and multiple regression with Bayesian inference is used to contrast liking across samples and identify the drivers of (dis)liking within each hedonic modality. Chicken is preferred across all hedonic modalities, while samples made of mycoprotein are liked most of the PB samples. Drivers of liking are detected for all modalities except appearance. The drivers of texture liking include higher perceived tenderness and juiciness, the latter of which is also inversely correlated with Young's modulus on the first compression cycle. The free-text responses suggest that consumers readily recognized the chicken sample. That sensory responses reflect both the intrinsic properties of products (bottom-up) and cognitive (top-down) aspects, including familiarity, is thus discussed.</t>
  </si>
  <si>
    <t xml:space="preserve">This publication directly evaluates plant-based chicken analogues, with explicit focus on sensory drivers of consumer liking—a key aspect of alternative protein product development and optimization. The study includes mycoprotein (a fermentation-derived protein), making it relevant to both plant-based and fermentation categories. The research advances understanding of how to improve alternative protein products to better substitute conventional animal proteins, clearly meeting the in-scope criteria for alternative proteins intended as human food substitutes.</t>
  </si>
  <si>
    <t xml:space="preserve">PB</t>
  </si>
  <si>
    <t xml:space="preserve">CC</t>
  </si>
  <si>
    <t xml:space="preserve">Agree with LLM – it should be CC.</t>
  </si>
  <si>
    <t xml:space="preserve">pub.1186482404</t>
  </si>
  <si>
    <t xml:space="preserve">High-moisture extruded pea balls exhibit lower (glyc)oxidative stability than pork balls following barbecuing and simulated gastrointestinal digestion</t>
  </si>
  <si>
    <t xml:space="preserve">The (glyc)oxidation of model meat and plant-based balls during barbeque heating and subsequent simulated gastrointestinal digestion was investigated. For this purpose, balls were formulated with pork, or high-moisture extruded (HME) pea isolate, to which three types of carbohydrates (glucose, sucrose or starch) and/or a herbal mixture were added. Heated protein products were evaluated before and after digestion for the various (glyc)oxidation products, including α-oxoaldehydes (glyoxal, methylglyoxal, 3-deoxyglucosone), lipid oxidation products (4-hydroxy-2-nonenal, hexanal, propanal, thiobarbituric acid reactive substances), protein oxidation products (protein carbonyl compound), and advanced glycation endproducts (Nε-(carboxymethyl)lysine, Nε-(carboxyethyl)-lysine, pentosidine, Nd-(5-hydro-5-methyl-4-imidazolon-2-yl)-ornithine, argpyrimidine). Overall, digested pea balls contained similar or significantly higher levels of various (glyc)oxidation products compared to their pork counterparts. These differences could be related to several factors, including the initial (glyc)oxidative status of the raw materials, the addition of carbohydrates, and the progression of (glyc)oxidative reactions during heating and gastrointestinal digestion. Herbs only marginally affected these reactions.</t>
  </si>
  <si>
    <t xml:space="preserve">This publication directly investigates plant-based meat analogues (high-moisture extruded pea protein balls) as substitutes for conventional animal protein (pork), focusing on protein functionality and biochemical properties (oxidative stability) relevant to product optimization. The research compares plant-based and animal protein formulations to understand how pea protein performs in a meat analogue application, which is clearly within scope for alternative protein research.</t>
  </si>
  <si>
    <t xml:space="preserve">pub.1192893776</t>
  </si>
  <si>
    <t xml:space="preserve">Novel Hybrid ANN-Interpolation Techniques for Predicting Mean Residence Time in Wet Twin Screw Granulation Application: A Critical Review</t>
  </si>
  <si>
    <t xml:space="preserve">In twin-screw granulation (TSG), the mean residence time (MRT) of materials significantly influences granule properties, such as size distribution and density, impacting the quality of the final product. Accurately estimating MRT is crucial because deviations can lead to overwetting, compaction issues, or insufficient granulation. This study presents a hybrid approach that combines machine learning and data interpolation techniques to model MRT as a function of process parameters, including feed flow rate, screw speed, screw configuration, and liquid-to-solid ratio. Our goal is to develop a predictive tool capable of handling coarse datasets for precise MRT estimation. By optimising the MRT, process control, efficiency, and batch-to-batch consistency can be improved, ensuring adherence to product specifications and facilitating cost-effective scale-up. This study explores the integration of various univariate and multivariate spline interpolation techniques with the nonlinear autoregressive with exogenous inputs (NARX) and multilayer perceptron (MLP) machine learning methods to enhance the accuracy of MRT. While numerous studies have utilised large datasets, this study examines a coarse dataset, applying various interpolation techniques to enhance data resolution and consequently improve the performance of the NARX machine learning model. This study examined training and testing datasets of different sizes, demonstrating the versatility and applicability of the coupled methodology. Our findings demonstrate the advantages of multivariate cubic spline interpolation with the NARX approach over MLP and Kriging with univariate interpolation methods. This paper presents a comprehensive review of existing interpolation techniques and their impact on modeling performance, addressing a critical gap in the current literature. The results show that the multivariate cubic spline interpolation with the NARX approach achieved a 72% reduction in the root mean square error (RMSE) and an 85% increase in the adjusted $$R^2$$ compared to the existing Kriging interpolation technique (Ismail et al. in Powder Technol 343:568–577, 2019). In terms of computational efficiency, the NARX approach with univariate and multivariate spline interpolations are 16 times more efficient than the Kriging interpolation technique.</t>
  </si>
  <si>
    <t xml:space="preserve">This publication concerns machine learning and data interpolation techniques for optimizing twin-screw granulation processes. It has no connection to alternative proteins, protein sources, or food products intended to substitute animal proteins. The focus is entirely on process engineering and computational modeling for pharmaceutical or chemical granulation applications, which falls outside the scope of alternative protein research.</t>
  </si>
  <si>
    <t xml:space="preserve">pub.1184804992</t>
  </si>
  <si>
    <t xml:space="preserve">The power and pitfalls of amino acid carbon stable isotopes for tracing origin and use of basal resources in food webs</t>
  </si>
  <si>
    <t xml:space="preserve">Abstract  Natural and anthropogenic stressors alter the composition, biomass, and nutritional quality of primary producers and microorganisms, the basal organisms that synthesize the biomolecules essential for metazoan growth and survival (i.e., basal resources). Traditional biomarkers have provided valuable insight into the spatiotemporal dynamics of basal resource use, but lack specificity in identifying multiple basal organisms, can be confounded by environmental and physiological processes, and do not always preserve in tissues over long timescales. Carbon stable isotope ratios of essential amino acids (δ 13 C‐EAA) show remarkable promise in identifying and distinguishing clades of basal organisms with unique δ 13 C‐EAA fingerprints that are independent of trophic processing and environmental variability, providing unparalleled potential in their application. Understanding the biochemical processes that underpin δ 13 C‐AA data is crucial, however, for holistic and robust inferences in ecological applications. This comprehensive methodological review, for the first time, conceptualizes these mechanistic underpinnings that drive δ 13 C‐EAA fingerprints among basal organisms and incorporates δ 13 C values of non‐essential amino acids that are generally overlooked in ecological studies, despite the gain of metabolic information. We conduct meta‐analyses of published data to test hypothesized AA‐specific isotope fractionations among basal organism clades, demonstrating that phenylalanine separates vascular plant δ 13 C‐EAA fingerprints, which strongly covaries with their phylogeny. We further explore the utility of non‐essential AAs in separating dietary protein sources of archaeological humans, showing the differences in metabolic information contained within different NEAAs. By scrutinizing the many methodologies that are applied in the field, we highlight the absence of standardized analytical protocols, particularly in sample pretreatments leading to biases, inappropriate use of statistical methods, and reliance on unsuitable training data. To unlock the full potential of δ 13 C‐EAA fingerprints, we provide in‐depth explanations on knowledge gaps, pitfalls, and optimal practices in this complex but powerful approach for assessing ecosystem change across spatiotemporal scales.</t>
  </si>
  <si>
    <t xml:space="preserve">This publication is a methodological review on stable isotope analysis of amino acids for ecological and archaeological food web tracing. It focuses on analytical chemistry and ecosystem ecology, not on the development, characterization, or optimization of alternative proteins for human food. The study of amino acid isotope fingerprints in basal organisms and archaeological diets is not relevant to alternative protein development or substitution of animal proteins.</t>
  </si>
  <si>
    <t xml:space="preserve">pub.1189321110</t>
  </si>
  <si>
    <t xml:space="preserve">Formulation and Key Quality Attributes of a Plant‐Based Alternative to Cheese Prototype Prepared Using Zein and Chickpea Protein Ingredients</t>
  </si>
  <si>
    <t xml:space="preserve">ABSTRACT With the expanding global population, the growing demand for food provides opportunities to formulate new products. Plant‐based cheese alternatives can be made from different raw materials and processes. In this study, a plant‐based alternative to cheese prototype was formulated using a blend of zein and chickpea protein ingredients. The composition, physicochemical properties, protein digestibility, and volatile profile of the prototype were investigated, using two commercially available plant‐based cheese alternatives, dairy processed cheese, and Cheddar cheese, as benchmarks. The prototype contained 16.6% protein, being higher than that of processed cheese (13%) and lower than that of Cheddar (25.4%), and had lower fat content (14.5%) than commercial plant‐based alternatives (23%–25%). Meltability was comparable to Cheddar and one plant‐based alternative, while texture was similar to processed cheese. In vitro protein digestibility was lower for the prototype (7.9%) than dairy cheeses (~21%). Analysis of volatile profiles showed that the prototype sample had the highest number (77) of compounds, with a profile that differed greatly from the other samples. The most abundant identified compounds included butanoic acid, hexanoic acid, and 2‐heptanone, contributing to cheesy flavors. The prototype sample also contained many more pyrazines and esters, which would be uncommon or absent in dairy cheese. The results of this study show that plant‐based cheese alternatives can be formulated to closely match selected physicochemical characteristics of dairy products. In this work, a prototype with improved compositional (i.e., enriched in protein) and physicochemical properties compared with existing plant‐based cheese alternatives was successfully formulated.</t>
  </si>
  <si>
    <t xml:space="preserve">This publication directly addresses the development and characterization of a plant-based cheese analogue using zein and chickpea protein ingredients, which are plant-derived protein sources intended to substitute for dairy cheese in human food. The research focuses on formulation, physicochemical properties, protein digestibility, and flavor profile optimization—all core aspects of alternative protein product development. The work clearly falls within the plant-based category as it involves plant proteins as primary sources for a dairy analogue product.</t>
  </si>
  <si>
    <t xml:space="preserve">pub.1194004313</t>
  </si>
  <si>
    <t xml:space="preserve">Food group intake and Mediterranean Diet adherence among a representative sample of Spanish middle-aged and older adults. Are we still on track? The HERMEX study.</t>
  </si>
  <si>
    <t xml:space="preserve">BACKGROUND AND AIM: To explore food group intake and adherence to the Mediterranean Diet (MD) in a representative sample of 2833 middle-aged and older adults from the HERMEX study.
METHODS AND RESULTS: This cross-sectional study utilized a food frequency questionnaire to assess food group intake and measured MD adherence using the MD Score. Sociodemographic, anthropometric, and clinical characteristics were also analyzed. Among participants, 74 % were living with overweight or obesity, 69.9 % were non-smokers, and 88 % showed medium-high adherence to the MD. Compared to the national dietary recommendations issued by the Spanish Agency for Food Safety and Nutrition (AESAN), 76 % had carbohydrate intake below recommended levels (average intake: 35.4 %), whereas 73.5 % consumed protein at 16.6 % of total energy intake. Only 2 % of participants adhered to the fat intake recommendation (&lt;35 % of total energy). Consumption of fruits, vegetables, cereals, potatoes, and eggs was below recommendations, while intake of legumes, nuts, fish, seafood, and dairy met or nearly met the recommendations. Meat consumption exceeded recommendations. Macronutrient intake (carbohydrates, protein, fat, and fiber) was similar across BMI groups. However, participants with obesity consumed fewer nuts, whereas those with normal weight had a higher intake of red wine compared to individuals with overweight (p &lt; 0.05). MD adherence was similar across BMI groups (34 points on a 0-55 scale).
CONCLUSIONS: Prevalence of overweight and obesity was high despite medium-high adherence to the MD. Overall, caloric intake and food consumption patterns were consistent across BMI groups, with notable differences in nut and red wine intake.</t>
  </si>
  <si>
    <t xml:space="preserve">This publication is a dietary epidemiology study examining food group intake and Mediterranean Diet adherence in a Spanish population. It does not focus on alternative proteins, their development, characterisation, or production. The study assesses conventional food consumption patterns and their relationship to body weight status, with no mention of plant-based, fermented, or cultivated protein alternatives as substitutes for animal products.</t>
  </si>
  <si>
    <t xml:space="preserve">pub.1194240340</t>
  </si>
  <si>
    <t xml:space="preserve">Associations between exposure to metals, chlorinated pesticides, and PCBs and differential leukocyte profiles in Flemish adolescents</t>
  </si>
  <si>
    <t xml:space="preserve">Although environmental pollutants are known to affect the immune system, the impact of chemical mixtures on adolescent immune function remains understudied. Adolescence is a critical period for immune maturation, and disruptions during this stage may have implications for long-term health. Leukocytes, key components of the immune system, serve as indicators of immune status, with altered levels reflecting potential inflammation or immunosuppression. The present study examined the associations of 14 chemical exposure biomarkers measured in blood with counts of total leukocytes and leukocyte subtypes in 980 adolescents (13-16 years old) from the Flemish Environment and Health Studies 2012-2020 (FLEHS III and IV). The exposure biomarkers included 5 metals, 3 chlorinated pesticides, and 6 polychlorinated biphenyls (PCBs). We used four different statistical approaches: multiple linear regression, elastic net, Bayesian model averaging, and Bayesian kernel machine regression. Total leukocyte and neutrophil counts were negatively associated with PCBs and manganese (Mn), and positively associated with copper (Cu), whereas lymphocyte count was negatively associated with thallium (Tl). The neutrophil-lymphocyte ratio (NLR) was also negatively associated with Mn. An analysis excluding smokers additionally showed that higher cadmium (Cd) concentrations were associated with lower leukocyte count. Our study suggests immunosuppressive effects of PCBs, non-essentials metals Tl and Cd, and the essential metal Mn. Due to the cross-sectional design, we cannot rule out the possibility of reverse causation. The current study provides epidemiological evidence that exposure to metals and PCBs may have adverse effects on the immune system at concentrations detected in a general population of adolescents.</t>
  </si>
  <si>
    <t xml:space="preserve">This publication is an epidemiological study examining associations between environmental pollutant exposures and immune function markers in adolescents. It has no connection to alternative proteins, protein sources, food production, or food substitutes. The research focuses on environmental health and toxicology, not on plant-based, fermentation-derived, or cultivated proteins for human food.</t>
  </si>
  <si>
    <t xml:space="preserve">pub.1191159240</t>
  </si>
  <si>
    <t xml:space="preserve">Understanding foodscapes for sustainable diets in rural localities in Tunisia: Integrating multiple methods and tools in a mixed-methods design</t>
  </si>
  <si>
    <t xml:space="preserve">BACKGROUND: Understanding foodscapes is essential for developing effective interventions to support nutritional health. However, resource limitations often hinder comprehensive foodscape assessments linked to dietary outcomes. This study aimed to examine the foodscapes in the context of sustainable diets within a food systems framework in rural farming communities in Tunisia.
METHODS: A mixed-methods approach using the following tools and methods, was employed in a sample of four rural communities in Tunisia to explore food beliefs and dietary influencers: market observation combined with a food costing survey, a household survey including dietary data collection using Diet Quality Questionnaire, distance from market, meal decision influencers, anthropometric and demographics data, and focus group discussions.
RESULTS: The participants' (n = 692) dietary quality and BMI were significantly associated with gender, age, distance from fresh markets, and education. Food price was significantly positively associated with dietary diversity and with both health-protective and health-risking food groups' consumption. Focus group discussions revealed religion and culture's embeddedness in food beliefs and behaviors. Participants placed animal-sourced foods and grain-based products among the top highly praised foods for health, with significantly more men than women believing meat was necessary for good health. Few respondents considered legumes as meat-alternatives.
CONCLUSION: This foodscapes study presented the application of farming household survey, food market and costing, and restaurant observation data, and focus group discussion in a convergent parallel mixed methods design to efficiently assess foodscapes in rural Tunisia. The tools enabled the identification of eco-socio-cultural factors that can guide the designing of interventions for sustainable diets.</t>
  </si>
  <si>
    <t xml:space="preserve">This publication is a foodscape and dietary assessment study in rural Tunisia focused on understanding food beliefs, dietary patterns, and nutritional outcomes in farming communities. It does not concern the development, characterization, or optimization of alternative proteins (plant-based, fermentation-derived, or cultivated). While legumes are mentioned, they are discussed only as conventional foods in the context of dietary patterns, not as alternative protein ingredients or products intended to substitute animal proteins. The study's primary aim is nutritional epidemiology and food systems assessment, not alternative protein research.</t>
  </si>
  <si>
    <t xml:space="preserve">pub.1185271226</t>
  </si>
  <si>
    <t xml:space="preserve">Construction of a CRISPR‐Cas9‐Based Genetic Editing Tool for Serratia marcescens Using a Stationary Phase Promoter and Its Application in Putrescine Production</t>
  </si>
  <si>
    <t xml:space="preserve">Putrescine plays a significant role in green food production and agriculture by promoting plant growth and enhancing crop quality. Its application reduces the reliance on chemical fertilizers and pesticides, thereby supporting the advancement of sustainable agricultural practices. This study achieved efficient production of putrescine in Serratia marcescens. S. marcescens has been extensively used to synthesize antimicrobial substances and express proteins, but its application has been limited by the lack of efficient genome-editing tools. This study presents a CRISPR-Cas9-based tool for gene editing in S. marcescens. A dual-plasmid system was constructed, incorporating an editing template into the plasmid pEdit with target-specific sgRNA. A stationary phase promoter was used to express Cas9 from Streptococcus pyogenes protein, avoiding the need for additional inducers and ensuring efficient one-step gene knockout and integration. The tool demonstrated over 80% editing efficiency across various S. marcescens strains and enabled successful single-base mutations. Using this tool, we enhanced putrescine production in S. marcescens HBQA7, optimizing the expression of ornithine decarboxylase from Clostridium aceticum DSM1496 with the P2 promoter and identifying the optimal integration site. Putrescine production reached 8.46 g/L within 48 h. This study significantly advances S. marcescens gene editing and metabolic engineering.</t>
  </si>
  <si>
    <t xml:space="preserve">This publication focuses on putrescine production for agricultural applications (plant growth promotion, crop quality enhancement, reducing chemical fertilizer/pesticide reliance). Putrescine is not intended as a substitute for conventional animal proteins in human food, and the stated use case is agricultural, not human food. Therefore, it is out of scope regardless of the fermentation-based production method employed.</t>
  </si>
  <si>
    <t xml:space="preserve">pub.1188562954</t>
  </si>
  <si>
    <t xml:space="preserve">Policy Analysis on Microbial Biomass Value Chains</t>
  </si>
  <si>
    <t xml:space="preserve">Alternative protein sources as a means for fighting food insecurity have become more prevalent in various initiatives. Nevertheless, there are only a few cases with actual microbial food and feed production on an industrial scale. The overall landscape is developing, but as there are very few functional plants, it is not clear whether the regulatory framework is robust enough to ensure product safety and whether the regulatory framework does not include any unnecessary hurdles for alternative food and feed to reach the market. In this paper, a content analysis was performed of various European Level documents referred to microbial biomass value chains, including the potential substrates of agro-industrial sources. The literature sources were gathered using a snow-balling approach and further analysis was done on a keyword basis screening the documents for corresponding paragraphs. Quantitative sorting was done by assessing the keyword count, document types, and timeline. As a result, regulatory gaps and hurdles for microbial biomass production from agro-industrial side streams were elucidated.</t>
  </si>
  <si>
    <t xml:space="preserve">This publication directly addresses microbial biomass as an alternative protein source for human food, focusing on regulatory and policy aspects of fermentation-derived proteins. The abstract explicitly discusses microbial food production, alternative proteins for food insecurity, and regulatory frameworks governing microbial biomass value chains, which are core in-scope topics for alternative protein research. The fermentation label applies as microbial biomass is the primary protein source being analyzed.</t>
  </si>
  <si>
    <t xml:space="preserve">F</t>
  </si>
  <si>
    <t xml:space="preserve">pub.1185056158</t>
  </si>
  <si>
    <t xml:space="preserve">Lactic acid fermentation improves nutritional and functional properties of chickpea flours</t>
  </si>
  <si>
    <t xml:space="preserve">Consumption of healthy diets with low environmental impact is crucial for improving global health. Legumes, like chickpeas, serve as valuable meat alternatives due to their nutritional profile, which may be improved through fermentation. This study aimed to develop innovative fermented chickpea flours using lactic acid bacteria (LAB) strains from diverse ecosystems and evaluate their nutritional and functional properties in vitro. Fourteen batches of 20% chickpea-based puree were produced and fermented with 14 LAB isolated from different ecosystems. After fermentation, flours were obtained by freeze-drying. Most LAB grew well and reduced the pH of chickpea purees below 5 within 48 h. The flours were characterized for the content of polyphenols, bioactive peptides (BAPs), free amino groups (FAG), and phytic acid along with the total antioxidant capacity (TAC). Results showed that flours fermented by four LAB strains, including Enterococcus hirae and Enterococcus faecium had higher FAG and BAPs, including inhibitors of Dipeptidyl peptidase-IV and Angiotensin-converting enzyme. Flours fermented by Leuconostoc mesenteroides OM94, Lactiplantibacillus plantarum 299v, Lactiplantibacillus plantarum E75, Lactiplantibacillus plantarum LPPB, and Lacticaseibacillus casei LBC491 contained higher amounts of polyphenols, had soluble TAC that was 10-fold and direct TAC 3-fold higher, and lower phytic acid content than the control flour. Pyrogallol was detected in fermented products for the first time, and protocatechuic 4-O-glucoside increased three times in chickpea flours fermented by Leuconostoc mesenteroides OM94 compared to the control. In conclusion, fermentation improved the nutritional and functional qualities of chickpea flour, identifying promising LAB strains to enhance antioxidant capacity and polyphenols availability.</t>
  </si>
  <si>
    <t xml:space="preserve">This publication directly addresses fermentation processing of chickpea (a plant legume) to improve its nutritional and functional properties as a meat alternative. The stated use case is explicitly substituting animal proteins in human food ('meat alternatives'), and fermentation is used as a processing method to enhance the plant protein source. According to the boundaries, when fermentation modifies a plant protein for improved functionality, it should be classified as plant-based with fermentation as the processing method. Both labels apply here: plant-based because chickpea is the primary protein source, and fermentation because LAB fermentation is the key processing innovation being evaluated.</t>
  </si>
  <si>
    <t xml:space="preserve">Edit to prompt: specify traditional fermentation is plant-based</t>
  </si>
  <si>
    <t xml:space="preserve">pub.1184066957</t>
  </si>
  <si>
    <t xml:space="preserve">Screening of Plant UDP-Glycosyltransferases for Betanin Production in Yeast</t>
  </si>
  <si>
    <t xml:space="preserve">To cover the rising demand for natural food dyes, new sources and production methods are needed. Microbial fermentation of nature-identical colours, such as the red pigment betanin, has the potential to be a cost-efficient alternative to plant extraction. The last step of betanin production is catalysed by a UDP-glycosyltransferase (UGT). To find a high-performing UGT, we screened 27 UGTs from different plant species and tested their ability to produce betanin in vivo in Saccharomyces cerevisiae. We identified two new UGTs likely involved in the betanin synthesis in the plant they derive from: CqGT2 (UGT73A37) from Chenopodium quinoa and BgGT2 (UGT92X1) from Bougainvillea glabra. The betanin-producing UGTs were also tested in Yarrowia lipolytica, where CqGT2 was the best-performing glycosyltransferase for betanin production. While it has previously been shown that the UGTs can glycosylate either betanidin or cyclo-DOPA to ultimately form betanin, the molecular mechanism behind the preference for the acceptor molecule has not been elucidated. Therefore, we performed in silico structural analysis to characterise the betanin-producing UGTs further, particularly by looking into their binding mechanism. The docking model suggested that a smaller binding site found in some UGTs only allows glycosylation of cDOPA, while a wider binding site allows glycosylation of both cyclo-DOPA and betanidin.</t>
  </si>
  <si>
    <t xml:space="preserve">This publication focuses on betanin production as a food dye through fermentation, not as a protein ingredient or substitute for animal proteins. Betanin is a pigment/colorant, and the stated use case is covering demand for natural food dyes, which falls outside the scope of alternative proteins intended to substitute conventional animal proteins in human food.</t>
  </si>
  <si>
    <t xml:space="preserve">pub.1195483976</t>
  </si>
  <si>
    <t xml:space="preserve">Emulsifying behavior of plant proteins investigated via surface hydrophobicity and molecular weight distribution</t>
  </si>
  <si>
    <t xml:space="preserve">Plant proteins exhibit wide variability in emulsifying behavior due to differences in composition, molecular structure, and processing history. This study investigated the relationship between intrinsic physicochemical properties and emulsifying behavior of eleven commercial protein isolates and concentrates derived from bovine milk, soy, canola, faba bean and pea. Key properties including solubility, surface hydrophobicity (SH), molecular weight distribution (MWD), and zeta-potential of the protein ingredients were characterized and evaluated in relation to emulsion droplet size. Among these parameters, MWD showed a moderate correlation with emulsion droplet size (R² = 0.64), while SH and zeta potential exhibited no meaningful correlation (R² &lt; 0.1). When MWD and SH were evaluated together, a clearer trend and separation emerged. Plant proteins with both high molecular weight and low surface hydrophobicity showed a tendency to form heavily flocculated emulsions. This flocculation likely resulted from slower interfacial adsorption and incomplete surface coverage, leading to droplet flocculation at early stages of emulsification. Under a specific set of formulation and processing conditions, emulsions prepared with alkaline-extracted pea and faba protein had smaller droplet size than their air-classified counterparts, likely due to their lower MWD and modified interfacial behavior induced by alkaline treatment. These findings show that the combination of MWD and SH could be useful in understanding the emulsifying behavior of commercial plant protein ingredients and helping in the screening and formulation of plant protein ingredients for food and beverage applications.</t>
  </si>
  <si>
    <t xml:space="preserve">This publication directly investigates physicochemical properties of plant protein isolates and concentrates (soy, canola, faba bean, pea) in relation to their emulsifying functionality for food applications. The research focuses on optimizing plant protein ingredients for use in food formulations, which is clearly within scope as it advances the characterization and functional optimization of plant-based proteins intended as substitutes for conventional animal proteins (bovine milk protein is included as a comparison). Protein is the primary focus, and the findings are directly relevant to developing improved plant-based food ingredients.</t>
  </si>
  <si>
    <t xml:space="preserve">pub.1194872857</t>
  </si>
  <si>
    <t xml:space="preserve">Cultured meat: advances in stem cell biology, tissue engineering, and bioprocess optimisation for scalable and sustainable production—a review</t>
  </si>
  <si>
    <t xml:space="preserve">Abstract Cultured meat represents an emerging technology with the potential to address global food security and sustainability challenges by producing animal-derived meat without slaughter. Unlike plant-based alternatives, it replicates the biological and sensory properties of conventional meat through controlled cell cultivation. This review provides an integrated overview of recent advances in cell line development, differentiation strategies, scaffold engineering, bioreactor design, and media optimisation for scalable cultured meat production. It also examines critical challenges related to cost reduction, automation, and process control, as well as consumer acceptance and regulatory readiness. By combining progress in stem cell biology, tissue engineering, and bioprocessing, this review highlights the translational pathway of cultured meat development—from the laboratory bench to the dining table—emphasising its multidisciplinary nature and potential for sustainable commercialisation.</t>
  </si>
  <si>
    <t xml:space="preserve">This review directly addresses cultured meat production through cell cultivation, tissue engineering, and bioprocessing—core topics within the cultivated meat category. The publication focuses on cell line development, differentiation strategies, scaffold engineering, bioreactor design, and media optimisation, all of which are explicitly in-scope elements for cultivated meat research intended for human food.</t>
  </si>
  <si>
    <t xml:space="preserve">pub.1192633950</t>
  </si>
  <si>
    <t xml:space="preserve">Bioaccessible compounds from bean (Phaseolus vulgaris L.) landraces activate PPARγ in transiently transfected HepG2 cells</t>
  </si>
  <si>
    <t xml:space="preserve">Common beans (Phaseolus vulgaris L.) are a nutrient-dense staple food associated with a reduced risk of noncommunicable chronic diseases. One proposed mechanism involves the modulation of nuclear receptors, particularly peroxisome proliferator-activated receptors (PPARs), which are key regulators of lipid and carbohydrate metabolism. In this study, we evaluated the effects of in vitro digested flours, secondary metabolite-enriched extracts (SMEEs), their fractions, and selected representative phytochemicals from 14 landraces and 2 commercial P. vulgaris samples to directly activate PPARs and other nuclear receptors using a luciferase reporter assay in transiently transfected HepG2 cells. We hypothesized that bioaccessible compounds from the digested landraces would directly activate PPARγ in HepG2 cells. Digested flours from landraces such as Magnum and Peumo significantly activated both PPARγ1 and PPARγ2, reaching values up to 1.54-fold higher than the controls (P &lt; .05). Corresponding SMEEs showed stronger activities, with up to 2.32-fold activation compared to the controls (P &lt; .05). In contrast, none of the polarity-based fractions or the major identified phytochemicals (kaempferol-3-O-glycoside, sojasaponin Ba and Bb) showed significant effects. These findings demonstrate that digested P. vulgaris matrices contain bioaccessible compounds capable of directly activating PPARγ in HepG2 cells, likely through synergistic interactions or unidentified constituents. This mechanistic evidence supports the functional relevance of traditional bean landraces in precision nutrition strategies targeting metabolic health.</t>
  </si>
  <si>
    <t xml:space="preserve">This publication investigates the bioactive and health-promoting properties of bean phytochemicals and their effects on nuclear receptors in cell culture. While beans are plant-based foods, the research focuses on nutraceutical and health outcome aspects (PPAR activation, metabolic health, chronic disease prevention) rather than protein as a primary focus for substituting animal products. The stated aim is understanding functional food mechanisms, not developing plant-based protein ingredients or analogues for animal product substitution. This falls under the exclusion for nutraceuticals and health-promoting ingredients where the use case is not substituting animal proteins.</t>
  </si>
  <si>
    <t xml:space="preserve">pub.1191456334</t>
  </si>
  <si>
    <t xml:space="preserve">Comparative Analysis of Composition, Texture, and Sensory Attributes of Commercial Forms of Plant-Based Cheese Analogue Products Available on the Irish Market</t>
  </si>
  <si>
    <t xml:space="preserve">The increasing demand for plant-based foods has led to significant growth in the availability, at a retail level, of plant-based cheese analogue products. This study presents the first comprehensive benchmarking of commercially available plant-based cheese analogue (PBCA) products in the Irish market, comparing them against conventional cheddar and processed dairy cheeses. A total of 16 cheese products were selected from Irish retail outlets, comprising five block-style plant-based analogues, seven slice-style analogues, two cheddar samples, and two processed cheese samples. Results showed that plant-based cheese analogues had significantly lower protein content (0.1-1.7 g/100 g) than cheddar (25 g/100 g) and processed cheese (12.9-18.2 g/100 g) and lacked a continuous protein matrix, being instead stabilized largely by solid fats, starch, and hydrocolloids. While cheddar showed the highest hardness, some plant-based cheeses achieved comparable hardness using texturizing agents but still demonstrated lower tan δmax values, indicating inferior melting behaviour. Thermograms of differential scanning calorimetry presented a consistent single peak at ~20 °C across most vegan-based variants, unlike the dual-phase melting transitions observed in dairy cheeses. Sensory analysis further highlighted strong negative associations between PBCAs and consumer-relevant attributes such as flavour, texture, and overall acceptability. By integrating structural, functional, and sensory findings, this study identifies key formulation and performance deficits across cheese formats and provides direction for targeted improvements in next-generation PBCA product development.</t>
  </si>
  <si>
    <t xml:space="preserve">This publication directly addresses plant-based cheese analogues, a dairy substitute product, with comprehensive analysis of composition, texture, functionality, and sensory attributes. The research is explicitly focused on optimizing and improving plant-based cheese products through identification of formulation deficits and performance gaps, which aligns with advancing the development and characterization of alternative protein products intended to substitute conventional animal proteins in human food.</t>
  </si>
  <si>
    <t xml:space="preserve">pub.1192499872</t>
  </si>
  <si>
    <t xml:space="preserve">Microalgal biomass in the European food industry: navigating regulation, technological innovation, and consumer acceptance</t>
  </si>
  <si>
    <t xml:space="preserve">The growing need for sustainable and nutrient-dense food sources has positioned microalgae as a promising ingredient for the food industry. Rich in high-quality proteins, essential fatty acids, vitamins, and bioactive compounds, microalgae hold great potential as functional ingredients in the development of health-promoting food products. However, regulatory, technological, and consumer-related barriers still limit their widespread adoption in Western countries. While certain species have a history of consumption, many still require approval under the EU Novel Food Regulation before commercialization. Additionally, processing and formulation challenges arise due to protein interactions, water absorption dynamics, bioaccessibility constraints, and final sensory attributes, as their strong pigmentation and marine-like flavours can impact consumer acceptance. Studies confirm that low incorporation levels (≤3 %) generally maintain favourable sensory properties in staple products. Among emerging applications, meat analogues represent a particularly promising area, where the novelty of the product category allows for more flexible taste expectations and sensory reinterpretation, although limitations in texturization remain. Sensory optimization strategies, including encapsulation and flavour masking, are being explored to enhance palatability, while pulsed electric field, mechanical (i.a., ultrasounds, high-pressure homogenization) and enzymatic treatments are being implemented to improve nutrients absorption. Although food neophobia, dietary habits, and cost remain key barriers to consumer acceptance of microalgae-based foods, neuromarketing approaches offer promising tools to influence perception and encourage adoption. Advances in cultivation efficiency, genetic engineering, formulation and processing techniques are progressively improving scalability, affordability, and sensory appeal, paving the way for microalgae to evolve from niche applications to mainstream food alternatives.</t>
  </si>
  <si>
    <t xml:space="preserve">This publication directly addresses microalgal biomass as a protein source for human food applications, including development as meat analogues and functional ingredients. Microalgae are classified as fermentation-derived proteins per the boundaries provided. The paper covers regulatory, technological, processing, and consumer acceptance aspects of microalgal proteins—all within scope for alternative protein research. The focus on protein functionality, processing optimization, and product development for food substitution clearly qualifies this as in-scope alternative protein research.</t>
  </si>
  <si>
    <t xml:space="preserve">pub.1195186564</t>
  </si>
  <si>
    <t xml:space="preserve">Dual enhancement of mycoprotein nutrition and sustainability via CRISPR-mediated metabolic engineering of Fusarium venenatum</t>
  </si>
  <si>
    <t xml:space="preserve">Mycoprotein (MP) production represents a promising environmentally sustainable strategy to address global protein deficit. To enhance the nutritional profile and production efficiency of MP, we employed CRISPR/Cas9-mediated scarless gene knockout and obtained a Fusarium venenatum strain (designated FCPD), which exhibited a 32.9% increase in essential amino acid index (EAAI) through targeted truncation of competitive metabolic pathways and regulation of amino acid metabolism or biosynthesis. FCPD achieved a 44.3% reduction in substrate consumption while improving MP production rate by 88.4% compared with the wild type (WT) strain. The cradle-to-gate life cycle assessment (LCA) shows that FCPD could reduce environmental impacts such as global warming potential (GWP) by 4-61.3% under production scenarios in six representative countries. Comparative environmental performance demonstrated the superiority of FCPD-MP over cell-cultured meat and chicken meat. These findings establish CRISPR/Cas technology and metabolic engineering as the dual-purpose tool for both nutritional enhancement and environmental impact mitigation in alternative protein production.</t>
  </si>
  <si>
    <t xml:space="preserve">This publication directly addresses mycoprotein production via fermentation of Fusarium venenatum, a fungal biomass used as an alternative protein source for human food. The research focuses on strain optimization through CRISPR-mediated metabolic engineering to enhance nutritional profile and production efficiency, which is core to fermentation-based alternative protein development. The inclusion of life cycle assessment comparing environmental impacts with conventional animal proteins further confirms the in-scope focus on alternative protein advancement.</t>
  </si>
  <si>
    <t xml:space="preserve">pub.1185123960</t>
  </si>
  <si>
    <t xml:space="preserve">Recent advances and challenges in mechanistic modelling of photosynthetic processes for wastewater treatment</t>
  </si>
  <si>
    <t xml:space="preserve">Phototrophy-based wastewater treatment has the potential to reduce wastewater bioremediation costs, improving environmental impacts and allowing for enhanced resource recovery. Microbial interactions occurring in phototrophic-chemotrophic consortia treating wastewater are particularly complex, and with varying impact on each microbial clade by different chemical, biological and physical factors, including light-related aspects. For this reason, mechanistic mathematical modelling of these systems is challenging, and the resulting models are especially complex. The present study focuses particularly on the extension of microalgae-focused models to the simulation of phototrophic-chemotrophic systems, especially as for (i) microalgae-bacteria consortia and (ii) purple bacteria-enriched communities. The review identifies model structures and typical modelling choices, as well as the potential applications and limitations of available experimental protocols for model calibration, identifying relevant research needs and requirements. Simplified models have been proposed, which allow assessment of dominant mechanisms, but may not represent more complex behaviour, including nutrient removal and response to light cycling. These models have been largely applied to simple (oxygen and carbon dioxide) exchange between algae and aerobic heterotrophs. More comprehensive models, including all relevant microbial clades, have been recently published, which consider nutrient cycling, competitive uptake, and other features, including temperature, pH, and gas transfer. These models have comparable structures, but a quantitative comparison between these models is often challenging due to different fundamental stoichiometry (e.g., in the assumed algae composition), or in differing approaches to storage compounds. Particularly for models with a high complexity, it is often difficult to properly estimate biokinetic species-specific parameters for the different phototrophic and chemotrophic populations involved. Several methods have been proposed for model calibration, among which photo-respirometry has shown considerable potential. However, photo-respirometric methods do not follow a standardised approach, which has limited their application and comparability between studies. Finally, the validation of models on long-term data sets, demonstrating the impact of seasonality, as well as long-term population adaptation, is rare.</t>
  </si>
  <si>
    <t xml:space="preserve">This publication focuses on mathematical modelling of photosynthetic wastewater treatment systems using microalgae-bacteria consortia and purple bacteria communities. While microalgae are mentioned, the primary focus is on wastewater bioremediation and environmental treatment, not on microalgae or microbial proteins as food ingredients or substitutes for animal proteins in human food. The stated use case is environmental remediation and resource recovery from wastewater, not human food production.</t>
  </si>
  <si>
    <t xml:space="preserve">pub.1189404105</t>
  </si>
  <si>
    <t xml:space="preserve">Multi-Reflectance-Spectroscopy, Part II: Optical Sensor for In-Line Monitoring of Fat and Protein in Milk-Based Products</t>
  </si>
  <si>
    <t xml:space="preserve">This study presents an optical sensor system utilizing multi-reflectance spectroscopy (MRS), specifically designed for in-line applications to enable the real-time determination of fat and protein content in milk products, simultaneously. This method employs multiple light wavelengths and various illumination-detection geometries. A field study was conducted in a milk mixing plant, where measurements were obtained from milk products with varying fat and protein concentrations, with a particular focus on recombined milk samples and a brief comparison to conventional milk products. In a first step the experimental data are compared with simulation data obtained from an analytical MRS formula. The fundamental spectroscopic characteristics, particularly the dependence of reflectance values on fat concentrations, as well as the relationship between wavelength and reflectance, remained consistent. However, some experimental bias was observed in the absolute values when comparing the analytical and experimental results. Secondly, to get reflectance models multi-linear regressions (MLR) were carried out based on the experimental and analytical data as well fat and protein content obtained from traditional wet chemical methods. To estimate the model accuracy the root mean square error (RMSE) has been used yielding around 0.1 wt% for fat and protein. A validation procedure using recombined milk results in approximately 0.1 wt% for fat and around 0.2 wt% for protein. Finally, it is shown that the process sample temperature has only a small influence on the reflectance. In contrast the homogenization pressure significantly influences the reflectance and should be considered to ensure accurate monitoring.</t>
  </si>
  <si>
    <t xml:space="preserve">This publication concerns analytical instrumentation and quality control methods for conventional dairy products (milk-based products), not alternative proteins. The research focuses on optical sensor development for monitoring fat and protein content in milk, which is a conventional animal-derived product. There is no stated or implied use case related to substituting animal proteins with plant-based, fermented, or cultivated alternatives.</t>
  </si>
  <si>
    <t xml:space="preserve">pub.1184361111</t>
  </si>
  <si>
    <t xml:space="preserve">Evolving Appetites: Current Evidence and Future Perspectives in Terms of Meat Substitutes in Europe</t>
  </si>
  <si>
    <t xml:space="preserve">Consumers are increasingly aware of the environmental and health impacts of their food choices, leading to changes in consumption behavior. This study examines the consumption patterns and behaviors of European consumers regarding meat substitutes and identifies factors influencing their acceptance as alternative protein sources. The study involved 5000 participants from four European countries-France, Germany, Italy, and Spain with data extracted from the Mintel consumer database in 2024. Results indicate that over 50% of consumers in these countries have reduced their intake of red meat, with a notable portion of German consumers adhering to a vegan diet. Across the sample, females significantly differ from males, as they consume less meat, tend to limit their meat intake, and show a greater interest in reducing meat consumption. Baby Boomers predominantly consume more meat and show less interest in reducing their meat intake compared to younger generations. Economic and sustainability aspects are key perceptions driving the perceived benefits of reducing meat consumption. Additionally, preferences for locally sourced products, meat-like taste and texture, and natural ingredients are primary considerations when purchasing meat substitutes. Fish substitutes were rated as popular meat substitutes in France, Italy, and Spain, while breaded or battered meat/poultry substitutes were the most popular choice in Germany. Insights from this study are valuable for market researchers and the food industry, offering guidance on supplying appealing and sustainable protein alternatives that encourage a shift toward healthier and more sustainable consumption behavior.</t>
  </si>
  <si>
    <t xml:space="preserve">This publication examines consumer acceptance, consumption patterns, and preferences for meat substitutes across European markets. It directly addresses alternative protein sources intended to substitute for conventional animal proteins (meat and fish), covering consumer perception, market factors, and product preferences—all of which fall within the scope of alternative protein research on societal and consumer acceptance aspects. The focus on meat and fish substitutes as alternatives to animal proteins makes this in scope, though the study is primarily consumer-focused rather than technical development-focused.</t>
  </si>
  <si>
    <t xml:space="preserve">Edit to prompt: add CC label for only pubs that address broad alt protein issues</t>
  </si>
  <si>
    <t xml:space="preserve">pub.1196106517</t>
  </si>
  <si>
    <t xml:space="preserve">Plant-Based vs. Pork Sausages: Protein Nutritional Quality and Antioxidant Potential in the Bioaccessible Fraction</t>
  </si>
  <si>
    <t xml:space="preserve">The sales volume and consumption of plant-based meat substitutes is steadily increasing. Since meat and meat products are an important protein source, this study focused on the nutritional protein quality (Digestible Indispensable Amino Acid Score (DIAAS)) of alternative sausages based on soy, wheat, and a wheat-soy blend in comparison to a pork-based sausage using the tiny-TIMsg gastrointestinal model. The protein digestibility of all products ranged from 80.8% (soy sausage) and 87.1 to 89.0% (other sausages). The highest DIAAS values were obtained for pork sausage limited by leucine (116%). Soy sausage was limited in sulfur-containing amino acids (86%). Wheat and wheat-soy sausages were limited by lysine (33% and 41%, respectively). The antioxidant activity of the bioaccessible fractions revealed a higher antioxidative potential of the plant-based sausages. While plant-based sausages offer comparable protein digestibility and superior antioxidant capacity, their significantly lower DIAAS values underscore the potential for formulation strategies that consider nutritional aspects.</t>
  </si>
  <si>
    <t xml:space="preserve">This publication directly compares plant-based meat analogues (soy, wheat, and wheat-soy blend sausages) with conventional pork sausage, focusing on protein nutritional quality and digestibility—key parameters for optimizing alternative protein products as substitutes for animal proteins in human food. The research is clearly intended to advance understanding of plant-based meat performance and inform formulation improvements.</t>
  </si>
  <si>
    <t xml:space="preserve">pub.1192912562</t>
  </si>
  <si>
    <t xml:space="preserve">Cake fortification with dietary fibre: Impact of fibre ingredients in a cake model system</t>
  </si>
  <si>
    <t xml:space="preserve">Despite its various health benefits, dietary fibre (DF) remains under-consumed, and many individuals fail to meet the recommended daily intake. Incorporating DF into wildly consumed foods while maintaining product quality is a significant challenge due to the negative impact on texture and sensory characteristics. Pound cake is a popular dessert in the Western world, however it is high in refined flour, sugar and fat; increasing the risk of type 2 diabetes, obesity, and cardiovascular disease. This study demonstrates the effect of different DF ingredients on the quality of cake and further investigates the concentrations at which resistant starch, pectin, β -glucan, cellulose and arabinoxylan can coexist. Response surface methodology resulted in the replacement of 38.45% flour by a optimal mixture of fibre ingredients. Evaluation of physicochemical characteristics including shelf life and sensory attributes showed that cake fortified with DF had a similar specific volume (-1.6%), a slightly harder crumb (+7.7%), but a prolonged shelf life (14 days) and an improved in vitro starch digestion profile than the control cake. Sensory results did not show a difference in the taste and hedonic attributes. This study provides information to progress in closing the fibre gap of foods without compromising consumer acceptability.</t>
  </si>
  <si>
    <t xml:space="preserve">This publication concerns cake fortification with dietary fibre ingredients and does not focus on alternative proteins. The stated aim is to develop a food product (cake) that does not substitute animal proteins, and protein is not a primary focus of the research. This falls under the exclusion criterion for foods that do not substitute animal proteins.</t>
  </si>
  <si>
    <t xml:space="preserve">pub.1194557209</t>
  </si>
  <si>
    <t xml:space="preserve">Natural Deep Eutectic Solvents for Agro-Industrial By-Product Valorization: Emerging Strategies for the Development of Functional Foods Targeting Diabetes</t>
  </si>
  <si>
    <t xml:space="preserve">Natural deep eutectic solvents (NaDESs) have emerged as green and sustainable alternative solvents for extracting valuable bioactive compounds from agro-industrial by-products. NaDESs are stable, soluble, and biodegradable with low melting points and a wide range of applications. These characteristics align closely with the principles of green chemistry, making NaDESs promising for use in the food industry. Recent studies demonstrate that NaDESs can effectively extract proteins, polysaccharides, polyphenols, carotenoids, alkaloids, and other bioactives from sources such as vegetable waste, cereal by-products, and fruit pomace, often performing better than traditional solvents such as methanol and ethanol. The bioactive components of these extracts may exhibit antioxidant, anti-inflammatory, antihypertensive, anticancer, or antimicrobial activity and can be used as functional ingredients, nutraceuticals, or preservatives. Furthermore, NaDES-derived extracts have been shown to have hypoglycemic effects by inhibiting enzymes involved in the metabolism of carbohydrates and reducing oxidative stress. As a result, they may find use as functional food ingredients in diabetes management. This review presents the recent research on the extraction of bioactive compounds from agro-industrial by-products using NaDESs and an evaluation of their antidiabetic potential.</t>
  </si>
  <si>
    <t xml:space="preserve">This publication focuses on extraction of bioactive compounds (polyphenols, carotenoids, alkaloids) from agro-industrial by-products using natural deep eutectic solvents, with application as functional food ingredients and nutraceuticals for diabetes management. While plant-derived materials are discussed, protein is not a primary focus—the emphasis is on bioactive compound extraction and health-promoting properties. The stated aim is development of nutraceuticals and health-promoting ingredients for disease management, which falls under explicit exclusions. This is not research on alternative proteins as substitutes for animal products in human food.</t>
  </si>
  <si>
    <t xml:space="preserve">pub.1193123540</t>
  </si>
  <si>
    <t xml:space="preserve">Intercropping traditional pea varieties with faba bean produces grain yields similar to pure stands of modern varieties in organic agriculture</t>
  </si>
  <si>
    <t xml:space="preserve">Although being a historical farming practise, little research has been performed on intercropping pea with faba bean, and no study has previously tested traditional varieties in this species combination. To evaluate the influence of variety and seeding ratio on grain yield in pea-faba bean intercropping, a field experiment was conducted over three years (2021–2023) under organic management in southern Sweden. The experiment included a set of three faba bean varieties, and nine traditional and one modern pea variety. Total yield (sum of both species) of the intercrops with traditional pea varieties varied from around 0.44 to 4.9 t ha−1 across all years and treatments, and several of the intercrop combinations were as productive as pure stands of modern varieties (both species). When compared in intercropping, some traditional pea varieties produced higher pea yield than the modern variety. There was a big difference among pea varieties in their competitiveness toward the intercropped faba bean. By using traditional varieties, it was possible to find matching maturity times and segregating seed sizes between the two species. Intercropping did generally not influence time to pod maturity or seed size. Traditional pea varieties suffered from severe lodging in pure stands and gained improved standing ability when intercropped with faba bean. This study has shown that intercropping pea with faba bean can facilitate the production of traditional pea varieties that lack proper standing ability on their own; however, different varieties require different seeding ratios for optimal performance.</t>
  </si>
  <si>
    <t xml:space="preserve">This publication focuses on agronomic optimization of pea and faba bean crop yields through intercropping practices under organic farming. While peas and faba beans are legume crops that contain protein, the research does not address protein as a primary focus, nor does it concern development of alternative protein ingredients or products for human food substitution. The study is about crop production optimization, not protein functionality, processing, or use as animal protein substitutes.</t>
  </si>
  <si>
    <t xml:space="preserve">Agronomy not currently covered in prompt.</t>
  </si>
  <si>
    <t xml:space="preserve">Edit to prompt: add boundary condition to include agronomy of high-protein crops.</t>
  </si>
  <si>
    <t xml:space="preserve">pub.1192695772</t>
  </si>
  <si>
    <t xml:space="preserve">LP-40 Launch of the DIM testing project: when animal testing is difficult, impossible and meaningless (DIM) and implications for REACH regulation</t>
  </si>
  <si>
    <t xml:space="preserve">The EU's REACH Regulation Article 25 mandates that animal testing should be used only as a last resort. Adaptations of this standard (i.e. using animal test models) testing regime are described primarily through Annex XI. However, traditional in vivo testing remains common, often due to procedural rigidity and/or lack of understanding or proper application of regulatory framework, rather than scientific necessity. Approximately 5–7 million animals have been used or are in use for new in vivo toxicological and ecotoxicological studies under REACH [1] . The AFSA Collaboration launched a multi-phase project to address persistent misalignments between regulatory expectations and scientific best practices regarding non-animal approaches, with a focus on animal tests that are Difficult, Impossible, or Meaningless (DIM). DIM testing refers to cases where in vivo studies have been performed or requested when they are scientifically unfit, unjustified, technically infeasible, or irrelevant to real-world safety outcomes. Such tests often yield redundant, unreliable or unusable results, particularly for sub-stances with properties that compromise standard protocols, such as volatility, insolubility, or rapid degradation. Moreover, these unnecessary tests might subject animals to distressing and painful procedures without generating meaningful scientific data. The AFSA DIM Testing Project is systematically reviewing registration dossiers and compliance decisions to quantify the prevalence of DIM tests and identify missed opportunities for scientifically sound, non-animal alternatives. The multidisciplinary expert group defined objective DIM criteria for substances (to be) tested and applied them to case studies across sectors, revealing recurring gaps in guidance clarity, methodological relevance, and procedural flexibility. Preliminary findings suggest reliance on animal testing in scenarios where adaptations or modern methods would have been sufficient. Initial evidence suggests that ecotoxicological endpoints seem to be most affected, with high animal use and limited regulatory value. Based on these insights, the project has formulated preliminary recommendations to improve the implementation of the last resort requirement, increase regulatory acceptance of novel methods, and clarify when standard animal tests are inappropriate. As the European Commission prepares the REACH revision, this work highlights a timely opportunity to strengthen enforcement of Article 25, modernise testing frameworks, and uphold REACH's ethical and scientific commitments. A regulatory shift toward relevance-based, exposure-led safety assessment, rooted in robust non-animal methods, is essential for reducing unnecessary testing while maintaining high standards for human and environmental protection. On behalf of the Animal-Free Safety Assessment (AFSA) Collaboration</t>
  </si>
  <si>
    <t xml:space="preserve">This publication concerns regulatory policy and animal testing practices under REACH, with no focus on alternative proteins for human food. It addresses toxicological testing methodologies and regulatory frameworks, which falls outside the scope of alternative protein research regardless of its relevance to reducing animal testing generally.</t>
  </si>
  <si>
    <t xml:space="preserve">pub.1191057504</t>
  </si>
  <si>
    <t xml:space="preserve">Lysozyme/Alginate Interactions: Structural and Thermodynamic Insights through ITC and SAXS</t>
  </si>
  <si>
    <t xml:space="preserve">Coacervation and aggregation are distinct phase separation phenomena influenced by molecular properties and physicochemical conditions, such as pH and ionic strength. We investigate lysozyme (LYS)-alginate (ALG) mixtures at pH 7, focusing on the role of ionic strength in determining whether liquid-liquid phase separation (LLPS) or liquid-solid phase separation (LSPS) occurs. Using Isothermal Titration Calorimetry (ITC) and Small-Angle X-ray Scattering (SAXS), we find that a low salt (0-50 mM NaCl) induces compact fractal aggregates, while the intermediate salt (100-150 mM) yields coexisting or pure coacervates composed of larger swollen primary globules. At 200 mM NaCl, soluble complexes form instead of phase separation. ITC data reveal that both LSPS and LLPS are electrostatically driven, with the binding strength decreasing ∼50-fold from LSPS to LLPS conditions. These results demonstrate that phase behavior is tunable via ionic strength and that stronger interactions correlate with denser structures, highlighting distinct structural and energetic signatures for LSPS and LLPS.</t>
  </si>
  <si>
    <t xml:space="preserve">This publication is a fundamental biochemistry study investigating protein-polysaccharide interactions (lysozyme-alginate complexation) using biophysical techniques. While alginate is derived from macroalgae, the research focuses on phase separation phenomena and molecular interactions rather than developing alginate or lysozyme as alternative protein ingredients for human food. The stated aim is characterizing physicochemical properties of protein-polysaccharide mixtures, not substituting animal proteins in food products or advancing alternative protein development.</t>
  </si>
  <si>
    <t xml:space="preserve">pub.1190905692</t>
  </si>
  <si>
    <t xml:space="preserve">A global comprehensive review on cultured seafood</t>
  </si>
  <si>
    <t xml:space="preserve">A comprehensive review of the current state of research on cultured seafood, which identified 40 articles, focuses on six aspects: technology, public health, consumer acceptance, economic viability, environmental impact, and legislation. Findings suggest that this industry is less mature than the cultured meat counterpart, although there is growing interest by private and public stakeholders. More research is needed to explore the complex interplay of these six domains.</t>
  </si>
  <si>
    <t xml:space="preserve">This review comprehensively covers cultured seafood, which is cultivated animal cell/tissue technology for human food. The publication directly addresses research advancement, characterization, and understanding of cultivated seafood production across multiple dimensions (technology, consumer acceptance, economics, environment, legislation), all of which are explicitly in scope for alternative proteins.</t>
  </si>
  <si>
    <t xml:space="preserve">pub.1184315367</t>
  </si>
  <si>
    <t xml:space="preserve">In vitro and in vivo investigations on the use of yellow mealworm (Tenebrio molitor) as a novel protein feed ingredient for fattening lambs</t>
  </si>
  <si>
    <t xml:space="preserve">The quest for novel, alternative, and sustainable protein feed sources, including insects, has gained attraction by the feed industry. Here, two experiments (Exp.) explored the impacts of Tenebrio molitor meal (TMM) as a protein feed ingredient for fattening lambs, as compared to conventional plant-based and animal-based protein sources, namely soybean meal (SBM) and fish meal (FM), respectively. In Exp. 1, in vitro rumen gas kinetics and fermentation profile of three experimental diets [1- SBM at 150 g/kg dry matter (DM); 2- FM at 50 g/kg DM; and 3- TMM at 60 g/kg DM] were assessed using three fistulated lambs. In Exp. 2, twenty-four male Suffolk lambs [3 months of age; 24 ± 1.3 kg body weight (BW)] were randomly assigned for 30 days to one of the three experimental diets. Feed intake, digestibility, and nitrogen balance were assessed. At the end of the trial, the lambs were slaughtered, and samples of rumen (dorsal and ventral sacs), proximal intestine, and liver were collected and subjected to histomorphometric and histopathological evaluations. Data were analyzed using a general linear model and mixed models for the in vitro and in vivo trials, respectively; histopathological data were analyzed by a Kruskal-Wallis test. Results of Exp. 1 showed that total gas production was lower (P = 0.021; η2 = 0.359), while DM disappearance (P = 0.021; η2 = 0.233) and microbial crude protein production (P = 0.015; η2 = 0.347) were higher, for the TMM diet when compared to the FM diet, while the SBM diet showed intermediate values. Results of Exp. 2 revealed that the DM intake of TMM-fed lambs was comparable to that of FM-fed lambs, but lower than that of SBM-fed lambs (P = 0.035; η2 = 0.407). The average daily gain was the lowest in the TMM-fed lambs (P = 0.033; η2 = 0.373), while the final BW remained unaffected by diet. Higher total tract apparent digestibility of DM and organic matter was obtained with the TMM and FM diets than with the SBM diet (P &lt; 0.001; η2 = 0.411 and 0.408, respectively). Nitrogen balance ranked in the following order: FM &gt; TMM &gt; SBM (P &lt; 0.001; η2 = 0.385). Ruminal morphometric indexes (i.e., papillae length and width, absorption area, and thickness of mucosa, submucosa and muscular layers) were not affected by diet. When compared to SBM-fed lambs, the TMM- and FM-fed ones exhibited significantly lower severity of epithelial keratinization in the ruminal dorsal sac (P = 0.034; ε2 = 0.299). Intestinal inflammation was predominantly characterized by mononuclear cells and eosinophils in the TMM and SBM groups, respectively. No differences among the experimental groups were observed for other histopathological features at rumen, intestine, and liver levels. Overall, our results suggest that TMM can be used as a protein source for fattening lambs, but further studies should explore its use in combination with conventional protein sources to optimize the performance of lambs.</t>
  </si>
  <si>
    <t xml:space="preserve">This publication is explicitly out of scope because it concerns insect-based proteins (yellow mealworm, Tenebrio molitor) for animal feed (fattening lambs), not human food. Insect-based proteins are listed as an exclusion category regardless of apparent relevance, and the stated use case is animal feed, not human food substitution.</t>
  </si>
  <si>
    <t xml:space="preserve">pub.1193037256</t>
  </si>
  <si>
    <t xml:space="preserve">Bacterial cellulose scaffolds derived from brewing waste for cultivated meat applications</t>
  </si>
  <si>
    <t xml:space="preserve">Introduction: The negative externalities of conventional meat production are driving a search for sustainable alternative proteins. Cultivated meat (CM) is one such alternative, but its development is constrained by the need for sustainable, edible, and low-cost cellular scaffolds that can replicate animal tissue texture and structure. Bacterial cellulose (BC) derived from brewer's spent yeast (BSY) could provide a scalable and affordable scaffold material for structured CM products.
Methods: The composition of BSY and its ability to support BC growth were assessed through metabolic analysis and growth trials. Properties relevant to CM applications of BSY-derived BC were then investigated. Scanning electron microscopy was used to quantify surface porosity. Mechanical properties were measured using texture profile analysis. Thermal and chemical properties were assessed using differential scanning calorimetry and Fourier-transform infrared spectroscopy, and biocompatibility was evaluated through cell attachment assays.
Results: BSY supported BC production, yielding material with structural, thermal, and textural properties comparable to BC grown on conventional media and similar to conventional meat products. BSY-derived BC also supported L929 fibroblasts, with 35.9% ± 2.5% cell attachment after 24 h and evidence of continued proliferation.
Discussion: These findings demonstrate that BSY can be effectively valorized to produce BC scaffolds for CM. This approach offers a cost-effective and sustainable strategy to improve the scalability of cultivated meat, contributing to future sustainable food production.</t>
  </si>
  <si>
    <t xml:space="preserve">This publication directly addresses cultivated meat development, specifically focusing on bacterial cellulose scaffolds derived from brewing waste for use in cultivated meat applications. The research investigates scaffold properties, biocompatibility, and cell attachment—all core bioprocessing methods for cultivated meat production. This is clearly within scope as cultivated meat research.</t>
  </si>
  <si>
    <t xml:space="preserve">pub.1193882396</t>
  </si>
  <si>
    <t xml:space="preserve">Comparative Proteomic Analysis Provides Insight into the Effect of Monochromatic Light Wavelength on Metabolic Pathways Regulation of the Edible Mushroom Pleurotus ostreatus Grown in Submerged Fermentation</t>
  </si>
  <si>
    <t xml:space="preserve">Light plays an essential role in regulating the growth, development, and metabolic activities of the edible mushroom Pleurotus ostreatus. In this research, the influence of white, blue, green, yellow, and red light, and darkness, on the global protein expression of P. ostreatus LGAM 1123 grown in submerged culture was explored. The growth of the fungus was not inhibited by light in any of the conditions tested compared with the dark. However, the mycelial protein content was reduced by 10% under blue and white light. Proteomic analysis revealed distinct proteomes for each light wavelength, with red and blue light presenting the most distinctive proteome profiles. (Data are available via ProteomeXchange with identifier PXD065402.) Blue light activates pathways such as the citrate cycle (TCA cycle), glycolysis/gluconeogenesis, and amino acid biosynthesis, while red light stimulates mRNA-related pathways. GC-MS analysis of the biomass revealed differences in the amino acids, sugars, and lipids produced. The distinct regulation of proteins and bioactive compounds under different light wavelengths suggests that specific wavelengths can direct the metabolism of P. ostreatus into biochemical pathways. These strategies could be beneficial for the food industry because particular nutrients can be increased during the fermentation of edible fungi without the need for genetic engineering of the strain.</t>
  </si>
  <si>
    <t xml:space="preserve">This publication concerns fermentation-derived protein from fungal biomass (Pleurotus ostreatus mushroom) grown in submerged fermentation for food applications. The research optimizes fermentation conditions to enhance protein content and metabolic pathways, which is directly relevant to developing fermentation-based alternative proteins. Edible mushrooms are recognized as fermentation-derived protein sources for human food and substitute for conventional animal proteins in culinary applications.</t>
  </si>
  <si>
    <t xml:space="preserve">pub.1193000535</t>
  </si>
  <si>
    <t xml:space="preserve">Developing the Sus-Health Index: a combined measure for describing environmental impact and nutritive value of foods and meals</t>
  </si>
  <si>
    <t xml:space="preserve">There is a need to develop a commonly agreed approach that describes a food's nutritive value and environmental impact that can be used to inform consumer choice. A new single index, the 'Sus-Health Index', is presented. The index was co-created in conjunction with a range of stakeholders drawn from policy, industry and consumer representation groups. The index is a product of existing nutrition and environmental indices, using a composite indicator methodology, and can be presented quantitatively as a numeric value or qualitatively on a categorized, colour coded, scale 'A (best)-E (worst)'. The index was applied to a dataset of food products and meals, and its sensitivity and applicability were assessed using a Monte-Carlo simulation. The results indicate that the Sus-Health scale represents a pragmatic indicator of a food or meal's combined nutritional and environmental value and could be used to help inform consumer food choices.This article is part of the theme issue 'Transforming terrestrial food systems for human and planetary health'.</t>
  </si>
  <si>
    <t xml:space="preserve">This publication focuses on developing a sustainability and health index for foods and meals in general, not on alternative proteins specifically. It does not advance the development, characterization, or understanding of plant-based, fermentation-derived, or cultivated proteins as substitutes for animal products. The work is a methodological contribution to food sustainability assessment rather than alternative protein research.</t>
  </si>
  <si>
    <t xml:space="preserve">pub.1191737823</t>
  </si>
  <si>
    <t xml:space="preserve">Tempeh and Fermentation—Innovative Substrates in a Classical Microbial Process</t>
  </si>
  <si>
    <t xml:space="preserve">The growing consumer awareness of functional foods has increased interest in fermented plant-based products with enhanced nutritional and health-promoting properties. This comprehensive narrative literature review examines the potential of diverse raw materials for tempeh production beyond traditional soybeans, analysing their nutritional composition, bioactive compounds, and functional properties. A structured literature search was conducted on peer-reviewed publications up to July 2025, focusing on tempeh fermentation technology, chemical composition, and bioactive compounds from various substrates using recognised analytical methods according to Association of Official Analytical Collaboration (AOAC) standards. The analysis of over 25 different substrates revealed significant opportunities for enhancing tempeh’s nutritional profile through alternative raw materials including legumes, cereals, algae, seeds, and agricultural by-products. Several substrates demonstrated superior nutritional characteristics compared with traditional soybean tempeh, notably tarwi (Lupinus mutabilis) with exceptional protein content ((32–53% dry matter (DM)) and mung bean (Vigna radiata) exhibiting remarkably high polyphenol concentrations (137.53 mg gallic acid equivalents (GAE)/g DM). Fermentation with Rhizopus oligosporus consistently achieved substantial reductions in anti-nutritional factors (64–67% decrease in trypsin inhibitors, up to 65% reduction in phytates) while maintaining consistent antioxidant activities (39–70% 2,2-diphenyl-1-picrylhydrazyl (DPPH) inhibition) across most variants. The diversity of bioactive compounds across different substrates demonstrates potential for developing targeted functional foods with specific health-promoting properties, supporting sustainable food system development through protein source diversification.</t>
  </si>
  <si>
    <t xml:space="preserve">This publication directly addresses fermentation of plant-based substrates (legumes, cereals, seeds, algae) for tempeh production as a human food product. Tempeh is a plant-based protein food intended as an alternative protein source. The research examines fermentation technology, nutritional enhancement, and bioactive compound development across diverse plant substrates using Rhizopus oligosporus fermentation. This clearly falls within plant-based and fermentation categories, as fermentation is used both as a processing method to improve plant proteins and the fermented biomass itself serves as the protein source.</t>
  </si>
  <si>
    <t xml:space="preserve">Addressed previously. PB vs F distinction.</t>
  </si>
  <si>
    <t xml:space="preserve">pub.1186250605</t>
  </si>
  <si>
    <t xml:space="preserve">Changing Food in a Changing World: Assessing Compliance to Insects, Cultivated Meat, and Soil-Less Products Among Italian Undergraduates</t>
  </si>
  <si>
    <t xml:space="preserve">Background/Objectives: In recent decades, the need for sustainable alternatives to traditional foods for the global population has become urgent. To this aim, edible insects, cultivated meat, and vegetables produced through soil-less farming have been proposed. This cross-sectional study was aimed at exploring willingness to eat these novel foods and its possible correlates in young Italian adults. Methods: An electronic questionnaire was administered to the student populations of 13 universities throughout the Italian territory. Results: The results show that insects and cultivated meat were widely acknowledged as possible food, while soil-free cultivation seems to be less known. Indeed, the percentage of participants who have heard of insects, cultivated meat, and soil-free cultivation was respectively equal to 91.5%, 84.7%, and 32.9%. However, the majority of respondents were uncertain about the sustainability of all the proposed products (52.6% for insects, 39.5% for cultivated meat, and 58.0% for soil-free cultivation, respectively), and the propensity to try and eat insects (9.5%) was lower than that declared for synthetic meat (22.8%) and products from soil-free cultivation (19.2%). However, the regression analysis showed that the propensity to eat these foods regularly is positively related to the confidence in their sustainability (p &lt; 0.001). Willingness to try each of the proposed foods positively correlated with that declared for the others (p &lt; 0.001). Conclusions: These findings highlight the need to implement interventions aimed at increasing awareness about the use of these products as alternatives to less sustainable foods and the importance of identifying consumer groups to which these interventions should be addressed.</t>
  </si>
  <si>
    <t xml:space="preserve">This publication is a consumer acceptance and perception study on novel foods, including insects, cultivated meat, and soil-less vegetables. It is excluded because: (1) insect-based proteins are explicitly listed as always out of scope regardless of apparent relevance; (2) soil-less cultivation of vegetables does not constitute an alternative protein product—vegetables are not animal protein substitutes; (3) while cultivated meat is mentioned, the study's primary focus is consumer willingness and sustainability perceptions rather than advancing the development, characterization, or understanding of cultivated meat technology itself. The research addresses societal and consumer acceptance aspects but does not meet the threshold for in-scope policy/regulatory/perception research because it conflates insect proteins (excluded category) with alternative proteins.</t>
  </si>
  <si>
    <t xml:space="preserve">Should be in scope but excluded by insect protein exclusion.</t>
  </si>
  <si>
    <t xml:space="preserve">Edit to prompt: limit insect-based protein exclusion to when ONLY insect protein is described</t>
  </si>
  <si>
    <t xml:space="preserve">* edited exclusions further down</t>
  </si>
  <si>
    <t xml:space="preserve">pub.1196060665</t>
  </si>
  <si>
    <t xml:space="preserve">Nutrient Equivalence of Plant-Based and Cultured Meat: Gaps, Bioavailability, and Health Perspectives</t>
  </si>
  <si>
    <t xml:space="preserve">Meat provides high-quality protein and essential micronutrients such as vitamin B12, heme iron, zinc, and selenium, along with conditionally essential compounds including creatine, carnitine, and taurine. Growing concerns over environmental sustainability, animal welfare, and potential health risks associated with excessive meat consumption have spurred the development of plant-based and cultured alternatives intended to replicate the nutritional and sensory attributes of meat. This review critically examines the extent to which these emerging products achieve nutrient equivalence with conventional meat, focusing on essential and conditionally essential nutrients, their bioavailability, and implications for human health. After outlining the physiological importance of nutrients characteristically supplied by meat, the review compares the composition of plant-based meat analogs (PBMAs) and cultured meat prototypes. Differences in fortification strategies, ingredient formulation, and the presence of anti-nutritional factors are discussed in relation to nutrient absorption and utilization. Current PBMAs can approximate protein content but generally provide lower levels and reduced bioavailability of vitamin B12, heme iron, creatine, taurine, and long-chain omega-3 fatty acids unless fortified. Cultured meat offers theoretical potential for compositional optimization through cellular engineering but remains limited by scarce empirical data. Achieving nutrient equivalence with conventional meat thus represents a major scientific, technological, and regulatory challenge. Future progress will depend on integrating nutritional design into product development, validating bioavailability in human studies, and implementing transparent labeling to ensure that next-generation meat alternatives meet both health and sustainability goals.</t>
  </si>
  <si>
    <t xml:space="preserve">This review directly examines plant-based meat analogues and cultured meat as substitutes for conventional meat, focusing on their nutritional composition, bioavailability, and health implications. Both alternative protein categories are primary focuses, and the comparison with animal protein is explicitly framed to optimize alternative protein products rather than as a broad dietary study. The publication advances understanding of these emerging products' development and characterization.</t>
  </si>
  <si>
    <t xml:space="preserve">pub.1193813897</t>
  </si>
  <si>
    <t xml:space="preserve">The Potential of Fermentation-Based Processing on Protein Modification: A Review</t>
  </si>
  <si>
    <t xml:space="preserve">Proteins are fundamental to food systems due to their structural, nutritional, and functional roles. With increasing consumer awareness of health and sustainability, the demand for protein-rich foods from diverse and eco-friendly sources is rising. Fermentation has emerged as a transformative approach for enhancing the nutritional value, functionality, and sensory appeal of protein-based foods, while also contributing to environmental and economic sustainability. This review explores the multifaceted impact of fermentation on proteins, focusing on nutritional enhancement, functional improvements, technological adaptability, and sensory optimization. It highlights how microbial fermentation can modify protein structures, reduce allergenicity, improve digestibility, and generate bioactive compounds. The diversity of protein sources, microbial strains, and fermentation parameters offers a versatile platform for tailoring food products to meet evolving consumer expectations. By critically examining current research and industrial practices, this paper underscores the importance of selecting appropriate protein substrates and microbial hosts to maximize the benefits of fermentation. The insights provided aim to guide future innovations in developing sustainable, health-promoting, and consumer-acceptable fermented protein products.</t>
  </si>
  <si>
    <t xml:space="preserve">This review focuses on fermentation as a processing method to modify and enhance proteins from diverse sources for food applications, with emphasis on nutritional and functional improvements relevant to alternative protein development. The publication covers fermentation-based processing of plant proteins (improving digestibility, reducing allergenicity) and potentially microbial biomass as protein sources, making it relevant to both plant-based and fermentation categories. The stated aim is developing sustainable, health-promoting fermented protein products as alternatives to conventional sources, placing it clearly within alternative protein scope.</t>
  </si>
  <si>
    <t xml:space="preserve">pub.1185503350</t>
  </si>
  <si>
    <t xml:space="preserve">From a Coriander Mayonnaise to a Vegan Analogue: Assessing pH and Salt Influence in a Saccharomyces cerevisiae Yeast Protein Extract and Chlorella vulgaris Mixed System</t>
  </si>
  <si>
    <t xml:space="preserve">History aside, traditional mayonnaise faces a rising animal welfare concern dietary approach and remains dependent on cold environments throughout the supply chain due to food safety. Nowadays, consumers are able to find alternative formulas from vegetable sources with relevant emulsifying capacity. However, sensory characteristics may differ from the traditional expected product. A mixed system composed of the innovative ingredient heterotrophic white Chlorella vulgaris and a disruptive emulsifier, yeast protein extract (YPE), was assessed to transform traditional coriander mayonnaise into an analog product. The effect of pH and salt (NaCl) content was also evaluated. The mixed system depicts a promising stability since the average Sauter diameter of both is similar (7.94 μm and 7.49 μm), also observed in the unimodal droplet size distribution. Viscoelastic behavior has slightly different responses for the plateau model (278.951 Pa and 252.053 Pa), while increasing the salt content reflects an approximation regarding firmness (0.059 N and 0.057 N) and adhesiveness (0.372 N.s and 0.361 N.s). Introduction of microalgae increases bioactivity, mainly TPC (+118.84 ugGAeq/g) and antioxidant activity-RSA (+31.29 ugTEAC/g) and FRAP (+35.26 ugTEAC/g). Despite the color deviation, the sensorial analysis of both products enlightened the absence of major perception.</t>
  </si>
  <si>
    <t xml:space="preserve">This publication is clearly in scope as it develops a vegan mayonnaise analogue using fermentation-derived proteins (yeast protein extract from Saccharomyces cerevisiae and heterotrophic Chlorella vulgaris microalgae) as substitutes for egg-based emulsifiers in traditional mayonnaise. The research focuses on optimizing the functional and sensory properties of these alternative protein ingredients for human food application, directly advancing the development and characterization of fermentation-derived proteins for animal product substitution. Both protein sources are classified as fermentation (microalgae and yeast biomass), not plant-based.</t>
  </si>
  <si>
    <t xml:space="preserve">pub.1186860412</t>
  </si>
  <si>
    <t xml:space="preserve">Fusarium-based mycoprotein: Advancements in the production of sustainable meat substitutes</t>
  </si>
  <si>
    <t xml:space="preserve">Background Pursuing sustainable and nutritious food has positioned Fusarium-based mycoprotein as a promising solution to the environmental and health challenges posed by some traditional agricultural practices and types of food. As consumer awareness grows and the demand for alternative proteins increases, Fusarium species offer a scalable, environmentally friendly, and nutritious option to address these issues. Scope and approach This review delves into the unique characteristics of certain Fusarium species, which make them ideal candidates for mycoprotein production. It explores advancements in fermentation technologies, metabolic engineering, and process optimisation that have; enhanced production efficiency and product quality. The review also examines the technical, economic, and regulatory challenges hindering large-scale production and commercialisation, such as the high costs of fermentation, the need for robust; regulatory frameworks, and consumer acceptance. Furthermore, it highlights the significance of interdisciplinary collaboration and continuous innovation to overcome these challenges and unlock the full potential of Fusarium-based mycoprotein. Key findings and conclusions By synthesizing recent research and market trends, this review provides a comprehensive understanding of the potential of Fusarium-based mycoprotein to contribute to a sustainable and resilient food system. It emphasizes the need for targeted research, streamlined production processes, and strategic partnerships to advance its development and adoption, ultimately shaping the future of sustainable nutrition.</t>
  </si>
  <si>
    <t xml:space="preserve">This publication directly addresses Fusarium-based mycoprotein production as a meat substitute, which is a fermentation-derived protein explicitly intended for human food as an alternative to conventional animal proteins. The review covers fermentation technologies, metabolic engineering, process optimisation, and commercialisation challenges—all core aspects of fermentation-based alternative protein development.</t>
  </si>
  <si>
    <t xml:space="preserve">pub.1184676351</t>
  </si>
  <si>
    <t xml:space="preserve">Fermentation of a wine pomace and microalgae blend to synergistically enhance the functional value of protein- and polyphenol-rich matrices</t>
  </si>
  <si>
    <t xml:space="preserve">This study aimed to generate new functional ingredients from microalgae and wine pomace through starter-assisted fermentation. Five lactic acid bacteria (LAB) and five yeasts were variously chosen for their species diversity, origin, and metabolic potential. During fermentation, the combination of Chlorella vulgaris and wine pomace overcame the limited growth observed in pomace substrate, with all LAB and yeasts effectively utilizing sugars and synthesizing microbial metabolites. Additionally, the synergistic interplay between the substrates, alongside the enzyme specificity of the starter cultures, improved the bioavailability of phenolic compounds, particularly flavanols, flavonols, and procyanidins, while simultaneously generating unique peptides in the formulated ingredients. In some cases, these metabolic changes were associated with enhanced antioxidant activity, improved protein digestibility, and overall protein quality. Our findings highlighted the potential of fermented mixed substrates as new functional ingredients, with promising health-promoting benefits and significant potential for applications in the food industry.</t>
  </si>
  <si>
    <t xml:space="preserve">While the publication involves fermentation and microalgae, it is focused on developing functional ingredients with health-promoting benefits (enhanced antioxidant activity, bioavailability of phenolic compounds) rather than alternative proteins intended to substitute animal proteins in human food. The stated aim is to create functional ingredients, which falls under the exclusion for nutraceuticals and health-promoting ingredients not designed as animal protein substitutes.</t>
  </si>
  <si>
    <t xml:space="preserve">Prompt edits already noted to address this EXCEPT it may be worth altering the general definition not to be so specific about being ‘substitutes for conventional animal proteins’ as alt proteins can be their own category too</t>
  </si>
  <si>
    <t xml:space="preserve">Edit to prompt: remove ‘health-promoting’ from exclusions as protein can be considered ‘health-promoting’, and so move nutraceuticals and bioactive peptides into the medical exclusion</t>
  </si>
  <si>
    <t xml:space="preserve">pub.1186933420</t>
  </si>
  <si>
    <t xml:space="preserve">Microfiltration of microalgae biomolecules: Impact of pulsed electric fields and high-pressure homogenization on single-cell protein recovery and membrane fouling</t>
  </si>
  <si>
    <t xml:space="preserve">This study investigated the separation of single-cell proteins from disrupted Auxenochlorella protothecoides microalgae using microfiltration. The microalgae were heterotrophically cultivated and subjected to two cell disruption methods, high-pressure homogenization (HPH) and pulsed electric field with incubation (PEF + inc), and stored at −20 °C. The impact of HPH and PEF + inc on the microfiltration performance of thawed samples was assessed. HPH treatment resulted in complete cell lysis, releasing a heterogeneous mixture of intracellular compounds. This, potentially combined with freezing effects, led to rapid membrane fouling and a 70 % decline in the permeate flux, finally stabilizing at 15 L m−2 h−1. In contrast, PEF + inc preserved cell integrity and particle size even after freezing, liberating mainly soluble compounds. This resulted in a more porous cake layer and a limited decline in the permeate flux, which stabilized at 24 L m−2 h−1. Additionally, higher protein transmission rates were achieved with PEF + inc (141.75 g m−2 h−1) than with HPH (54.53 g m−2 h−1) and it was 5.6 times more energy efficient. The cake layer formed by the HPH-treated samples had a higher resistance owing to smaller apparent pores and increased interaction with permeating proteins, which hindered protein transmission. These findings demonstrate that cell disruption methods can significantly influence downstream protein recovery efficiency and energy consumption. PEF + inc shows great potential as an energy-efficient bioprocessing method for microalgae biorefineries.</t>
  </si>
  <si>
    <t xml:space="preserve">This publication directly addresses single-cell protein recovery from microalgae (Auxenochlorella protothecoides) through bioprocessing optimization, which is a fermentation-derived protein source for human food applications. The focus on improving protein extraction efficiency and energy consumption in downstream processing is clearly relevant to advancing microalgal protein production as an alternative protein ingredient. Microalgae are classified as fermentation, not plant-based, per the category definitions.</t>
  </si>
  <si>
    <t xml:space="preserve">pub.1185035217</t>
  </si>
  <si>
    <t xml:space="preserve">People’s perception of biodiversity loss: Validation of a scale in Germany</t>
  </si>
  <si>
    <t xml:space="preserve">The rapid global loss of biodiversity is one of the most urgent crises threatening people and the environment. Yet, biodiversity loss is far less prevalent in public discourse than other environmental problems, such as climate change. How do people perceive this urgent but hidden crisis, and what determines their perceptions? To address this question, we developed and validated the Biodiversity Loss Perception Scale (BiLoPS), which measures people’s perceptions of the reality, causes, and consequences of biodiversity loss. The BiLoPS demonstrated a robust factor structure, excellent reliability, convergent validity, predictive validity, and discriminant validity, as well as measurement invariance among members of the German public (n = 404). Using the BiLoPS, as an accessible and reliable tool, offers the potential to measure the perception of biodiversity loss in different countries and contexts. We anticipate that this scale will be valuable for researchers who intend to investigate individuals’ perceptions of biodiversity loss and how those perceptions relate to other relevant concepts. Further research on BiLoPS can provide valuable scientific insights, and guiding strategies for public awareness, biodiversity education campaigns, and conservation actions.</t>
  </si>
  <si>
    <t xml:space="preserve">This publication concerns public perception and psychology of biodiversity loss, with no focus on alternative proteins, protein development, or food production. It is entirely outside the scope of alternative protein research.</t>
  </si>
  <si>
    <t xml:space="preserve">pub.1191086704</t>
  </si>
  <si>
    <t xml:space="preserve">Benthic trophic status and spatiotemporal variability of macrobenthic assemblages in S'Ena Arrubia Lagoon (Sardinia, Italy)</t>
  </si>
  <si>
    <t xml:space="preserve">Quantity and nutritional availability of sedimentary organic matter (OM) are among the most important factors affecting benthic fauna dynamics. Despite this, the relative importance of food sources with different nutritional quality on the macrobenthos dynamics has been poorly investigated, especially in naturally eutrophic coastal lagoons. We investigated the spatiotemporal variations in the relationship between the macrobenthic assemblages and the quantity and nutritional quality of OM in a Mediterranean coastal lagoon (S'Ena Arrubia lagoon, Sardinia, Italy). Sampling was carried out at six stations selected at different distances from the sea inlet and with a different degree of confinement, in two dates in winter (February and March) and two dates in summer (June and July) 2021. The PERMANOVA tests showed significant differences among stations, seasons and sampling dates in the benthic assemblages, and the quantity and quality of OM. The DistLM analyses revealed that the photosynthetically produced OM (as total phytopigment contents) and OM freshness (as the protein-to-carbohydrate ratio), as well as the nutritional quality of OM (as the algal fraction of biopolymeric C), played a crucial role in influencing the spatiotemporal distribution of the macrobenthic abundance, taxonomic richness and composition, with the most significant correlations being detected for the deposit-feeders and detritivores, such as Streblospio shrubsolii, Microdeutopus gryllotalpa, Malacoceros fuliginosus and Polydora ciliata. These results suggest that a thorough assessment of the environmental quality of coastal lagoon's sediments should consider jointly macrobenthic metrics and the benthic trophic status, as assessed using complementary biochemical descriptors.</t>
  </si>
  <si>
    <t xml:space="preserve">This publication is a marine ecology study investigating benthic fauna dynamics and sedimentary organic matter in a coastal lagoon. It has no connection to alternative proteins, food production, or protein ingredients for human consumption. The focus is on natural ecosystem processes and benthic community composition, not on developing or characterizing proteins as food substitutes.</t>
  </si>
  <si>
    <t xml:space="preserve">pub.1188180860</t>
  </si>
  <si>
    <t xml:space="preserve">Bibliometric insights into the science of lab-grown meat as alternative protein</t>
  </si>
  <si>
    <t xml:space="preserve">Purpose This study is aimed at identifying the current research trends and topics in cultured meat as an alternative protein source. The global demand for protein is increasing due to continued population growth and dietary changes. Sustainable solutions, such as lab-grown meat, are an option to meet this need while minimizing environmental impact and harnessing technological resources.   Design/methodology/approach This study conducted a bibliometric analysis using data collected from the Scopus database to identify research trends and the main contributions in the field of knowledge. In total, 210 documents were processed in Excel, VOSviewer and PowerBi software.   Findings The study revealed an exponential growth in the number of publications after 2019, with the United States and the UK as the most influential countries on the subject. New terms were found in the publications as “meat substitute” and “nutritional value.” Alternative protein is an option that researchers envision for the food crisis in a sustainable context.   Practical implications Practical implications affecting various stakeholders linked to traditional meat production are identified. In addition, cooperative mechanisms must be put in place to establish regulations for the artificially grown meat.   Originality/value This study contributes to the literature with an overview of current meat crop production as an alternative protein crop evolving to meet global food demand.</t>
  </si>
  <si>
    <t xml:space="preserve">This is a bibliometric analysis explicitly focused on cultured meat (lab-grown meat) as an alternative protein source. The publication directly addresses research trends in cultivated meat production, which is a core category of alternative proteins. The study examines the field of knowledge around cultured meat development and its role in meeting global protein demand sustainably, making it clearly in scope.</t>
  </si>
  <si>
    <t xml:space="preserve">pub.1195978789</t>
  </si>
  <si>
    <t xml:space="preserve">Diets for Dual Cardiovascular and Planetary Health: A Scoping Review</t>
  </si>
  <si>
    <t xml:space="preserve">Purpose of ReviewMost observational studies quantify the relationship between diet, cardiovascular disease (CVD), and environmental impacts independently, resulting in a fragmented understanding of sustainable diets. This review summarizes findings from observational studies assessing eating patterns and their simultaneous associations with environmental and CVD outcomes.Recent FindingsPlant-based diets, primarily those low in red meat, added sugars, and sodium, are associated with lower CVD risks. Environmental studies suggest that whole-food diets low in animal proteins typically have a lesser impact on greenhouse gas emissions (GHGe) and land use than diets high in animal proteins; however, they may increase water use.SummaryPredominantly plant-based diets were consistently associated with lower cardiovascular risk and reduced environmental impacts, though trade-offs were observed between healthiness and environmental sustainability, as well as across different environmental indicators. Further research is needed to determine how dietary patterns, cardiovascular health, and environmental outcomes align.</t>
  </si>
  <si>
    <t xml:space="preserve">This is a scoping review of observational studies on dietary patterns and their associations with cardiovascular disease and environmental outcomes. It does not focus on alternative protein development, characterisation, or production processes. The review examines broad dietary patterns and health outcomes rather than advancing the development or understanding of plant-based, fermentation-derived, or cultivated proteins as substitutes for animal products.</t>
  </si>
  <si>
    <t xml:space="preserve">pub.1189508336</t>
  </si>
  <si>
    <t xml:space="preserve">Technofunctional characterisation of a protein concentrate from the red seaweed, Palmaria palmata</t>
  </si>
  <si>
    <t xml:space="preserve">The technofunctional properties of a Palmaria palmata protein concentrate (PPPC, 47 % (w/w) protein) generated at semi-pilot scale were assessed. The overall solubility, nitrogen solubility index (NSI), colour, electrophoretic profile, water and oil binding capacity (WBC and OBC), foam capacity and stability, emulsifying properties, particle size distribution, heat stability and apparent viscosity at pH 3.0–9.0 of the PPPC was characterised. Whey protein concentrate (WPC, 56 % (w/w) protein) was used as a reference protein ingredient. The highest overall solubility was obtained at pH 9.0 for both PPPC (64.06 ± 4.80 %) and for WPC (89.34 ± 4.66 %). The NSI, WBC, foam and emulsifying, particle size distribution, heat stability and apparent viscosity properties for PPPC and WPC were dependent of the reconstitution pH. The PPPC had a significantly (p &lt; 0.05) higher OBC (3.70 ± 0.04 g of oil/g of protein) than WPC (1.73 ± 0.03 g of oil/g of protein). These findings indicated that PPPC has potential as an alternative protein ingredient in products where WBC and OBC properties are required.</t>
  </si>
  <si>
    <t xml:space="preserve">This publication directly characterizes the technofunctional properties of a seaweed-derived protein concentrate (Palmaria palmata) as an alternative to whey protein for use in human food applications. Seaweed is classified as plant-based under the macroalgal category, and the research focuses on protein functionality and ingredient optimization for food product development, which is clearly within scope.</t>
  </si>
  <si>
    <t xml:space="preserve">pub.1190449797</t>
  </si>
  <si>
    <t xml:space="preserve">Modeling sorghum yield response to climate change in the semi-arid environment of Ethiopia</t>
  </si>
  <si>
    <t xml:space="preserve">In Ethiopia, sorghum is a vital food security crop, predominantly cultivated in semi-arid, rain-fed agricultural landscapes. However, the increasing effects of climate change now present a serious threat to its sustainable production. This study assessed the impacts of climate change on three popular sorghum varieties (ESH-1, ESH-2, and Melkam) in three semi-arid areas of Ethiopia using a crop-climate modeling approach. Calibration and validation of the CERES-Sorghum model demonstrated strong agreement between simulated and observed values, confirming its reliability for application. Climate projections from three GCM models show temperature increases up to 2.1 °C by the 2050s and 4 °C by the 2080s. Rainfall changes varied by location, with Mieso projected for a 21.8 % increase and Melkassa showing minimal change but high variability. Our findings reveal highly differential and location-specific yield responses across varieties under projected climate. Although projections show Kobo yields remaining stable or increasing slightly under climate change, sensitivity analysis reveals potential yield declines of up to 44 % with a 20 % rainfall reduction. In contrast, projections for Melkassa showed consistent yield declines across all varieties, exhibiting strong sensitivity to temperature changes, where a 1.5 ∘C increase potentially reduces yields by up to 40 %. In comparison, Mieso displayed mixed responses, with the ESH-2 variety performing notably better under future scenarios. These findings suggest that current agronomic practices may be insufficient to sustain yields under climate scenarios, threatening future food security. Thus, developing and implementing climate-resilient strategies, including cultivating drought-tolerant sorghum cultivars, optimizing irrigation, and enhancing soil health, is crucial to ensure effective adaptation and regional food security.</t>
  </si>
  <si>
    <t xml:space="preserve">This publication concerns crop yield modeling and climate change impacts on sorghum production for general food security purposes. Sorghum is treated as a staple food crop, not as a protein source for alternative protein development or as a substitute for animal proteins. Protein is not a primary focus, and there is no stated or implied use case related to alternative proteins, plant-based meat/dairy analogues, or protein ingredient development.</t>
  </si>
  <si>
    <t xml:space="preserve">pub.1185271743</t>
  </si>
  <si>
    <t xml:space="preserve">Toward consumer-focused food policies: a toolbox for encouraging the protein transition</t>
  </si>
  <si>
    <t xml:space="preserve">In transitioning toward consuming more sustainable diets, it is of great importance to eat less animal-based foods. Particularly shifting to diets lower in meat is key. For several decades, numerous scholars and authoritative organizations have advocated for such a change that is less harmful to human and planetary health. Yet the large body of scientific evidence and the urgent calls for action have been largely neglected in food policymaking despite the increasing impact of climate change and escalating healthcare costs. A first and relatively minor break with this willful ignorance can be observed in the Netherlands, where the Ministry of Agriculture, Nature, and Food Quality has communicated the need for rebalancing the consumption ratio between plant-based and animal-based proteins by 2030. This innovative policy statement on modifying food-consumption patterns is taken as a starting point. In anticipation of further steps in this direction, this article presents a suite of policy instruments and strategies to give substance to demand-side protein policies that are conducive to moderating consumers’ (over-)abundant intake of meat. This overview of policy measures includes conventional and controversial ones, taking the Nuffield intervention ladder as its framework. The novel policy toolbox introduced in this study intends to help muster courage for the development and implementation of consumer-targeted policy interventions to move away from meat-intensive diets.</t>
  </si>
  <si>
    <t xml:space="preserve">This publication focuses on food policy, consumer behavior, and dietary transition strategies rather than the development, characterization, or scientific understanding of alternative proteins themselves. While it discusses the protein transition and plant-based proteins in a policy context, it does not advance the development or characterization of alternative protein products, ingredients, or production processes, which are the core focus areas for in-scope publications.</t>
  </si>
  <si>
    <t xml:space="preserve">Socioeconomic sentence in the general definition (last sentence) being treated as subordinate to the first in scope definition about R&amp;D.</t>
  </si>
  <si>
    <t xml:space="preserve">Edit to prompt: split general definition to include the broad-stroke in scope of each in its own bullet point – gives them each equal rank</t>
  </si>
  <si>
    <t xml:space="preserve">pub.1184322523</t>
  </si>
  <si>
    <t xml:space="preserve">The Dynamics of Self-Esteem and Depressive Symptoms Across Days, Months, and Years</t>
  </si>
  <si>
    <t xml:space="preserve">Self-esteem and depressive symptoms are important predictors of a range of societally relevant outcomes and are theorized to influence each other reciprocally over time. However, existing research offers only a limited understanding of how their dynamics unfold across different timescales. Using three data sets with different temporal resolutions, we aimed to advance our understanding of the temporal unfolding of the reciprocal dynamics between self-esteem and depressive symptoms. Across these data sets, participants (Ntotal = 6,210) rated their self-esteem and depressive symptoms between 6 and 14 times across days, months, and years, respectively. Using continuous time dynamic models, we found limited evidence for significant within-person cross-lagged effects between self-esteem and depressive symptoms. Only in the yearly data set, a cross-lagged effect from depressive symptoms to self-esteem emerged quite consistently. However, in all data sets, cross-lagged effects were small in size (-0.04 ≤ β ≤ -0.01). These findings suggest that the reciprocal dynamics between self-esteem and depressive symptoms may be less robust than commonly thought. Furthermore, exploratory analyses indicated that these effects depended on people's overall levels of depressive symptoms, suggesting that theoretical frameworks that highlight transactions between self-esteem and depression may not generalize across all levels of depressive symptoms. Finally, self-esteem and depressive symptoms were strongly correlated within measurements, similarly stable over time, and changed similarly in response to negative life events, provoking questions as to their conceptual distinctiveness and measurement approaches. (PsycInfo Database Record (c) 2025 APA, all rights reserved).</t>
  </si>
  <si>
    <t xml:space="preserve">This publication is a psychological study on self-esteem and depressive symptoms with no connection to alternative proteins, food science, or protein research of any kind. It is clearly out of scope.</t>
  </si>
  <si>
    <t xml:space="preserve">pub.1190672497</t>
  </si>
  <si>
    <t xml:space="preserve">Consumer Insights Tracker End of Year Report (Insights From April 2024 to March 2025)</t>
  </si>
  <si>
    <t xml:space="preserve">This report presents the findings from the Consumer Insights Tracker which is an online monthly tracking survey commissioned by the Food Standards Agency (FSA). The survey monitors the behaviour and attitudes of consumers aged 16+ in England, Wales and Northern Ireland in relation to food. This report presents an overview of key findings from April 2024 to March 2025. Where appropriate, longer-term trends over the full tracking period (from July 2023) are presented. Food prices remained the top prompted concern for respondents throughout the year, ranging from 86% - 88% reporting concern each month. Although worries about household food affordability declined slightly, one in five (21%) respondents reported worry about this in March 2025. The proportion reporting certain money-saving shopping behaviours such as choosing cheaper brands and buying discounted items also declined over the year. The proportion saying they had engaged in potentially risky food safety behaviours to reduce energy costs varied slightly (21% - 28%), with a peak in December 2024 (28%). Worries about food availability remained relatively stable (19% - 24%), as did overall confidence in the food supply chain (58% - 63%). Among those with some knowledge of the FSA and what it does, trust in the FSA fluctuated (56% - 65%), peaking at 65% in July 2024. Awareness of novel foods and food production techniques varied, with around seven in ten saying they had heard of lab-grown meat (72%), but only around half saying they had heard of cell-cultivated products and cell-cultivated meat (both 52%).</t>
  </si>
  <si>
    <t xml:space="preserve">This is a consumer tracking survey report focused on food prices, affordability, shopping behaviours, food safety concerns, and awareness of novel foods. While it mentions lab-grown meat and cell-cultivated products, these are only incidental topics within a broader consumer attitudes survey. The publication does not advance the development, characterisation, or understanding of alternative proteins themselves, nor does it focus on the science, technology, or processes of producing alternative proteins. It is a general consumer behaviour and awareness study, not alternative protein research.</t>
  </si>
  <si>
    <t xml:space="preserve">Socioeconomic bits being excluded again. Realised boundaries are very scientific research focussed → add one boundary to catch all socioeconomic research that explicitly means alt protein (does not have to be the major focus)</t>
  </si>
  <si>
    <t xml:space="preserve">Edit to prompt: add boundary condition for socioeconomic research that explicitly mentions alt proteins (must have researched it, does not necessarily have to be the primary focus)</t>
  </si>
  <si>
    <t xml:space="preserve">pub.1192751374</t>
  </si>
  <si>
    <t xml:space="preserve">Processing a maize germ side stream: de-oiling as key to dry fractionation and foam stability</t>
  </si>
  <si>
    <t xml:space="preserve">Maize grain processing usually starts with degerming to lower its oil content. The created maize germ-enriched fraction (MGF) represents up to 15 % of the kernel mass. Oil recovered from the MGF is valuable, but the non-oil fraction is underutilized. We separated MGF (14 % protein, 40 % starch, 18 % oil; db) into enriched fractions via dry processing, and reflect on the energy efficiency in combination with additional aqueous extraction. Dry fractionation requires mechanical pressing and oil extraction with hexane or food-safe 2-methyltetrahydrofuran, which yields cakes having residual oil contents of 0.4 w/dw% or 3.1 w/dw%, respectively. Both cakes could be milled, and air classification enriched protein in the fine fraction from 19 % to 27 % by deflecting larger starch granules. The protein yield relative to MGF was 15 %, mainly due to milling losses. CLSM revealed the protein to be in a fibrous matrix, hence it was not enriched further by electrostatic separation. Due to the moderate protein contents and yields, aqueous protein extraction was more energy efficient from de-oiled flour than from fine fractions. Extracts from hexane-processed fractions foamed better than whey protein at 0.5 mg protein/mL. Processing with 2-methyltetrahydrofuran did not enable stable foaming, which requires optimization towards lower residual oil contents.</t>
  </si>
  <si>
    <t xml:space="preserve">While this publication addresses protein from a plant source (maize), the primary focus is on processing a side stream to recover oil and optimize starch separation, with protein as an incidental component. The stated aim is to utilize an underutilized fraction through dry fractionation and oil extraction, not to develop a plant-based protein ingredient or product intended to substitute animal proteins. The protein content and yields are moderate, and the work focuses on processing efficiency and foam stability as a functional property, but lacks evidence that the protein is being developed as an alternative protein for human food applications such as meat, dairy, or egg analogues.</t>
  </si>
  <si>
    <t xml:space="preserve">Less clear it is in scope. Leaning agree with LLM.</t>
  </si>
  <si>
    <t xml:space="preserve">pub.1186125851</t>
  </si>
  <si>
    <t xml:space="preserve">Ethylated phosphorylcholine – a new marker for ethanol consumption: A proof of concept</t>
  </si>
  <si>
    <t xml:space="preserve">Aim During in vitro exposure of HepaRG liver cells to ethanol, untargeted metabolomics revealed the formation of ethylated phosphorylcholine (EtOChoP), a metabolite which was not reported before [1,2]. To determine its role as a potential new biomarker for alcohol use and its detection window, a single alcohol exposure study was performed on a teetotaler. Whole blood, plasma, and serum were analysed for EtOChoP and compared with levels of established alcohol use biomarkers, such as phosphatidylethanol 16: 0/18: 1 (PEth), ethyl glucuronide (EtG), ethyl sulphate (EtS), and ethanol (EtOH) in the same samples. Method For the analysis of EtOChoP in whole blood, serum, and plasma, a 96-well microplate liquid-liquid extraction was developed and validated. Briefly, 100μL sample and 250μL of ice cold (−80°C) methanol were added, and subsequently spiked with EtOChoP-D5, internal standard. After vortexing, the 96-well plate was placed on ice, sonicated briefly and left to equilibrate for 20min. After centrifugation, the supernatant was filtered through a 96-well filtration plate and further evaporated to dryness using nitrogen. The dried extract was reconstituted in 100μL MeOH: H2O(1: 1) and 5μL was injected in an Agilent 1290 Infinity LC/6495C triple quadrupole MS using a Restek Force Biphenyl column set at 60°C. The mobile phase was a mixture of water and 0.1% formic acid as solvent A, and methanol and 0.1% formic acid, as solvent B. The total run time was 8min. The MS/MS source was operated in positive mode. The monitored m/z transitions were 212.1 &gt;126.0 (quantifier) and 86.1, 98.1(qualifiers) for EtOChoP, and 217.1 &gt;126.0 (quantifier) and 86.1(qualifier) for EtOChoP-D5. Single alcohol exposure study design: after being abstinent for five months, a female volunteer was instructed to abstain from food and beverages (including water) for 12hours prior to the experiment. The volunteer consumed a dose of 0.5g ethanol per kilogram body weight in one minute as a 20% (w/v) ethanol solution in water. Whole blood, plasma, and serum were collected at point T0 (before the drinking), T30, T60, T80, T100, T120, T140, T160, T180, T240min and day 1, 2, 5 and 8 after the drinking experiment. Results EtOH, PEth, EtG and EtS, EtOChoP were not detected at T0 in all matrices. EtOH in whole blood showed an increase to 0.76g/L (T100), followed by a decrease to 0.32g/L at T240. EtOChoP in whole blood showed an increase in concentration from 0.73ng/mL (T30) to 1.57ng/mL (T80) followed by a decrease to 0.55ng/mL (T240). Even though, serum samples showed a higher concentration, it followed the same pattern as whole blood and plasma samples, an increase from T30 to T80 followed by a decrease until T240. The following days (D1, D2, D5 and D8), EtOH, EtG, EtS and EtOChoP were not detected in any of the matrices. PEth showed an increase in concentration from 6.6ng/mL (T30) to 18ng/mL (D1), followed by a decrease in D2, D5 and D8. Nevertheless, the concentrations of PEth did not exceed the 20ng/mL cutoff value, compatible with abstinence/low alcohol consumption [3]. Conclusion This proof of concept study shows that EtOChoP is detectable in different matrices after a single alcohol consumption, which demonstrates EtOChoP can be a promising new alcohol biomarker. The presence of EtOChoP up to 240min and its absence in the following day(s) shows that it could be a short-term alcohol biomarker, together with EtOH, EtG and EtS. Nevertheless, future studies are needed to determine its true potential as an alcohol biomarker, as this study looked only at a controlled single alcohol exposure.</t>
  </si>
  <si>
    <t xml:space="preserve">This publication concerns the development of a biomarker for alcohol consumption detection in human blood and serum samples. It has no connection to alternative proteins, plant-based proteins, fermentation-derived proteins, or cultivated meat. The research focuses on analytical chemistry and biomarker validation for alcohol use monitoring, which falls entirely outside the scope of alternative protein research.</t>
  </si>
  <si>
    <t xml:space="preserve">pub.1184367118</t>
  </si>
  <si>
    <t xml:space="preserve">We are a family! Exploring flexitarian households’ meat reduction practices</t>
  </si>
  <si>
    <t xml:space="preserve">It is widely accepted that the (over)consumption of meat is negatively linked to environmental problems and public health issues, yet research shows that actual meat consumption remains (too) high. While most research related to the protein transition focuses on consumers' motivations, perceptions and acceptance towards plant-based meat alternatives, a clear need arises to extensively study the context in which (plant-based) meals are consumed. In this research, a generative research approach was applied to extend knowledge on flexitarian households' meat reduction practices. Participants (n = 30) from different household types completed assignments with their household members to reflect on their households' meat consumption and reduction practices over the course of a full week. After this sensitizing week, participants were interviewed about their meat reduction practices. Results show that participants high in cooking skills and interest are searching for, or have developed, a practice of reformulating their meals into 'complete' or 'authentic' vegetarian meals which entails a different culinary experience compared to meat-based meals. They usually avoided meat analogues, and used products such as pulses, cheeses, nuts and herbs to create tasty and satiating 'complete' vegetarian meals. However, participants with less available resources like time and skills used meat analogues as convenient replacers of meat. Partners and children had a strong influence on the households' formation of meat reduction practices, as their preferences resulted in compromises regarding the households' meat consumption frequency and types of meals consumed. In conclusion, this research provides unique insights into flexitarian households' meat reduction practices, and fuels the discussion on the role of meat analogues and the consumers' need for 'complete' and 'authentic' vegetarian meal experiences.</t>
  </si>
  <si>
    <t xml:space="preserve">This publication focuses on consumer behavior, household practices, and motivations regarding meat reduction and flexitarian diets. While it mentions plant-based meat alternatives and vegetarian meals, the primary research aim is sociological/behavioral analysis of meat consumption patterns and household dynamics, not the development, characterization, or optimization of alternative protein ingredients or products themselves. It does not advance the scientific understanding of alternative protein production, processing, or functionality.</t>
  </si>
  <si>
    <t xml:space="preserve">In scope, socioeconomic. Should be covered by earlier prompt edits.</t>
  </si>
  <si>
    <t xml:space="preserve">pub.1195404644</t>
  </si>
  <si>
    <t xml:space="preserve">Bioactive, Functional, and Technological Properties of Gluten-Free Pasta Enriched with Mango (Mangifera indica L.) Leaf Powder</t>
  </si>
  <si>
    <t xml:space="preserve">Mango (Mangifera indica L.) leaves represent an underutilised plant resource rich in phenolic compounds and dietary fibre with potential applications in functional foods. This study evaluated the effects of incorporating mango leaf powder (MLP) from five cultivars (Nam Dok Maï, Julie, DLO, Irwin, and Keitt) into gluten-free chestnut flour-based pasta, focusing on techno-functional, rheological, and bioactive properties. Among the formulations tested, Nam Dok Mai and Julie cultivars at 10% substitution demonstrated the most favourable pasting behaviour and were selected for spaghetti production. Both variants exhibited acceptable texture and cooking quality; however, Nam Dok Mai spaghetti showed superior colour stability after cooking and storage. Although Julie exhibited higher setback viscosity, which indicates greater starch retrogradation potential, cutting force measurements showed no significant differences between cultivars. Antioxidant analyses (DPPH, ABTS, FRAP) and total polyphenol content revealed that Nam Dok Mai retained a higher level of bioactive compounds following thermal processing, particularly in aqueous extracts. These findings indicate that mango leaf incorporation can enhance the functional value of gluten-free pasta without compromising technological quality, and that Nam Dok Mai represents the most promising cultivar for such applications.</t>
  </si>
  <si>
    <t xml:space="preserve">This publication focuses on developing gluten-free pasta enriched with mango leaf powder as a functional food ingredient. The stated aim is to create a food product (pasta) that does not substitute animal proteins; rather, it is a carbohydrate-based staple food enhanced with plant bioactives for general nutritional/functional benefits. This falls under the exclusion criterion: 'development of a food that does not substitute animal proteins (e.g. bread, pasta, snacks).' Protein is not a primary focus, and there is no alternative protein substitution objective.</t>
  </si>
  <si>
    <t xml:space="preserve">pub.1190303165</t>
  </si>
  <si>
    <t xml:space="preserve">Present and future of Al, open science, and transparency in regulatory science</t>
  </si>
  <si>
    <t xml:space="preserve">At the 13th Global Summit on Regulatory Science (GSRS23), a pre-summit workshop organized by EBTC and EFSA explored the integration of artificial intelligence (AI), big data, and new approach methodologies (NAMs) into regulatory science. Experts Presentations highlighted how AI can enhance toxicological assessments by improving data processing, enabling predictive modeling, and supporting systematic evidence synthesis. Emphasis was placed on the need for high-quality, interoperable data and FAIR principles to ensure reliable AI outputs. Case studies, such as the ONTOX project, demonstrated practical progress toward animal-free, AI-supported toxicity prediction. Key challenges discussed included data quality and data gaps, legal and ethical considerations, and the need for trust building, standards, and the regulatory readiness for AI. The workshop concluded that while AI holds transformative promise, responsible implementation requires coordinated efforts across science, policy, and regulation.</t>
  </si>
  <si>
    <t xml:space="preserve">This publication concerns regulatory science, AI integration, and toxicological assessment methodologies. It does not address alternative proteins, their development, characterization, production processes, or related societal/policy aspects specific to alternative proteins. The focus is on general regulatory frameworks and AI applications in toxicity prediction, not on plant-based, fermentation-derived, or cultivated protein development for human food.</t>
  </si>
  <si>
    <t xml:space="preserve">pub.1186555843</t>
  </si>
  <si>
    <t xml:space="preserve">Lactic acid fermentation of non-conventional plant-based protein extract</t>
  </si>
  <si>
    <t xml:space="preserve">The increasing demand for plant-based foods necessitates the development of effective preservation methods to ensure safety and quality. This study evaluated the effectiveness of biopreservation using eight plant-based protein extracts (PBPEs) (pea, faba, soy, potato, pumpkin, hazelnuts, rice, and hemp) fermented with 12 different lactic acid bacteria (LAB) strains from four species. The effectiveness of LAB biopreservation was assessed both at the endpoint and in real-time using impedometric analysis and was found to depend on both the matrix and the strain. Among the 12 LAB strains, Lactobacillus delbrueckii subsp. bulgaricus and Streptococcus thermophilus showed the highest adaptability, particularly in soy, faba, and hemp protein extracts, highlighting their potential as effective biopreservative agents for diverse PBPEs. Given the distinctive advantage of biopreservation in enhancing organoleptic properties, this aspect was also evaluated for the two most effective LAB strains. Fermentation with L. delbrueckii subsp. bulgaricus 1932 and L. plantarum 4193 significantly improved the aroma profile of fermented PBPEs (pea, faba, soy, pumpkin, rice, and hemp) where they exhibited the best adaptability. Notably, levels of hexanal and hexanoic acid, compounds often associated with off-flavors, were markedly reduced, enhancing the organoleptic properties of the final products. These findings emphasize the dual benefits of LAB fermentation as a natural preservative and flavor enhancer, with promising implications for its application in the food industry.</t>
  </si>
  <si>
    <t xml:space="preserve">This publication directly addresses lactic acid fermentation of plant-based protein extracts (pea, faba, soy, potato, pumpkin, hazelnuts, rice, hemp) for food preservation and organoleptic improvement. The research focuses on optimizing fermentation processes and LAB strains to enhance plant-based protein ingredients for food applications, which is clearly within scope as it advances the development and characterization of plant-based proteins through fermentation processing. The dual classification reflects that fermentation is used as a processing method to improve plant protein sources, making it plant-based primary with fermentation as the processing approach.</t>
  </si>
  <si>
    <t xml:space="preserve">pub.1188506728</t>
  </si>
  <si>
    <t xml:space="preserve">Starter culture design for the development of a novel lupin-based quark with in situ vitamin B12 fortification</t>
  </si>
  <si>
    <t xml:space="preserve">Due to its high fibre and protein content and suitability for sustainable production, lupin beans (Lupinus albus) are an excellent plant-based ingredient to produce fermented dairy alternatives such as quark. We designed two types of starter cultures containing lactic acid bacteria (LAB) and/or propionic acid bacteria to ferment lupin paste into a novel plant-based quark with tailored functionalities such as (i) quark-like characteristics and (ii) presence of vitamin B12. Optimal quark-like characteristics were achieved with mixed-cultures of Lactiplantibacillus plantarum with Lactococcus lactis or Lactococcus cremoris. Compared to single strain cultures, the mixed-cultures resulted in faster acidification, higher bacterial counts, and more organic acids. Furthermore, the mixed-cultures produced a higher concentration of the buttery aroma compound acetoin, reduced the beany off-flavour volatile hexanal, and increased the umami-tasting glutamate and aspartate levels. A second starter culture, consisting of LAB and the vitamin B12-producing species Propionibacterium freudenreichii, resulted in elevated levels of vitamin B12 of 2.0 μg/100 g fresh lupin quark, independent of LAB species while retaining similar quark-like attributes. These findings highlight the potential of these starter cultures to use for lupin-based quark alternatives.</t>
  </si>
  <si>
    <t xml:space="preserve">This publication directly addresses development of a plant-based dairy alternative (lupin-based quark) using fermentation with starter cultures. Lupin is the primary plant protein source, and fermentation is employed as a processing method to modify the plant protein and create quark-like characteristics and functional properties. The work advances both the plant-based ingredient (lupin) and fermentation processing for alternative protein product development, warranting both labels. The stated use case is clearly human food substituting conventional dairy (quark).</t>
  </si>
  <si>
    <t xml:space="preserve">pub.1196722647</t>
  </si>
  <si>
    <t xml:space="preserve">Functional Herbal Yogurt with Moringa oleifera Flower Extract: RSM-Based Optimization, and Quality Evaluation</t>
  </si>
  <si>
    <t xml:space="preserve">ABSTRACT Moringa oleifera has a greater nutritional value due to the different parts of this tree being used as rich sources of vitamins, minerals, and amino acids. At the same time, yogurt is considered to have healthful properties because of its probiotic ability, helping to maintain the balance of gut microbiota. The aim of the present investigation is to assess the influence of the addition of MOFE on the fermentation behavior and product quality of yogurts made by standard yogurt starter cultures, consisting of Lactobacillus delbrueckii subsp. bulgaricus and Streptococcus thermophilus. It was also done to study the physicochemical characteristics and storage stability of the enriched yogurt. Incubation time and extract concentration were optimized using Response Surface Methodology (RSM), based on multiple responses of titratable acidity, pH, protein, antioxidant activity, total phenolic content, and total flavonoid content. Sensory evaluation revealed that there is no significant difference in the enriched and control yogurts in terms of appearance and texture, but the enriched yogurt had a better flavor and overall acceptability.</t>
  </si>
  <si>
    <t xml:space="preserve">This publication concerns the development of a functional yogurt product enriched with Moringa oleifera extract. While yogurt involves fermentation, the primary focus is on optimizing a dairy-based food product (yogurt) with a plant-based functional ingredient additive, not on developing alternative proteins to substitute animal products. The stated aim is to assess fermentation behavior and product quality of a conventional yogurt, not to create a dairy analogue or alternative protein ingredient. This falls outside the scope of alternative protein research.</t>
  </si>
  <si>
    <t xml:space="preserve">pub.1193249719</t>
  </si>
  <si>
    <t xml:space="preserve">Evaluating Scale-Up Cultivation Modes for Aspergillus oryzae Biomass Production Using VFA-Rich Effluents from Agro-Industrial Residues</t>
  </si>
  <si>
    <t xml:space="preserve">Organic-waste-derived volatile fatty acids (VFAs) are promising substrates for fungal biomass cultivation, offering a nutrient-rich medium capable of meeting microbial growth requirements. However, the growth and biomass productivity are highly influenced by the VFAs' composition and mode of operation. This study investigated the cultivation of Aspergillus oryzae fungal biomass using agro-industrial-derived VFA effluent, employing repeated-batch and fed-batch (stepwise and continuous-feeding) cultivation modes to evaluate fungal growth and biomass composition. The highest dry biomass yield of 0.41 dry biomass/gVFAsfed (g/g) was achieved in fed-batch mode with continuous feeding, where the biomass exhibited pellet morphology, facilitating ease of harvesting. The crude protein content varied according to the cultivation strategy, reaching 45-53% in continuous-feeding fed-batch mode, while it was 34-42% in stepwise fed-batch mode. Additionally, the fungal biomass contained significant levels of essential macronutrients and trace elements, including Mg, Ca, K, Mn, and Fe, which are crucial if the biomass is intended to be used in animal feed formulations. This study highlights the effects of cultivation modes on biomass composition and the potential of VFA-derived fungal biomass as a sustainable feed ingredient.</t>
  </si>
  <si>
    <t xml:space="preserve">This publication is explicitly focused on fungal biomass production for animal feed formulations, as stated in the abstract: 'crucial if the biomass is intended to be used in animal feed formulations.' The stated use case is animal feed, not human food, which is an explicit exclusion criterion regardless of apparent relevance to alternative proteins.</t>
  </si>
  <si>
    <t xml:space="preserve">Agree with LLM, not in scope. Specifically focussed on animal feed, not human food.</t>
  </si>
  <si>
    <t xml:space="preserve">pub.1191549883</t>
  </si>
  <si>
    <t xml:space="preserve">Valorising feather keratin: antioxidant activity, cytotoxicity and mutagenicity during processing and gastrointestinal digestion</t>
  </si>
  <si>
    <t xml:space="preserve">Chicken feathers are an underutilized resource with high potential for bioactive peptide production. In this study, the valorisation of feather keratin through a three-step processing approach, i.e., keratin extraction with L-cysteine, followed by its enzymatic hydrolysis with pepsin, trypsin, chymotrypsin or subtilisin, and finally Maillard reaction with glucose or xylose of resulting hydrolysates was proposed. Representative preparations were subjected to simulated gastrointestinal digestion to evaluate their behaviour under physiological-like conditions. Subtilisin hydrolysate showed the strongest radical scavenging, iron-chelating and reducing activity. Its glycation with xylose yielded a preparation with enhanced radical scavenging and reducing activity, diminished iron chelation pre-digestion but the highest overall antioxidant capacity post-digestion. Neither processing nor digestion compromised the safety of the keratin preparation, as the absence of acute cytotoxicity or mutagenicity indicated. All digests showed high digestibility and retained antioxidant properties. These findings support the potential of feather keratin preparations as antioxidant ingredients in nutraceutical applications.</t>
  </si>
  <si>
    <t xml:space="preserve">This publication is out of scope because it explicitly states the intended use case is nutraceutical applications (bioactive peptides and antioxidant ingredients for health-promoting purposes), not substitution of animal proteins in human food. Additionally, feather keratin is animal-derived protein, which does not qualify as an alternative protein source under the definitions provided.</t>
  </si>
  <si>
    <t xml:space="preserve">pub.1194404883</t>
  </si>
  <si>
    <t xml:space="preserve">A pangenome and pantranscriptome of hexaploid oat</t>
  </si>
  <si>
    <t xml:space="preserve">Oat grain is a traditional human food that is rich in dietary fibre and contributes to improved human health1,2. Interest in the crop has surged in recent years owing to its use as the basis for plant-based milk analogues3. Oat is an allohexaploid with a large, repeat-rich genome that was shaped by subgenome exchanges over evolutionary timescales4. In contrast to many other cereal species, genomic research in oat is still at an early stage, and surveys of structural genome diversity and gene expression variability are scarce. Here we present annotated chromosome-scale sequence assemblies of 33 wild and domesticated oat lines, along with an atlas of gene expression across 6 tissues of different developmental stages in 23 of these lines. We construct an atlas of gene-expression diversity across subgenomes, accessions and tissues. Gene loss in the hexaploid is accompanied by compensatory upregulation of the remaining homeologues, but this process is constrained by subgenome divergence. Chromosomal rearrangements have substantially affected recent oat breeding. A large pericentric inversion associated with early flowering explains distorted segregation on chromosome 7D and a homeologous sequence exchange between chromosomes 2A and 2C in a semi-dwarf mutant has risen to prominence in Australian elite varieties. The oat pangenome will promote the adoption of genomic approaches to understanding the evolution and adaptation of domesticated oats and will accelerate their improvement.</t>
  </si>
  <si>
    <t xml:space="preserve">This publication focuses on oat genomics and gene expression with explicit reference to oat's use as the basis for plant-based milk analogues. While the primary focus is genomic research rather than protein functionality or product development, the stated context of plant-based milk production and the potential to accelerate oat improvement for this application brings it within scope as research advancing understanding of plant-based protein sources for human food substitutes.</t>
  </si>
  <si>
    <t xml:space="preserve">pub.1192827486</t>
  </si>
  <si>
    <t xml:space="preserve">Transcriptome profiles for defining avian primordial germ cell development</t>
  </si>
  <si>
    <t xml:space="preserve">Avian biology has contributed to many research areas, such as sustainable protein production, endocrinology, developmental biology, neurosciences, and immunology. Primordial germ cells, lineage-restricted stem cells, are key for the conservation of genetic diversity of bird species, as well as for studying germ cell development and producing genetic models to study avian biology. Here, we review the current knowledge of developmental and fate decision processes in avian primordial germ cells focusing on insights revealed by gene expression profiling. We summarized the characteristics and fundamental pathways required for chicken primordial cell growth. In addition, we discuss the common and disparate features of PGCs from chicken compared to other avian species. These insights are valuable for researchers in germ cell biology, reproductive biotechnology, and avian genetic conservation and indicate a need for the analysis of further bird species.</t>
  </si>
  <si>
    <t xml:space="preserve">This publication focuses on avian primordial germ cell development and gene expression profiling for reproductive biotechnology and genetic conservation purposes. While it mentions sustainable protein production in the introduction, the actual research concerns germ cell biology and developmental processes, not the development or characterization of alternative proteins for human food. The stated applications are reproductive biotechnology and genetic conservation, not food production.</t>
  </si>
  <si>
    <t xml:space="preserve">Agree with LLM, not in scope.</t>
  </si>
  <si>
    <t xml:space="preserve">pub.1186661415</t>
  </si>
  <si>
    <t xml:space="preserve">Environmental mitigation potential of waste-to-nutrition pathways</t>
  </si>
  <si>
    <t xml:space="preserve">Processing underutilized bioresidues (for example, straw, manure and wood) into novel food and feed products such as fungi-based proteins, microbial proteins and insects represents ‘waste-to-nutrition’ pathways that are increasingly promoted to reduce the environmental impacts of food systems, including pressures on climate change, land and water resources. However, the actual environmental mitigation potential of this strategy depends on future technological advancements and contextual factors, which remain uncertain. Here we compare five conventional bioresidue valorization pathways with insect farming, microbial conversion and protein extraction by simulating their life-cycle assessment across 8,820 combinations of future process efficiencies, 9 food and energy systems scenarios and 11 representative bioresidues across France. Overall, processing bioresidues into novel ingredients is competitive only in certain conditions. These include access to decarbonized energy, substantial technological advancements and scenarios where novel ingredients replace meat rather than animal feed. The microbial conversion of woody residues, manure and sludge into feed will constitute the more sustainable valorization strategy only in contexts where current demand for animal-based food is maintained. However, the sustainability of this scenario must still be further appraised in terms of scaling these systems to a broader level.</t>
  </si>
  <si>
    <t xml:space="preserve">While the publication discusses microbial proteins and fermentation-derived products, it explicitly states that novel ingredients are evaluated for replacing both human food (meat) and animal feed. The inclusion of insect farming as a primary focus, combined with the stated aim of comparing valorization pathways for feed production, places this outside scope. The publication's primary contribution is life-cycle assessment and environmental analysis of waste valorization strategies rather than advancing the development or characterization of alternative proteins for human food specifically.</t>
  </si>
  <si>
    <t xml:space="preserve">In scope. Issues with applying exclusion criteria. Some socioeconomic factors already addressed.</t>
  </si>
  <si>
    <t xml:space="preserve">Edit to prompt: added more clear instructions around exclusion criteria to leave in scope if there is still sufficient in scope material, not just eliminate any publication that mentions an excluded topic.</t>
  </si>
  <si>
    <t xml:space="preserve">pub.1191268831</t>
  </si>
  <si>
    <t xml:space="preserve">The Role of Sex in the Impact of Sleep Restriction on Appetite- and Weight-Regulating Hormones in Healthy Adults: A Systematic Review of Human Studies</t>
  </si>
  <si>
    <t xml:space="preserve">Short sleep has been linked to overweight, possibly via alterations in appetite-regulating hormones, but findings are inconsistent. Sex differences may contribute to this variability. This systematic review examines whether sex modifies the hormonal response to sleep curtailment. PubMed, Embase, Cochrane, CINAHL, and PsycINFO were searched for English-language experimental studies published before December 2024. Included studies assessed at least one appetite-regulating hormone and presented sex-specific analyses. Studies involving health conditions affecting sleep, circadian misalignment, or additional interventions were excluded. Risk of bias was assessed using the Revised Cochrane Risk-of-Bias tool (RoB 2). Eight studies (n = 302 participants) met inclusion criteria. A narrative synthesis of the findings was conducted for each hormone separately to explore potential differences in their response to sleep restriction. Some sex-related variations in hormonal response to sleep restriction have been observed for leptin (four studies, n = 232), insulin (three studies, n = 56), glucagon-like peptide-1 (one study, n = 27), ghrelin (three studies, n = 87), adiponectin (two studies, n = 71) and thyroxine (two studies, n = 41). However, findings were inconsistent with no clear patterns. No sex-related differences were found for glucagon or PYY, though data were limited. Findings suggest sex may influence hormonal responses to sleep restriction, but inconsistencies highlight the need to consider factors such as BMI and energy balance. Well-controlled, adequately powered studies are needed to clarify these effects.</t>
  </si>
  <si>
    <t xml:space="preserve">This systematic review examines the effects of sleep restriction on appetite-regulating hormones in healthy adults, with a focus on sex differences. It is not concerned with alternative proteins, their development, characterisation, or production. The study addresses general dietary and health outcomes related to sleep and hormonal regulation, which falls outside the scope of alternative protein research.</t>
  </si>
  <si>
    <t xml:space="preserve">pub.1186164240</t>
  </si>
  <si>
    <t xml:space="preserve">Exploring the Potential of Lactic Acid Bacteria Fermentation as a Clean Label Alternative for Use in Yogurt Production</t>
  </si>
  <si>
    <t xml:space="preserve">The demand for healthier, more natural, and sustainable foods has increased, which drives the development of clean label food products. The clean label trend is associated with developing food products with as few ingredients as possible, free of synthetic additives, and with ingredients that customers understand and consider healthy. Yogurt is a fermented food with numerous health benefits, and is an excellent source of proteins, vitamins, and minerals. However, yogurt may contain chemical additives (including preservatives) that concern consumers as they are associated with potential health risks. Lactic acid bacteria (LAB) are Gram-positive, non-spore-forming, catalase-negative, and non-motile, with antimicrobial activity due to metabolites produced during fermentation. These metabolites include bacteriocins, organic acids, and exopolysaccharides, among others. Thus, in addition to its use in several technological and industrial processes in the food field, LAB present good potential for application as a clean label component for preserving foods, including yogurts. This review article provides an overview of the potential use of LAB and its compounds obtained from fermentation to act as a clean label ingredient in the preservation of yogurts.</t>
  </si>
  <si>
    <t xml:space="preserve">This publication focuses on lactic acid bacteria fermentation as a preservation and clean label ingredient for conventional yogurt production, not as an alternative protein source to substitute animal-derived dairy. The primary aim is improving conventional yogurt through natural preservatives, not developing dairy analogues or alternative protein products. Yogurt itself is a conventional animal protein product, and the research does not concern alternative proteins intended to replace it.</t>
  </si>
  <si>
    <t xml:space="preserve">pub.1193941651</t>
  </si>
  <si>
    <t xml:space="preserve">An Alternative Safety Profiling Algorithm (ASPA) to transform next generation risk assessment into a structured and transparent process.</t>
  </si>
  <si>
    <t xml:space="preserve">Next generation risk assessment (NGRA) strategies use animal-free new approach methodologies (NAMs) to generate information concerning chemical hazard, toxicokinetics (ADME), and exposure. The information from these major pillars of data gathering is used to inform risk assessment and classification decisions. While the required types of data are widely agreed upon, the processes for data collection, integration and reporting, as well as several decisions on the depth and granularity of required data, are poorly standardized. Here, we present the Alternative Safety Profiling Algorithm (ASPA), a broad-purpose, transparent, and reproducible risk assessment workflow that allows documentation and integration of all types of information required for NGRA. ASPA aims to make safety assessments fully traceable for the recipient (e.g., a regulator), delineating which steps and decisions have led to the final outcome, and why certain decisions were made. An overarching objective of ASPA is to ensure that identical data input yields identical outcomes in the hands of independent assessors. Therefore, ASPA is not just a data gathering workflow; it also considers data interdependencies and requires precise justification of intermediate decisions. This includes the monitoring and assessment of uncertainties. To assist users, the ASPA-assist software was developed. It formalizes the reporting process in a reproducible and standardized fashion. By guiding an operator step-by-step through the ASPA workflow, a complete and comprehensive report is assembled, whereby all data, methods, operator activities and intermediate decisions are recorded. Practical examples illustrating the broader applicability of ASPA across various regulations and problem formulations are provided through case studies.</t>
  </si>
  <si>
    <t xml:space="preserve">This publication concerns chemical risk assessment methodology and regulatory frameworks for safety profiling, not alternative proteins. While it mentions animal-free approaches, the focus is on developing a standardized algorithm for chemical hazard and toxicity assessment, with no connection to plant-based, fermentation-derived, or cultivated proteins for human food.</t>
  </si>
  <si>
    <t xml:space="preserve">pub.1187661745</t>
  </si>
  <si>
    <t xml:space="preserve">Biotechnology-enhanced immunoassay for accurate determination of HT-2 toxin in edible insect samples</t>
  </si>
  <si>
    <t xml:space="preserve">Consumption of edible insects is common in non-Western countries of Africa, Asia, Oceania, and Latin America. However, their consumption has significantly increased in Europe in recent years thanks to their remarkable nutritional properties. Edible insects provide a valuable source of high-quality proteins, fats, minerals, and vitamins. Nevertheless, the absence of global regulatory guidelines poses a risk associated with their consumption due to the potential presence of pathogens and contaminants, such as mycotoxins, which are toxic compounds produced by fungi and represent a major threat to food and feed safety. Our approach integrates advanced nanobiotechnology to develop fluorescent antibodies by conjugating a recombinant superfolder green fluorescent protein (sfGFP) with a single-chain antibody (scFv). This fusion allows for precise detection of the immune complex formed between the HT-2 toxin and a biotinylated anti-HT-2 antibody. Additionally, we employed advanced computational tools, including AlphaFold and MOE, to deepen our understanding of the binding interactions present in the immune complex, confirming the strong interaction between the Fab/HT-2 toxin immunocomplex and the scFv antibody fragment, in contrast to the weaker binding observed with the Fab/T-2 toxin and the scFv. The method demonstrates high sensitivity, with an EC50 of 10.3 ± 0.6 ng mL−1, a dynamic range of 3.4 ± 0.1 to 31 ± 3 ng mL−1, a limit of detection of 0.43 ng mL−1, and a limit of quantification of 1.2 ng mL−1 in buffer solution. The assay exhibited excellent precision, with a reproducibility of 4% and no cross-reactivity with other mycotoxins. Application to contaminated cricket flour yielded recoveries between 91 and 133%, with coefficients of variation from 6 to 13%. These results indicate that the developed immunoassay is highly sensitive, selective, and reliable for detecting HT-2 toxin in food matrices, providing a promising tool for mycotoxin screening in food safety.Graphical Abstract</t>
  </si>
  <si>
    <t xml:space="preserve">This publication is clearly out of scope. While it mentions edible insects as a protein source, insect-based proteins are explicitly excluded from the alternative protein definition regardless of apparent relevance. The research focuses on developing an immunoassay for mycotoxin detection in insect flour, not on advancing the development, characterisation, or understanding of alternative proteins themselves.</t>
  </si>
  <si>
    <t xml:space="preserve">pub.1184587474</t>
  </si>
  <si>
    <t xml:space="preserve">Comparison of granulometric and textural characteristics of in vitro food bolus of beef- and plant-based patties</t>
  </si>
  <si>
    <t xml:space="preserve">For some years now, consumers are progressively switching their diet to a more plant-based (PB) one for various reasons such as climate, environmental, and/or health concerns. One path is the one-on-one replacement of meat by PB analogues and hereto the latter need to give a similar sensory perception as traditional meat. However, current PB analogues do not yet have a comparable texture as their meat counterparts nor are they the same in terms of food oral processing (FOP). The food industry is currently working to overcome this challenge by developing new ingredients and/or processing techniques. In this study a method is developed to quantify and understand the textural and oral processing differences between beef and PB patties. This method will increase the knowledge on food bolus characteristics of plant-based products during mastication and this can be expected to provide new approaches in the development of products intended to generate similar oral sensation as that produced during consumption of meat products. Hereto, samples of three commercially available plant-based (Beyond B, Sensational S, Ereburger E) and one beef patties (Albert Heijn's Ultimate beef burger) were masticated in the AM2 masticator apparatus, which was programmed to mimic the in vivo patty bolus characteristics. For that, the AM2 parameters were finetuned per patty type so that in vitro particle size distribution simulated the in vivo one. Then, the in vitro boluses of all burgers collected after 1/3rd, 2/3rd and at the end of masticatory sequences were characterised in terms of granulometry and for textural features acquired with the texture profile analysis test. Results demonstrated that to imitate the in vivo bolus characteristics, specific AM2 programming parameters were required per patty, with the Beef Burger requiring more shear deformation to be disrupted. Depending on the type of patty, the boluses displayed granulometry and textural differences. Progress of fragmentation along mastication depended on the patty type. Burger S was the most fragmented and Burger B bolus contained more large particles than others. All PB patties produced softer and less chewy boluses as compared to the Beef Burger. This method to quantify the FOP of PB patties throughout the masticatory sequence and the insights that were produced are undoubtedly interesting to help in the further development of PB meat substitutes intended to simulate organoleptic characteristics of traditional meat products.</t>
  </si>
  <si>
    <t xml:space="preserve">This publication directly addresses the development and characterization of plant-based meat analogues (specifically plant-based burger patties) intended as substitutes for conventional beef products. The research focuses on understanding and improving the textural and oral processing properties of plant-based patties to better match meat counterparts, which is explicitly within scope as it advances the development and characterization of plant-based protein products for human food substitution.</t>
  </si>
  <si>
    <t xml:space="preserve">pub.1185591975</t>
  </si>
  <si>
    <t xml:space="preserve">Covalent organic frameworks supported geminal-atom catalysts for upcycling nitrate into single-cell protein</t>
  </si>
  <si>
    <t xml:space="preserve">Coupling electrocatalytic nitrate reduction reaction (NITRR) with biotransformation can improve the efficiency of conversion and utilization of NO3 –, effectively alleviating NO3 – pollution and promoting global nitrogen cycle. In this study, geminal-Co catalysts have been fabricated via predesigning the geminal coordination sites in covalent organic frameworks, where the distance can be precisely controlled at 6.5, 9.6, and 13.4 Å. Aberration-corrected electron microscopy confirms the consistency between the actual distances and the theoretical values. The geminal-Co catalysts, with a Co-Co distance of 9.6 Å, displays the best NITRR performance, achieving a maximum NH3 Faradaic efficiency and yield of 95.7 % and 30 mg h−1 mgcat −1, respectively. Density functional theory calculations reveal that distance adjustment of geminal-Co catalysts can optimize the adsorption energy for NO3 – and the adsorption/desorption of various intermediates. The electrocatalytic NITRR coupled with microbial system showed a 2.48 g/L single-cell protein (SCP) yield at 48 h, and the 49.8 % protein content in SCP. This work presents an attractive strategy for achieving precise distance control of geminal-atom catalysts, as well as a new approach to promote the global nitrogen cycle and relieve food crises.</t>
  </si>
  <si>
    <t xml:space="preserve">This publication focuses on single-cell protein (SCP) production through a coupled electrocatalytic and microbial fermentation system, which is a fermentation-derived protein source intended for human food use as stated in the abstract's reference to relieving food crises. The primary focus is on optimizing the production process and yield of microbial biomass protein, making it in scope as fermentation-based alternative protein research.</t>
  </si>
  <si>
    <t xml:space="preserve">pub.1195460961</t>
  </si>
  <si>
    <t xml:space="preserve">Rheological and Textural Properties of Plant‐Based Gel Derived From Pulsed Electric Field‐Treated Oat Flour and Pea Protein</t>
  </si>
  <si>
    <t xml:space="preserve">ABSTRACT Composite gels produced from plant‐based ingredients, especially when their textural attributes are engineered through the application of emerging technology, show promise for new food product development. However, there is limited data on the gelation mechanism and the contribution of individual ingredients in these composite gels. This research investigated the effect of varying starch and protein concentrations on the rheological and textural properties of a plant‐based gel formulated from oat flour (5%–15% w/w) and pea protein (5%–10% w/w) under the influence of pulsed electric field (PEF) treatment applied at varying electric field strengths (2–4 kV/cm) and specific energies (300–445 kJ/kg). The application of higher specific energy levels increased the textural (firmness, cohesiveness, consistency, and index viscosity) and rheological (, , crossover moduli, A′, A″, B′, B″, viscosity and shear stress) parameters of the oat‐pea composite gels. The starch component of the oat flour had a greater contribution to the gel strength, suggesting that the gel formation mechanism was attributed to starch gelatinization due to Joule heating. In contrast, electric field strength had only a minor contribution to the gel strength. Gels made from oat flour mixed with pea protein fit within levels 2–5 of the International Dysphagia Diet Standardization Initiative (IDDSI) classification. This study demonstrated that PEF treatment can be a rapid method for producing plant‐based gels from oat flour mixed with pea protein, yielding varying textural profiles and rheological properties.</t>
  </si>
  <si>
    <t xml:space="preserve">This publication focuses on plant-based protein (pea protein) and plant ingredients (oat flour) as primary components for developing gel products with engineered textural properties using emerging processing technology (PEF treatment). The research advances the development and characterization of plant-based protein functionality and processing effects, which aligns with the alternative protein scope. While the gels are classified for dysphagia management, the primary focus is on optimizing plant-based ingredient functionality and processing rather than medical nutrition specifically, making it in scope for alternative protein research.</t>
  </si>
  <si>
    <t xml:space="preserve">pub.1191677996</t>
  </si>
  <si>
    <t xml:space="preserve">An in vitro study exploring the role of mucin in the protein-flavor binding mechanism</t>
  </si>
  <si>
    <t xml:space="preserve">In the mouth, food flavors interact with salivary proteins like mucin, which protects mucosal surfaces and influences the rate of aroma release. The role of mucin in the protein-flavor binding mechanism was evaluated in a model system in vitro using GC-MS. The number of binding sites (n) and binding constants (K) of commercial food protein isolates (PIs) and carbonyl compounds were calculated using Klotz plots. Results suggested a linear relationship between PIs and carbonyl compounds, where K increased with the flavor chain length, and n ranged from n = 0.021 to 7.194. Mucin addition to flavor-protein systems increased flavor binding up to fifteen times. At 0.01(w/v)% mucin, structural changes enhanced flavor binding. At higher mucin levels, further unfolding leads to aggregation, restricting access of the flavor molecules to the binding sites. These results confirmed the role of flavor structural characteristics and mucin on flavor binding, essential for optimal food design.</t>
  </si>
  <si>
    <t xml:space="preserve">This publication focuses on the biochemical mechanism of flavor-protein binding in a model system using commercial protein isolates and mucin. While it examines protein properties, the stated aim is understanding flavor binding mechanisms for general food design, not developing or optimizing alternative proteins as substitutes for animal products. The research does not address alternative protein development, characterization for food applications, or substitution of conventional animal proteins.</t>
  </si>
  <si>
    <t xml:space="preserve">Lean agree with LLM, not in scope.</t>
  </si>
  <si>
    <t xml:space="preserve">pub.1187071484</t>
  </si>
  <si>
    <t xml:space="preserve">Characterization and quantification of anisotropy in mozzarella cheese: Exploring the impact of structural anisotropy on functional properties using complementary analytical technologies</t>
  </si>
  <si>
    <t xml:space="preserve">Mozzarella cheese is a key ingredient in many cuisines, valued for its creamy texture and its exceptional popularity as a pizza topping. The unique melting and stretching behavior is closely linked to its structural anisotropy, which can be modulated by production conditions. The textural anisotropy of the cheese significantly influences its viscoelastic and thermodynamic properties when heated. This paper explores how process parameters influence mozzarella structure, utilizing Fluorescence Anisotropy (FA) and Oblique Incidence Reflectometry (OIR) for anisotropy quantification. To corroborate the results, our study incorporates detailed microstructural analysis via X-ray computed tomography (CT). The ultimate product functionality of the mozzarella cheese is evaluated from both a consumer and quality perspective by assessing its performance in pizza baking. The key findings of our study indicate that the determinations of anisotropy by FA and OIR are highly correlated with each other and with important functional properties and process parameters. Functional parameters associated with blisters negatively correlate with anisotropy, while oiling and meltability exhibit a positive correlation with anisotropy values. The anisotropy values observed through FA and OIR further align closely with CT images, as well as with pizza functionality and consumer tests.</t>
  </si>
  <si>
    <t xml:space="preserve">This publication concerns the characterization and functional properties of conventional mozzarella cheese, a dairy product derived from animal milk. It does not address alternative proteins, plant-based dairy analogues, fermentation-derived proteins, or cultivated dairy products. The research focuses on optimizing a conventional animal-derived cheese product, which falls outside the scope of alternative protein research.</t>
  </si>
  <si>
    <t xml:space="preserve">pub.1196236950</t>
  </si>
  <si>
    <t xml:space="preserve">The influence of phytase on the solubility of storage proteins in rapeseed press cake</t>
  </si>
  <si>
    <t xml:space="preserve">Rapeseed (Brassica napus subsp. napus) protein is gaining attention as a sustainable alternative protein source to animal derived proteins. Its utilization as a food ingredient for human consumption is hindered by the presence of phytic acid, or inositol hexaphosphate, an anti-nutritional factor that binds minerals and reduces protein solubility. This study investigates the effect of enzymatic hydrolysis of phytic acid, using phytase (12 U/mL) and phosphatase (0.44 U/mL), on the solubility of the two primary rapeseed storage proteins, cruciferin and napin. Rapeseed press cake was extracted in water (1:20 w/v) and incubated with enzymes for 60 min at 40 °C, followed by pH adjustment across a pH range of 4-9. Reversed-phase HPLC analysis confirmed that phytase treatment significantly (p ≤ 0.05) improved cruciferin solubility at pH 4 by up to 600 % by disrupting protein-phytate complexes, while napin solubility showed a minor, non-significant increase (p &gt; 0.05). Additionally, ICP-OES analysis of minerals (Ca, K, Na, Mg, P and S) showed that phytase hydrolysis significantly increased soluble phosphorus, enhancing its bioavailability. These findings suggest that phytase treatment enhances the functional properties of rapeseed protein, improving its dispersion and solubility, and positioning it as a promising candidate for use in plant-based food formulations.</t>
  </si>
  <si>
    <t xml:space="preserve">This publication directly addresses rapeseed protein as a sustainable alternative to animal-derived proteins for human food applications. The research focuses on improving the functional properties (solubility) of plant-based storage proteins through enzymatic processing to enhance their utility as food ingredients in plant-based formulations. Protein is the primary focus, and the stated use case is substituting animal proteins in human food.</t>
  </si>
  <si>
    <t xml:space="preserve">pub.1187600268</t>
  </si>
  <si>
    <t xml:space="preserve">Prediction of black soldier fly larval sex and morphological traits using computer vision and deep learning</t>
  </si>
  <si>
    <t xml:space="preserve">The growing interest in insect farming as a sustainable protein alternative has given rise to the commercial production of key species like the Black Soldier Fly (BSF), primarily for use in livestock, fish, and pet nutrition. Despite the heightened interest in BSF production, there is a need for increased efficiency, particularly in the context of large-scale measurement of various traits for selective breeding as well as management optimization. The unique insect production systems, coupled with the challenges posed by their small size, fragility, and metamorphic life cycle underscores the necessity for innovative approaches to streamline production. This study explores the potential of computer vision (CV) in predicting the larval sex and morphological traits of BSF, offering a non-invasive, rapid, and automated method for trait measurement. The study explores algorithms utilizing You-Only-Look-Once (YOLOv8) in detection and segmentation, ResNet for feature extraction and classification, and regression analysis mechanisms. We assess the ability of our models to predict larval weight from images through morphometric weight prediction and CNN-regression approaches. A notable contribution of this study is the pioneering effort to classify BSF larval sex using CV and deep learning (DL). In the analysis of larval weight prediction, a coefficient determination (R2) of up to 0.80 between measured and predicted weight was achieved using the morphometric weight prediction approach, along with an R2 of 0.71 through the CNN-regression approach. Additionally, the sex prediction module demonstrated an F1 score of 0.75 and a prediction accuracy of 74 %. These results underscore the feasibility of leveraging CV techniques for predicting the sex and body traits of BSF larvae, representing a significant advancement toward the automation of selective breeding in the context of insect farming.</t>
  </si>
  <si>
    <t xml:space="preserve">This publication is explicitly out of scope because it concerns insect-based proteins (Black Soldier Fly larvae) for use in livestock, fish, and pet nutrition, not human food. The exclusion criteria clearly state that insect-based proteins are always classified as out of scope regardless of apparent relevance.</t>
  </si>
  <si>
    <t xml:space="preserve">pub.1190652749</t>
  </si>
  <si>
    <t xml:space="preserve">Evidence on the parameters of oculomotor skills and normative values: A systematic review</t>
  </si>
  <si>
    <t xml:space="preserve">PURPOSE: To evaluate the current evidence on oculomotor measurement parameters and their normative values through a systematic review.
METHODS: A search of primary studies was conducted using a search equation with free language. Original articles analyzing normal oculomotor function parameters in healthy populations of any age, studies that included a clearly differentiated healthy control group, and articles using any oculomotor measurement test were included. The QUADAS-2 tool was used to assess the risk of bias, applicability, and quality of the studies. The review was conducted independently by the authors and then pooled to determine the final inclusion.
RESULTS: A total of 915 articles were identified, of which 750 were excluded after the first review of the title and abstract. In the second step, 133 out of 165 investigations were discarded. Ultimately, 32 articles from the initial search were included, along with 10 additional articles identified through a manual search. The findings revealed variations in how oculomotor skills are measured, including differences in stimuli, measurement distances, and parameters assessed. A high risk of bias was observed (≥50 % in the areas of "flow and timing", "reference standard" and "patient selection") along with poor applicability (≥50 % in all aspects).
CONCLUSIONS: There is no clear evidence on normative values for oculomotor skills, nor is there a consensus on the measurement methods, stimulus used, or working distance. Furthermore, there is no agreement on which aspects of oculomotor skills should be assessed. To enhance reliability and applicability, measurement criteria should be standardized, and normative values should be established.</t>
  </si>
  <si>
    <t xml:space="preserve">This publication is a systematic review of oculomotor measurement parameters and normative values in healthy populations. It has no connection to alternative proteins, food science, or human nutrition. The research concerns ophthalmology and vision assessment, which falls entirely outside the scope of alternative protein research.</t>
  </si>
  <si>
    <t xml:space="preserve">pub.1191293711</t>
  </si>
  <si>
    <t xml:space="preserve">Functionalizing walnut protein via consecutive purification and ultrasound modification: Self-assembled structure and interfacial properties</t>
  </si>
  <si>
    <t xml:space="preserve">The preparation of plant proteins generally involves three independent steps, which is time-consuming. Here, we integrated these three steps into one consecutive process (one-step preparation), which involved alkali extraction, membrane purification, and ultrasound modification. The obtained walnut protein was evaluated in terms of self-assembled structure, interfacial behaviors, and emulsifying properties. Compared with the traditional preparation method, our one-step preparation regulated the aggregation of walnut protein from a dissolved state to a well-organized assembly. When the ultrasound modification was conducted at 10 W/mL for 30 min, the walnut protein (WP-U2) showed the highest surface hydrophobicity (H0 = 36704), the smallest particle size (205 nm), and highest solubility (58.70 %) at pH 7.0. These well-assembled proteins rapidly diffused, anchored, and rearranged at the oil-water interface, resulting in an increase of the interfacial pressure to 19 mN/m. The adsorbed proteins formed a dense and stiff solid-like interfacial film with a storage modulus of 64 mN/m at an amplitude of 5 %. These enhanced interfacial properties endow WP-U2 with superior emulsifying properties (EAI ∼ 12 m2/g, ESI &gt; 150 min) compared to other groups. This study provides a simple and environmentally friendly way to produce functionalized walnut protein, which shows great potential as an effective food emulsifier.</t>
  </si>
  <si>
    <t xml:space="preserve">This publication focuses on optimizing walnut protein extraction and modification to enhance its functional properties as a food ingredient. The research directly addresses plant-based protein functionality and processing effects relevant to alternative protein development, specifically improving emulsifying properties for food applications. Walnut protein is a plant-derived protein source being developed as a functional ingredient to substitute or enhance conventional food emulsifiers, clearly fitting the plant-based alternative protein category.</t>
  </si>
  <si>
    <t xml:space="preserve">pub.1188675732</t>
  </si>
  <si>
    <t xml:space="preserve">Metabolomic profiling of Iberian dry-cured ham: Preliminary approach to discriminate between hams from different commercial categories</t>
  </si>
  <si>
    <t xml:space="preserve">For more than 25 years, profuse research has aimed to discriminate Iberian-dry-cured hams produced from pigs differing in genetics (pure Iberian vs. crosses) and feeding background (natural resources vs. commercial feeds). Certain advanced MS-based analytical tools have been found useful to characterise and authenticate a variety of meat products. Here, for the first time, the metabolome (more than 3000 identified compounds) of Iberian dry-cured hams from the three most valuable categories, labeled as BLACK, RED and GREEN, is analysed using a Q-Exactive Orbitrap mass-spectrometry (MS) equipment. The chemical structure, plausible origin and role played by the 35 most abundant chemical species in Iberian dry-cured hams, are reported. Additionally, Iberian hams differing in genetic background namely, BLACK (100 % Iberian) and RED (50 % Iberian) were found to differ in 142 discriminating metabolites. Sixty-six distinctive metabolites were found in RED hams, produced from pigs fed on natural resources, while seventy discriminating metabolites were identified in GREEN hams, produced from pigs fed on concentrate. The method applied provided a preliminary metabolic fingerprinting of Iberian dry-cured hams, which may be helpful for authentication purposes.</t>
  </si>
  <si>
    <t xml:space="preserve">This publication concerns metabolomic characterization and authentication of conventional animal-derived meat products (Iberian dry-cured ham). It does not address alternative proteins, plant-based meat analogues, fermentation-derived proteins, or cultivated meat. The research focuses on discriminating between conventional ham products based on genetic background and feeding practices, with no stated or implied aim to develop or improve alternative protein substitutes for animal products.</t>
  </si>
  <si>
    <t xml:space="preserve">pub.1188263459</t>
  </si>
  <si>
    <t xml:space="preserve">Textural properties of faba bean-based Camembert analogue</t>
  </si>
  <si>
    <t xml:space="preserve">As global food systems evolve toward sustainability, the demand for plant-based alternatives to traditional animal-derived products is growing. Faba beans (Vicia faba), known for their versatility and agricultural benefits, offer a promising solution in the development of vegan cheese analogues. This study explores the potential of using faba beans to produce a Camembert-like cheese. The Camembert analogues were formulated with fat contents of 15% and 30% and varying proportions of coconut and rapeseed oils in triplicate. The proportions of coconut and rapeseed oils were 40:60, 50:50, and 60:40. Generally, the Camembert analogues with the higher fat content (30%) resulted in higher hardness, springiness, chewiness, and dry matter content compared to the analogues with 15% fat. This suggests that fat content is more important for these parameters than proportions of coconut and rapeseed oil. Future research should focus on optimising texture to more closely replicate traditional dairy Camembert and meet consumer sensory expectations. Incorporating sensory evaluations and consumer feedback is essential to validate instrumental findings and ensure the product meets consumer expectations.</t>
  </si>
  <si>
    <t xml:space="preserve">This publication directly addresses development of a plant-based cheese analogue using faba beans as the primary protein source, intended to substitute for traditional dairy Camembert. The research focuses on optimizing textural and functional properties of the alternative protein product to improve its performance as an animal protein substitute, which is clearly within scope for plant-based alternative proteins.</t>
  </si>
  <si>
    <t xml:space="preserve">pub.1189862049</t>
  </si>
  <si>
    <t xml:space="preserve">Plant-based milk alternatives: can they replace the iodine from UK cow's milk?</t>
  </si>
  <si>
    <t xml:space="preserve">Current food systems pose risks to both population and environmental health. Reducing the intake of animal-based foods, such as dairy products, and increasing consumption of plant-based foods align with priorities for addressing climate change and promoting overall health. Plant-based alternatives to cow's milk can be readily substituted for cow's milk without altering meal patterns and food habits, making them a popular choice among those reducing animal-product consumption. However, plant-based milk alternatives do not necessarily provide the same nutrients as cow's milk, particularly essential micronutrients like iodine. While national data indicate that the UK is iodine-replete, certain population subgroups (such as pregnant women, women of reproductive age, and vegans) remain at risk of iodine deficiency. Young women are more likely than other age groups to consume plant-based milk alternatives, heightening public health concerns about iodine insufficiency in this demographic. Current consumers of plant-based milk alternatives in the UK have lower iodine intake and status compared to consumers of cow's milk. Population-level effects of replacing milk with plant-based alternatives vary and depend on factors such as the role of plant-based milk alternatives in the diet (i.e. in addition to, or as a replacement for milk), the presence of other iodine sources in the diet, the consumer's life stage, and whether the alternatives are fortified with iodine. This review examines the literature on plant-based milk alternatives and iodine intake, focusing on implications of this dietary shift and strategies to improve iodine intake in those opting for plant-based milk alternatives in the UK population.</t>
  </si>
  <si>
    <t xml:space="preserve">This publication examines plant-based milk alternatives as substitutes for conventional dairy products, focusing on their nutritional composition and fortification strategies. While the primary focus is on iodine content rather than protein functionality per se, the work directly addresses the development and optimization of plant-based dairy analogues to match conventional milk's nutritional profile, which is within scope as it advances understanding of plant-based alternatives for human food.</t>
  </si>
  <si>
    <t xml:space="preserve">pub.1184597489</t>
  </si>
  <si>
    <t xml:space="preserve">Nutritional and Sensory Properties of Meat Analogues: A Current Overview and Future Considerations</t>
  </si>
  <si>
    <t xml:space="preserve">For centuries, meat has been a staple in the human diet, cherished for its rich protein content, vitamins, appealing texture, and umami flavor. The future supply is, however, tenuous as the global population continues to grow. Additional issues regarding animal welfare, adverse health effects, and the environmental impact of meat production have accelerated the development of meat analogues (MAs) over the last decades. From the different categories of MAs, plant-based MAs are recognized as viable alternatives globally. Despite their potential, products derived from insects, algae, fungi, or muscle tissue cell culture remain less familiar in Western cultures. Whereas ongoing research addresses the nutritional values, sensory attributes, and consumer acceptance of MAs, the existing literature offers only limited comparative analyses of the chemical composition. This review aims to address this gap by systematically comparing their advantages and elucidating their limitations in meeting current and future consumer demands.</t>
  </si>
  <si>
    <t xml:space="preserve">This review directly addresses meat analogues, which are explicitly defined as substitutes for conventional animal proteins in human food. The publication focuses on nutritional and sensory properties of plant-based meat analogues and compares different MA categories (plant-based, insect, algae, fungi, cultivated), making it clearly in scope for alternative protein research. Plant-based is the primary category as the review emphasizes plant-based MAs as viable alternatives.</t>
  </si>
  <si>
    <t xml:space="preserve">Addressed previously. Cross-cutting challenge.</t>
  </si>
  <si>
    <t xml:space="preserve">pub.1196064670</t>
  </si>
  <si>
    <t xml:space="preserve">CIPROMED: building resilient and circular protein systems for the Mediterranean</t>
  </si>
  <si>
    <t xml:space="preserve">CIPROMED: building resilient and circular protein systems for the Mediterranean CIPROMED strengthens Mediterranean agri-food resilience by valorising local crops, agri-industrial residues and alternative proteins from insects, legumes, microalgae and fermentation. Using circular, sustainable processes, it transforms side-streams into high-value food and feed ingredients, enriches soils with insect frass, and applies microbial fermentation to enhance protein quality, supporting a resource-efficient, climate-smart agri-food system.</t>
  </si>
  <si>
    <t xml:space="preserve">While the project mentions legumes, microalgae, and fermentation as alternative protein sources, it explicitly includes insect-based proteins as a primary component of its alternative protein strategy. Insect-based proteins are explicitly excluded from scope regardless of other relevant elements. Additionally, the project's stated focus on both food and feed ingredients, combined with the emphasis on insect frass for soil enrichment, indicates a broader agri-food system approach rather than a focused alternative protein development initiative for human food substitution.</t>
  </si>
  <si>
    <t xml:space="preserve">In scope. Issues addressed above.</t>
  </si>
  <si>
    <t xml:space="preserve">pub.1195444487</t>
  </si>
  <si>
    <t xml:space="preserve">Eating Rate has Sustained Effects on Energy Intake from Ultra-Processed Diets: A Two-Week Ad Libitum Dietary Randomized Controlled Cross-over Trial</t>
  </si>
  <si>
    <t xml:space="preserve">BACKGROUND: Previous research has shown that diets dominated by ultraprocessed foods (UPF) are associated with higher dietary energy intakes. This association may be attributable in part to meal texture and associated eating rate (ER). Experimental studies are needed to clarify the underlying mechanisms.
OBJECTIVES: The objective was to compare daily energy intake (kcal/d) from diets with different meal texture-derived ER (g/min) (UPF Slow-ER compared to UPF Fast-ER) across a 14-day period. Two UPF diets comprised of foods selected to have textures known to lead to a slower or faster ER.
METHODS: Forty-one participants [n = 21 male, mean (± standard deviation) age 27 ± 5; weight 70 ± 10 kg; body mass index 23.4 ± 1.9] completed a single-blind, block-randomized crossover study including 2 14-day diets; UPF Slow-ER and UPF Fast-ER, with a 2-wk washout. Diets were served ad libitum and matched for palatability, portion size served, total energy served, non-beverage energy density, and meal variety.
RESULTS: Daily energy intake was 369 kcal/d (95% confidence interval: 221, 517) lower on the UPF Slow-ER diet compared with the UPF Fast-ER diet [main effect; F (1, 1051) = 23.98, P &lt; 0.001]. The effect on energy intake was consistent across participants and the number of days on the diet [diet∗time: F (13, 1051) = 0.96, P = 0.486], and was not attributable to meal liking or macronutrient intake (all, P &gt; 0.05). There was no change in body weight pre-diets to post-diets, and no differences in body weight between the 2 diets. Body fat mass decreased on the UPF Slow-ER diet by 0.43 kg [main effect; F (1, 119) = 14.68, P = 0.0002].
CONCLUSIONS: Food texture-derived ER has a significant and sustained effect on energy intake of ultraprocessed diets over a 2-wk period. This finding highlights the importance of food texture in guiding ER and the central role of sensory cues in regulating meal size. This trial was registered at clinicaltrials.gov as NCT06113146.</t>
  </si>
  <si>
    <t xml:space="preserve">This publication investigates eating rate and energy intake from ultra-processed foods in a dietary intervention study. It does not focus on alternative proteins, protein sources, or protein-based food development. The study examines meal texture effects on consumption behavior of conventional ultra-processed foods, which is a general nutrition and food science topic unrelated to plant-based, fermented, or cultivated protein development or characterization.</t>
  </si>
  <si>
    <t xml:space="preserve">pub.1189551191</t>
  </si>
  <si>
    <t xml:space="preserve">Novel photo-chemoautotrophic system combining microalgae and hydrogen oxidizing bacteria for microbial protein production from carbon dioxide</t>
  </si>
  <si>
    <t xml:space="preserve">This study investigated the production of microbial protein (MP) using a novel microbial consortium composed of microalgae and hydrogen-oxidizing bacteria (HOB). This photo-chemoautotrophic consortium was aimed at capturing and valorising carbon dioxide (CO2) while overcoming typical limitations of each microbial group. Batch tests were run under varying gas mixtures of oxygen (O2), CO2 and hydrogen (H2) to assess process performance in terms of biomass growth, nitrogen assimilation, gas consumption, final biomass and microbial community composition. The consortium was compared to the single microalgae and HOB cultures grown under photo- and chemoautotrophic conditions, respectively. The consortium achieved significant growth (5.5 g VSS/L) under a non-explosive gas mixture, reaching a protein content of 40.3 ± 8.5 %. The consortium achieved up to 1.8- and 10-times higher biomass growth compared to the single microalgae and HOB cultures, respectively, showing a higher CO2 consumption and stimulating photosynthetic O2 production.</t>
  </si>
  <si>
    <t xml:space="preserve">This publication directly addresses microbial protein production using a fermentation-based system combining microalgae and hydrogen-oxidizing bacteria for human food applications. Microalgae-derived proteins are classified as fermentation (not plant-based) per the boundaries, and the research focuses on optimizing microbial biomass growth, protein content, and fermentation process performance—all core elements of fermentation-derived alternative proteins intended as substitutes for conventional animal proteins.</t>
  </si>
  <si>
    <t xml:space="preserve">pub.1189564490</t>
  </si>
  <si>
    <t xml:space="preserve">Does the use of Beef-on-Dairy lead to increased longevity in dairy herds?</t>
  </si>
  <si>
    <t xml:space="preserve">The genetic progress of longevity in Holsteins has been very strong over the last years; however, the phenotypic longevity only increases moderately. It is often argued that this discrepancy between genetic and phenotypic longevity can mainly be explained with the availability of too many replacement heifers on the farms. Following this hypothesis, a farmer would rather prematurely cull a cow from the herd than the freshly calved heifer. The availability of dairy replacements on the other side depends on other management decisions: rate of born female dairy calves, rate of losses, sales and purchases of female dairy calves. The rate of born female dairy calves is influenced largely by (a) the use of sexed semen and (b) the use of beef semen on dairy cows (BoD). In our study, we analysed, whether herds with a lower rate of born female dairy calves (and therefore less available replacement heifers) have higher average longevity of cows. The data set comprised 2 784 880 calving records and 1 025 203 disposals, resulting in data of 10 627 German herds. These herds were clustered into groups based on (1) the proportion of BoD use and (2) the proportion of female dairy calves born in 2020/2021. The average longevity of cows culled in 2022/2023 (replaced by calves born in 2020/2021) was compared. The genetic level (Estimated breeding value of longevity) did not differ significantly between the categories of farms nor did the average production level (milk yield) per herd. A significant association was found between BoD use and phenotypic longevity: herds with high BoD use (&gt; 20%) had an average longevity that was 147 days longer than that of herds with no BoD use (&lt; 2%). Similarly, herds with a lower proportion of female dairy calves born had a significantly higher average longevity: herds with &gt; 55% female dairy calves (thus, a high number of possible replacement heifers) had an average longevity of 1 197 days, whereas herds with &lt; 40% female dairy calves had an average longevity of 1 335 days. This strong increase in average longevity related to the reduction of possible replacements indicates that many cows are culled early due to management decisions rather than due to health issues and other functional reasons.</t>
  </si>
  <si>
    <t xml:space="preserve">This publication concerns dairy herd management and genetic selection in conventional livestock farming, not alternative proteins. The study examines longevity in dairy cattle using beef semen breeding strategies, which is entirely within conventional animal agriculture and has no relevance to plant-based, fermentation-derived, or cultivated protein development for human food substitutes.</t>
  </si>
  <si>
    <t xml:space="preserve">pub.1188136018</t>
  </si>
  <si>
    <t xml:space="preserve">Particle size and morphological features of lupin protein-pectin complexes affect the oil-water interfacial properties and emulsion stabilization</t>
  </si>
  <si>
    <t xml:space="preserve">Lupin proteins are novel plant-based stabilizers, but their solubility and functionality are dramatically reduced at acidic pH, which can be improved by forming protein-polysaccharide complexes. The physicochemical properties of protein-polysaccharide complexes can affect the properties of oil-water interfaces stabilized by them. Here, we prepared lupin protein-pectin complexes at ratios 1:1, 0.5:1, and 0.25:1, with different particle sizes and morphological features, to elucidate the role of these properties in the oil-water interface and emulsion stabilization, and compare the behavior of the complexes to that at air-water interfaces. The molecular properties of complexes were analyzed with DLS and surface hydrophobicity measurement. Morphological features of the complexes were imaged by AFM. Mechanical properties of the oil-water interfaces were investigated using large amplitude oscillatory shear (LAOS) and dilatation (LAOD). The LAOD data were analyzed by general stress decomposition (GSD). The emulsifying properties of the complexes were studied by measuring droplet size and testing emulsion stability under flow. Complexes with a 0.25:1 ratio had the largest size (∼580.4 nm) with highly cross-linked structures and formed the stiffest oil-water interface (Ed’ = 67.5 mN/m) and the most stable emulsion against flow-induced coalescence. Complexes with a 1:1 ratio had the smallest size (∼275.6 nm) with a less cross-linked structure, formed the weakest oil-water interface (Ed’ = 35.0 mN/m), and had lower stability in flow. This study reveals the role of particle size and morphology of complexes in fluid-fluid multiphase systems and shows that the behavior of complexes is remarkably different at oil-water interfaces compared to air-water interfaces.</t>
  </si>
  <si>
    <t xml:space="preserve">This publication directly addresses lupin protein functionality and processing for use as a food stabilizer in emulsions, which is a primary application in plant-based food products. The research focuses on optimizing protein-polysaccharide complexes to improve lupin protein's functional properties (solubility, emulsification) at acidic pH, a key challenge for plant-based food formulation. This is clearly within scope as plant-based protein research advancing ingredient functionality for food applications.</t>
  </si>
  <si>
    <t xml:space="preserve">pub.1189507463</t>
  </si>
  <si>
    <t xml:space="preserve">Plant vs Dairy protein stabilised cappuccino foams: how protein and hydrocolloid conformational changes affect foam stability</t>
  </si>
  <si>
    <t xml:space="preserve">Plant based dairy alternative milks are seen as to have low foam appeal due to the dry, stiff texture and sometime rapid collapse. The current study sought to understand the factors affecting the formation and stability of foams made with plant and dairy proteins. Two different aeration processes were studied, steam injection and whisking, to be representative of coffee shop and in-home foam applications. These two aeration processes were found to have a significant impact on total air volume fraction and final foam bubble size. Whisking produced foams with higher air volume fraction and coarser bubbles compared to steam injection. Further, the effect of bulk viscosity on foam drainage and coalescence was investigated by adding high acetyl gellan as viscosifier. Bulk solution viscosity played a dominant role in foam stability, with higher viscosity leading to slower liquid drainage and reduced bubble coarsening. Conformational changes to high acetyl gellan viscosifier upon heating explained why steam injected foams underwent faster drainage compared to whisked foams at equivalent gellan content. Importantly only minor change in protein secondary structure and aggregation state was observed after foaming. This work shows that the main driver of the difference in dryness between plant and dairy cappuccino foams arises from the aeration process and the speed of liquid drainage. The inability to resist foam drainage, a key weakness of plant-based cappuccinos, can readily be overcome using a shear thinning hydrocolloid such as gellan to boost bulk viscosity. These findings help to understand the factors affecting the stability of cappuccino foams and contributes to the development of plant-based alternatives with improved foam quality.</t>
  </si>
  <si>
    <t xml:space="preserve">This publication directly addresses the development and optimization of plant-based dairy alternatives, specifically focusing on improving the functional properties (foam stability) of plant-based milk to better substitute for dairy in a consumer application (cappuccino). The research investigates protein functionality and processing effects to enhance plant-based product performance, which is a core focus of alternative protein research.</t>
  </si>
  <si>
    <t xml:space="preserve">pub.1184344359</t>
  </si>
  <si>
    <t xml:space="preserve">Chitosan-zinc oxide thyme oil-based edible antimicrobial hydrogel coatings: application on pork and tofu sausages</t>
  </si>
  <si>
    <t xml:space="preserve">Abstract Chitosan (CS), zinc oxide (ZnO), and essential oils have been widely researched for their potential in food packaging and preservation due to their ability to extend shelf-life. This study examined the effects of CS-poly-vinyl alcohol-based (CS/PVOH) hydrogel coatings on the microbiological quality and shelf-life of pork and tofu sausages. The hydrogel coatings included ZnO grown on montmorillonite (MT) (ZnO@NaMt) and thyme oil adsorbed in organically modified MT (TO@OrgMt) nanohybrids dispersed in a CS/PVOH-based composite. The sausages were analysed for mesophilic, psychrotrophic, and lactic acid bacteria (LAB). Statistical tests were employed to assess the differences between groups. Pork sausages’ shelf-life was extended to 10 and 20 days for CS/PVOH/ZnO@NaMt, CS/PVOH/TO@OrgMt, and for pure CS, CS/PVOH coated samples, respectively. The bacteriostatic effect of CS/PVOH/ZnO@NaMt, CS/PVOH/TO@OrgMt, and CS/PVOH hydrogel coatings was observed after the 20th day. Mesophilic and psychrotrophic bacteria counts decreased, and tofu sausages’ shelf-life was also prolonged, indicating the coatings’ ability to extend shelf-life.</t>
  </si>
  <si>
    <t xml:space="preserve">This publication focuses on food packaging and preservation technology (antimicrobial hydrogel coatings) applied to conventional meat and tofu products. While tofu is plant-based, the research does not concern the development, characterisation, or optimisation of alternative proteins themselves, nor does it address protein functionality or processing for substituting animal products. The primary focus is on coating materials and shelf-life extension, making this a food packaging study rather than alternative protein research.</t>
  </si>
  <si>
    <t xml:space="preserve">Agree with LLM, not in scope. Tofu sausage is only a test substrate (and second to pork in this case), so the publication is not focussed enough on alt proteins.</t>
  </si>
  <si>
    <t xml:space="preserve">pub.1184383349</t>
  </si>
  <si>
    <t xml:space="preserve">Digestive fate of emulsions formulated with pea and lupin protein ingredients: Modulation of lipid digestibility and bioaccessibility by the interfacial composition?</t>
  </si>
  <si>
    <t xml:space="preserve">Pea and lupin protein ingredients are suitable sources to promote the transition towards more plant proteins in foods, as they display promising nutritional and emulsifying properties. Oil-in-water emulsions (10 wt% oil, 2.5 g proteins/L) were prepared with pea and lupin protein isolates and concentrates. The homogenization pressure was adapted to obtain droplets with an average diameter around 2.2 µm. The digestive fate of emulsions was examined using the INFOGEST in vitro static protocol to elucidate how the microstructure and interfacial composition influenced lipid digestibility and bioaccessibility. Lipolysis was evaluated through lipid class analysis via HPLC. During the oral phase, the microstructure of the emulsions prepared with protein isolates was altered, as the introduction of α-amylase led to the loss of the proteinaceous network bridging the droplets, without inducing coalescence. Comparable lipolysis extent was reached for all four emulsions at the end of the gastric phase (from 11 to 17 % mol/total mol), and after the intestinal phase (from 72 to 81 % mol/total mol). However, lipid bioaccessibility varied depending on the protein source, with approximately 85 wt% of bioaccessible lipids measured for pea protein-based emulsions, against 49 to 63 wt% for lupin ingredients-based ones. These results suggest a marked role of the components present in plant-based ingredients on the digestive fate of the emulsions. As food systems increasingly focus on plant-based innovations, understanding how the composition of these ingredients-particularly their often-overlooked endogenous components-affects their processing and nutritional properties can help the development of more sustainable and nutritious foods.</t>
  </si>
  <si>
    <t xml:space="preserve">This publication directly addresses plant-based protein ingredients (pea and lupin) as sources for substituting animal proteins in foods, examining their functional properties (emulsifying, digestibility) relevant to developing plant-based food products. Protein is a primary focus, and the research aims to optimize plant protein ingredients for food applications, clearly fitting the plant-based category definition.</t>
  </si>
  <si>
    <t xml:space="preserve">pub.1196193258</t>
  </si>
  <si>
    <t xml:space="preserve">The potential of mycelium from mushroom-producing fungi in alternative protein production: a focus on fungal growth, metabolism, and nutrition</t>
  </si>
  <si>
    <t xml:space="preserve">The growing need for high-quality protein with minimal environmental impact necessitates the expansion of alternative proteins on the market. One area with great opportunity for expansion lies in the phylogenetic diversity of the fungal kingdom. Diversifying the use of fungal species, by assessing species from the phylum of mushroom-producing fungi (Basidiomycota) in solid-state fermentation, could open new avenues to foods with improved nutritional and sensorial properties. To assess these properties, we first determined the potential of basidiomycetes to ferment and colonize cereals and legumes. A phylogenetically diverse selection of eight species of basidiomycetes was analyzed on their radial growth speed and biomass yield. The best performing species were successfully fermented on brown rice (high starch), brewer’s spent grain (high fiber, high protein), and lupin (high protein, high fiber and high fat), and compared to Rhizopus microsporus var. oligosporus. Large variation in performance was observed between the different basidiomycetes on the three substrates in terms of biomass formation and metabolic behavior. The presence of an easily accessible carbon source, such as starch was needed to prevent deamination and thereby loss of valuable protein. With the correct formulation, basidiomycetes could fully ferment and colonize the substrate, thereby increasing the overall protein content and degrading the anti-nutritional factor phytic acid up to 80%. These results provide a methodology for screening of fungal species and substrates and demonstrate that basidiomycetous mycelia represent a promising source of phylogenetic diversity for novel food fermentations.</t>
  </si>
  <si>
    <t xml:space="preserve">This publication directly addresses alternative protein production through fermentation of fungal biomass (basidiomycetes) on plant substrates (cereals and legumes). The research focuses on optimizing fungal growth, metabolism, and nutritional properties for food applications, with explicit aims to improve protein content and reduce anti-nutritional factors. The work involves both fermentation processing of plant-based substrates and fungal biomass as a protein source, warranting both plant-based and fermentation labels.</t>
  </si>
  <si>
    <t xml:space="preserve">pub.1194826734</t>
  </si>
  <si>
    <t xml:space="preserve">Transcriptional Regulation of Salt Stress Tolerance in Triticum aestivum (Wheat): NAC Transcription Factors and Their Target Genes</t>
  </si>
  <si>
    <t xml:space="preserve">Salinity is one of the key threats to food security and sustainability. To make saline soils productive again, we need to develop salt-tolerant crop varieties. Developing salt-tolerant wheat requires a detailed understanding of the molecular mechanisms underlying salt stress responses. In this study, we analyzed the Chinese Spring genome and identified 559 putative NAC transcription factors (TFs), which are recognized as key regulators of both abiotic and biotic stress. Protein family analysis revealed four distinct domain architectures, with more than 95% of the proteins containing a single NAC domain, consistent with their conserved regulatory role. Through in silico analyses, four salt stress-responsive TFs, NAC_1D, NAC_2D, NAC_4A, and NAC_5A, were highlighted, sharing nine of 13 DNA-binding residues. Promoter analysis of their putative target genes identified seven candidates, which, together with the NAC TFs, were subjected to RT-qPCR expression analysis in BARI Gom-25 plants exposed to 100 mM NaCl. The expression data revealed contrasting regulatory patterns between NAC TFs and their target genes. For example, Hsp70 was strongly upregulated in both shoots and roots, despite opposite patterns of NAC_1D expression between tissues. Similarly, bZIP expression mirrored the downregulation of NAC_2D, whereas HKT8 expression remained stable under salt stress. NAC_4A showed a root-specific pattern suggestive of positive regulation of a Non-specific serine/threonine protein kinase, while NAC_5A upregulation corresponded with downregulation of Plant cadmium resistance 2. Collectively, these results provide functional insights into four NAC TFs and identify potential molecular targets for improving wheat salt tolerance. By targeting key tolerance genes at the DNA level offers greater precision and can significantly reduce breeding time.</t>
  </si>
  <si>
    <t xml:space="preserve">This publication focuses on crop improvement and salt stress tolerance in wheat through transcriptional regulation and molecular breeding. While wheat is a plant source, the research does not concern protein as a primary focus for human food substitution, nor does it address alternative proteins, protein functionality, or processing for food applications. The work is agricultural biotechnology aimed at improving conventional crop productivity, not developing plant-based protein ingredients or products for human consumption.</t>
  </si>
  <si>
    <t xml:space="preserve">pub.1183660277</t>
  </si>
  <si>
    <t xml:space="preserve">Use of a coaxial nozzle-assisted 3D printing and ionic crosslinking to control the texture of a mycoprotein-based food product</t>
  </si>
  <si>
    <t xml:space="preserve">This work innovatively merges engineered food structures with additive manufacturing technology to tailor food for different dysphagia levels using filamentous Fungus Aspergillus oryzae biomass through a co-axial 3D food printing process. In order to 3D print samples with different textures, calcium chloride (CaCl2) and calcium gluconolactate (Gluco) were tested at different concentrations alongside three alginate concentrations. The structural and morphological analysis of the printed samples was conducted before cooking, followed by texture analysis and the measurement of cutting strength on cooked samples. Dysphagia food level classification was measured following the International Dysphagia Diet Standardisation Initiative (IDDSI) guidelines. Results revealed that Gluco minimally altered texture but affected appearance, resulting in soft samples (hardness ≈ 1.3 N) with fibrous structures, while CaCl2 increased hardness (from ≈ 1 N to 4.68 N) through alginate-ion Ca2+ interaction. All samples passed the IDDSI test, confirming suitability for dysphagic individuals. This successfully engineered personalised food with tailored texture meeting nutritional requirements.</t>
  </si>
  <si>
    <t xml:space="preserve">While the publication uses mycoprotein (Aspergillus oryzae biomass), a fermentation-derived protein, the primary focus is on food texture engineering and 3D printing technology for medical nutrition purposes (dysphagia management). The stated aim is developing personalized food for vulnerable populations with specific medical dietary needs, which falls under the exclusion criterion for products developed specifically for medical nutrition or vulnerable populations. The alternative protein aspect is incidental to the medical application.</t>
  </si>
  <si>
    <t xml:space="preserve">Genuinely edge case. I tend to agree with the LLM and exclude though given the primary focus is as a medical nutrition solution / targeted at vulnerable population.</t>
  </si>
  <si>
    <t xml:space="preserve">pub.1189656211</t>
  </si>
  <si>
    <t xml:space="preserve">Changes in meat consumption can improve groundwater quality</t>
  </si>
  <si>
    <t xml:space="preserve">Large-scale, centralized livestock production is recognized as a significant contributor to environmental pollution, including groundwater contamination. Here we assess the impact of traditional meat production on nitrate contamination in groundwater across the contiguous USA from 1985 to 2020. In addition, we evaluate potential changes in groundwater quality resulting from the substitution of traditional meat sources with three alternative meat options. We find that substituting 10% of the protein intake from conventional meat sources with meat alternatives can lead to an average reduction of 3.4%, 10.7% and 4.5% in the required nitrogen fertilizer, manure and water footprint, respectively. This substitution could potentially decrease the risk of groundwater nitrate exceedance (concentration exceeding 10 mg l−1 as N) by up to ~20%. These results highlight the potential of long-term dietary shifts to achieve Sustainable Development Goal (SDG) 6 and support other SDG targets.</t>
  </si>
  <si>
    <t xml:space="preserve">This publication evaluates the environmental impact of substituting conventional meat with alternative meat options, specifically assessing groundwater quality improvements. The focus on alternative proteins as substitutes for animal proteins in human food and the analysis of their environmental benefits (reduced nitrogen fertilizer, manure, and water footprint) aligns with the in-scope definition covering environmental and techno-economic aspects of alternative proteins. The study implicitly addresses plant-based meat alternatives given the context of dietary protein substitution.</t>
  </si>
  <si>
    <t xml:space="preserve">pub.1194108208</t>
  </si>
  <si>
    <t xml:space="preserve">Homeostatic Counter‐Regulation Mediates Spermidine‐Induced Triacylglyceride Reduction in Drosophila melanogaster—From Phenotype to Molecular Mechanism</t>
  </si>
  <si>
    <t xml:space="preserve">The polyamines putrescine, spermidine (Spd), and spermine have essential functions in cell growth and proliferation. Previous research has unveiled a potential link between polyamine metabolism and triacylglyceride (TAG) homeostasis. In this study, we utilized Drosophila melanogaster as a model to study the impact of dietary (Spd) on body TAG stores. We found that food supplementation with 1.0 mM and 2.5 mM Spd prevented the build-up of TAG stores in female fruit flies monitored for up to 14 days post-eclosion in a dose- and time-dependent manner, without affecting their total protein content. Notably, a 7-day treatment with 2.5 mM Spd also counteracted high-sugar diet-induced obesity and accelerated the breakdown of existing TAG reserves in obese females. Mechanistic analysis revealed that the adipokinetic hormone (Akh) pathway but not the TAG lipase Brummer (Bmm) was required for the TAG-lowering bioactivity of Spd. Remarkably, this TAG-reducing activity was completely abolished when flies were fed a high-yeast diet, which increases dietary protein. Analyses of the polyamine pattern of flies and their excreta revealed that under low dietary yeast conditions, the administered Spd did not result in a rise in the endogenous Spd level. Instead, the Spd metabolites putrescine and N1-acetylated Spd were increased, which provides evidence for the induction of the catabolic arm of the polyamine pathway. Together, our data suggest that the administration of Spd at lower mM concentrations, if combined with a low-protein diet, stimulates Akh-dependent catabolic processes that facilitate the reduction of fat stores in D. melanogaster. This work uncovers a diet-dependent metabolic role of Spd in fat storage regulation, which awaits confirmation in mammals and humans, and highlights the importance of nutrient context in modulating polyamine-mediated metabolic outcomes.</t>
  </si>
  <si>
    <t xml:space="preserve">This publication is a basic research study on polyamine metabolism and fat storage regulation in Drosophila melanogaster using spermidine as a dietary supplement. It does not concern alternative proteins, protein ingredients, or products intended to substitute animal proteins in human food. The research focuses on metabolic mechanisms in a model organism and is not related to plant-based, fermentation-derived, or cultivated protein development for human consumption.</t>
  </si>
  <si>
    <t xml:space="preserve">pub.1184385604</t>
  </si>
  <si>
    <t xml:space="preserve">Protein extraction from lupin (Lupinus angustifolius L.) using combined ultrasound and microwave techniques: Impact on protein recovery, structure, and functional properties</t>
  </si>
  <si>
    <t xml:space="preserve">This study presents the first application of combined ultrasound (US) and microwave (MW) techniques for the efficient extraction of lupin protein isolates (LPI) from Irish-grown narrow-leaved lupin grain, variety 'PRIMADONNA'. This variety was chosen due to its suitability for growth in the Irish temperate climate, which may influence protein extraction characteristics. By employing these emerging techniques, this research demonstrates a potential approach for improving protein recovery rates as well as enhancing the structural and functional properties of LPI. US and MW treatments significantly outperformed conventional extraction (CE), with combined US and MW treatments showing synergistic effects that significantly enhanced extraction yield and protein recovery rates of LPI (P &lt; 0.05) within a shorter processing time (10 min) compared to 1 h CE. SDS-PAGE analyses revealed that US and MW treatment preserved the primary structure of LPI, while Fourier transform infrared spectrometer (FTIR) analyses showed that high-power MW induced significant changes in the secondary structure, transferring protein structures from highly ordered (β-sheet and α-helix) to disordered forms (random coil and β-turn). Lower power combinations (US50 + MW25) effectively improved protein solubility and reduced particle size, whereas higher power combinations (US50 + MW50, US100 + MW50) decreased solubility and increased particle size and viscosity significantly (p &lt; 0.05). These findings underscore the potential of US and MW combinations for efficient lupin protein extraction, providing a new approach to sustainable plant extraction.</t>
  </si>
  <si>
    <t xml:space="preserve">This publication directly addresses extraction and functional characterization of lupin protein isolates for food applications, with explicit focus on improving protein recovery and functional properties relevant to alternative protein ingredient development. Lupin is a plant-based protein source, and the research optimizes processing methods to enhance protein functionality—a core alternative protein research area.</t>
  </si>
  <si>
    <t xml:space="preserve">pub.1194750416</t>
  </si>
  <si>
    <t xml:space="preserve">Recent Approaches for Bioactive Peptides Production from Pulses and Pseudocereals</t>
  </si>
  <si>
    <t xml:space="preserve">Pulses and pseudocereals are sustainable protein sources of bioactive peptides (BAPs) with potential antioxidant, antihypertensive, antidiabetic, antimicrobial, and immunomodulatory activities. BAPs are typically liberated during gastrointestinal digestion or through bio-based processes, among which enzymatic hydrolysis and microbial fermentation represent the most widely applied strategies. Enzymatic hydrolysis provides controlled and reproducible release of short peptide motifs; recent advances such as ultrasound- or high-pressure-assisted hydrolysis enhance yield and bioactivity. Fermentation exploits microbial proteolytic activity to generate complex peptide mixtures, while improving sensory quality, reducing antinutritional compounds, and responding to consumer demand for natural and "clean-label" products. In silico tools increasingly complement these approaches by accelerating peptide discovery, predicting interactions with molecular targets, and guiding process design. This review provides an updated overview of bio-based methods to produce BAPs from pulses and pseudocereals, emphasizing the comparative advantages of enzymatic and fermentation technologies and their integration with computational tools. Moreover, it examines regulatory frameworks in the European Union, the United States, Japan, and China, while discussing current challenges for industrial scale-up and application in functional foods and nutraceuticals. These combined strategies offer a promising pathway to unlock the health and sustainability potential of plant proteins.</t>
  </si>
  <si>
    <t xml:space="preserve">This publication focuses on bioactive peptides (BAPs) as health-promoting ingredients and nutraceuticals derived from pulses and pseudocereals, not on alternative proteins intended to substitute animal products in human food. The stated aim is development of functional foods and nutraceuticals with specific health outcomes (antioxidant, antihypertensive, antidiabetic properties), which falls under the exclusion for nutraceuticals and bioactive peptides. While fermentation and enzymatic processing are discussed, they are methods to enhance bioactivity for health purposes, not to develop meat, dairy, egg, or seafood analogues.</t>
  </si>
  <si>
    <t xml:space="preserve">pub.1192755061</t>
  </si>
  <si>
    <t xml:space="preserve">Food production from air: gas precision fermentation with hydrogen-oxidising bacteria</t>
  </si>
  <si>
    <t xml:space="preserve">The breach of six planetary boundaries highlights the need for sustainable food production. Aerobic hydrogen-oxidising bacteria (HOBs) convert atmospheric CO2 and green hydrogen (H2) into biomass via gas fermentation, a process already used for food-grade single-cell protein production. This approach enables a supply chain independent of agriculture, requiring minimal land and water, with potential for carbon-neutral production and carbon capture. To expand beyond single-cell protein, HOBs must be engineered into cell factories for precision fermentation. Advances in synthetic biology, metabolic engineering, computational modelling, and bioreactor design have accelerated the development of scalable bioprocesses providing a blueprint for gas-based fermentation. We present a path forward using secreted recombinant milk protein as a case study, highlighting key challenges and opportunities.</t>
  </si>
  <si>
    <t xml:space="preserve">This publication directly addresses precision fermentation using hydrogen-oxidising bacteria to produce food-grade proteins (single-cell protein and recombinant milk protein) as alternatives to conventional animal proteins. The research focuses on microbial biomass and fermentation-derived proteins for human food, which clearly falls within the fermentation category of alternative proteins.</t>
  </si>
  <si>
    <t xml:space="preserve">pub.1186213546</t>
  </si>
  <si>
    <t xml:space="preserve">Impact of Vegan and Vegetarian Diets on Neurological Health: A Critical Review</t>
  </si>
  <si>
    <t xml:space="preserve">BACKGROUND/OBJECTIVES: The global shift towards vegan and vegetarian diets has garnered attention for their ethical, environmental, and potential health benefits. These diets are often rich in phytonutrients and antioxidants, which have been associated with lower levels of inflammatory markers, such as C-reactive protein (CRP) and interleukin-6 (IL-6), suggesting a potential protective effect against systemic inflammation and oxidative stress. However, despite these benefits, concerns remain regarding their impact on neurological health due to the possible deficiencies of critical nutrients such as vitamin B12, DHA, EPA, and iron. This review critically evaluates the influence of these dietary patterns on neurological outcomes, emphasizing their nutritional composition, potential deficiencies, and their interplay with inflammation and oxidative stress.
METHODS: A systematic review of the literature published between 2010 and 2023 was conducted, focusing on studies that explore the relationship between vegan and vegetarian diets and neurological health. Key nutrients such as vitamin B12, omega-3 fatty acids, iron, and zinc were analyzed alongside antinutritional factors and their effects on the nervous system.
RESULTS: Evidence suggests that vegan and vegetarian diets, when well planned, can be rich in phytonutrients and antioxidants, which have been associated with lower levels of inflammatory markers, such as C-reactive protein (CRP) and interleukin-6 (IL-6). These findings indicate a potential role in reducing systemic inflammation and oxidative stress, both of which are linked to neurodegenerative diseases. However, deficiencies in critical nutrients such as vitamin B12, DHA, EPA, and iron have been consistently associated with an increased risk of cognitive decline, mood disturbances, and neurodegenerative disorders. Additionally, the presence of antinutritional factors like phytates and oxalates may further impair nutrient absorption, necessitating careful dietary planning and supplementation.
CONCLUSIONS: While plant-based diets provide anti-inflammatory and antioxidant benefits, their neurological implications depend on nutrient adequacy. Proper planning, supplementation, and food preparation techniques are essential to mitigate risks and enhance cognitive health. Further research is needed to explore long-term neurological outcomes and optimize dietary strategies.</t>
  </si>
  <si>
    <t xml:space="preserve">This publication is a broad dietary health review comparing vegan and vegetarian diets with neurological outcomes. It does not focus on alternative protein development, characterisation, processing, or optimisation. The study examines general health and nutritional adequacy of plant-based diets rather than advancing alternative protein ingredients or products for substituting animal proteins in food.</t>
  </si>
  <si>
    <t xml:space="preserve">Agree with LLM, not in scope. Publication on diet and health outcomes, not even specifically alt proteins, just vegan / vegetarian.</t>
  </si>
  <si>
    <t xml:space="preserve">pub.1192661487</t>
  </si>
  <si>
    <t xml:space="preserve">Lab-grown bites: What drives or stops the world from eating cultured meat? A global perspective on developed and developing countries</t>
  </si>
  <si>
    <t xml:space="preserve">Purpose This study examines consumer perception and acceptance of cultured meat, with a particular focus on the differences between developed and developing countries. The objective is to identify the key factors influencing consumer behavior, cultural barriers and economic and environmental motivations that either promote or hinder the adoption of this food innovation.   Design/methodology/approach This study employed a systematic literature review approach to analyze consumer drivers and inhibiting factors influencing the acceptance of cultured meat. This research follows the Preferred Reporting Items for Systematic Reviews and Meta-Analyses (PRISMA) reporting framework to ensure a transparent and replicable selection process. The dataset was compiled by identifying relevant peer-reviewed full-text articles published in English between 1st January 2014 and 30th April 2024, focusing on consumer perceptions of cultured meat within disciplines such as agriculture, environmental science, social sciences and economics.   Findings In developed countries, cultural values play a crucial role in shaping consumer perceptions of cultured meat: familiarity and neophobia are the most important inhibiting factors in these countries. In more traditional cultures, entrenched dietary habits and a preference for conventional meat contribute to resistance. In developing countries, environmental and food security concerns drive interest in cultured meat, as it is seen as a potential solution to global food supply challenges, whereas food security does not emerge as a driver in developed nations, where access to a stable food supply is generally not a concern.   Practical implications The aim is to provide a comprehensive mapping of the key findings related to the drivers and deterring factors influencing the consumption of cultivated meat, providing insight in order to shape public perception and market adoption of this revolutionary food technology.   Originality/value There are few comprehensive reviews of empirical findings on consumer behavior toward cultured meat, and there is a gap to fill about the distinctions in perceptions between developed and developing countries.</t>
  </si>
  <si>
    <t xml:space="preserve">This systematic literature review directly examines consumer perception and acceptance of cultured meat, a core alternative protein category. The study focuses on identifying factors influencing adoption of cultivated meat across different regions and economic contexts, which falls squarely within the scope of publications addressing societal, consumer acceptance, and understanding aspects of alternative proteins. The cultivated label applies as cultured meat is the primary subject of investigation.</t>
  </si>
  <si>
    <t xml:space="preserve">pub.1187537295</t>
  </si>
  <si>
    <t xml:space="preserve">Exploring the sustainability narratives of cultured meat</t>
  </si>
  <si>
    <t xml:space="preserve">As global demand for meat rises, growth in the livestock industry is increasingly associated with concerns about the environment, human health, and animal welfare. Cultured meat (CM) emerges as a potential solution, promising to meet this demand efficiently, ethically, and in an environmentally friendly way. However, questions remain about the realizability of its proposed potential benefits. This article critically contributes to the discourse around CM by characterizing promissory and counter-narratives on its economic, environmental, and social sustainability, and by synthesizing these to lay out a future direction for this innovation. A systematic literature review was conducted on scientific articles published between 2015 and 2023 discussing CM's sustainability. The promissory narratives emphasize that CM can create new market opportunities, generate jobs with better working conditions, reduce the environmental impact of meat production, improve production ethics, enhance global food security, and mitigate health risks associated with meat production and consumption. In contrast, the counter-narratives point out potential risks, including livelihood disruption, increased economic inequality, consolidation of the meat industry, loss of livestock ecosystem services and cultural traditions, and ethical objections. We build on these narratives to identify underconsidered implications of widespread CM production to distill current research trends and propose foci for future research. The research directions can help anticipate drawbacks and work toward sustainability before CM hits the supermarket shelves.</t>
  </si>
  <si>
    <t xml:space="preserve">This publication directly addresses cultured meat (cultivated animal cells for human food), which is a core alternative protein category. The systematic literature review examines sustainability narratives, economic, environmental, and social aspects of cultured meat development and commercialization, all of which are explicitly in scope as they advance understanding of cultivated meat as an alternative protein for human food.</t>
  </si>
  <si>
    <t xml:space="preserve">pub.1192676912</t>
  </si>
  <si>
    <t xml:space="preserve">Consumer Trust in Emerging Food Technologies: A Comparative Analysis of Croatia and India</t>
  </si>
  <si>
    <t xml:space="preserve">Consumer trust plays a critical role in the successful adoption of emerging food technologies. This study investigates how trust in five key food technologies—genetically modified organisms (GMO), 3D-printed food, lab-grown meat, nanotechnology, and functional foods—varies across two culturally distinct countries: Croatia and India. Utilizing a quantitative approach with responses from 538 participants, the research explores how demographic factors such as country of residence, gender, and urban-rural setting influence consumer attitudes. Statistical analysis was conducted using MANOVA and one-way ANOVA to test seven hypotheses regarding trust levels. The results revealed significant cross-national differences, with Indian consumers expressing higher trust across all technologies studied. In contrast, variables such as gender and place of residence showed limited or context-dependent influence. These findings underscore the importance of cultural context in shaping consumer trust and point to the need for targeted communication and policy strategies in promoting food innovation. The study contributes to the growing body of research on food technology adoption by emphasizing trust as a culturally embedded and demographically nuanced phenomenon.</t>
  </si>
  <si>
    <t xml:space="preserve">This publication addresses consumer perception and acceptance of lab-grown meat (cultivated meat), which is explicitly mentioned as one of five emerging food technologies studied. The research examines trust and adoption barriers for cultivated meat across different cultural contexts, which falls within the scope of understanding alternative proteins and their societal acceptance. While the study also covers other technologies (GMO, 3D-printed food, nanotechnology, functional foods), the inclusion of lab-grown meat as a primary focus makes it relevant to alternative protein research.</t>
  </si>
  <si>
    <t xml:space="preserve">pub.1187143498</t>
  </si>
  <si>
    <t xml:space="preserve">Effect of pH and ionic strength on heat-induced pea protein isolate aggregation and gel formation</t>
  </si>
  <si>
    <t xml:space="preserve">Heat-induced aggregation and gelation of salt extracted pea protein isolates (PPI) was studied as a function of NaCl concentration (0.0–0.4 M) and pH (3.5–8.5). It was hypothesized that an isolate extracted with NaCl, and subsequently dialyzed would show different composition and techno-functional properties depending on its ionic environment. Protein solubility of PPI was affected by NaCl concentrations and pH, with the lowest solubility measured at pH 4.5, regardless of NaCl concentrations. At pH 3.5, solubility was high at low ionic strengths and decreased with increasing salt. At pH between 4.5 and 7, protein solubility increased in solutions at higher NaCl concentrations. At alkaline pH, where proteins are highly charged, salt concentrations did not affect solubility. Heating induced extensive protein aggregation in the presence of NaCl. However, in the case of heated samples in deionized water at pH 3.5 and 8.5, limited aggregation was noticed. These results were confirmed using atomic force microscopy on water redispersed samples. Analysis of viscoelastic properties at the least gelation concentration showed that pH and ionic strength affected not only the stiffness but also the linear viscoelastic regime. This work clearly demonstrated that solubility and thermal stability of PPI are affected by charge properties and how the structure and properties of pea protein aggregates may be modulated through careful control of pH and ionic environment, ultimately affecting the bulk properties of pea protein heat-induced gels.</t>
  </si>
  <si>
    <t xml:space="preserve">This publication directly addresses pea protein isolate functionality and processing effects relevant to alternative protein product development. The research focuses on how pH and ionic strength modulate the techno-functional properties (solubility, aggregation, gelation) of plant-based protein, which is essential for optimizing pea protein ingredients for use in plant-based meat, dairy, and other food analogues.</t>
  </si>
  <si>
    <t xml:space="preserve">pub.1196249843</t>
  </si>
  <si>
    <t xml:space="preserve">Pleurotus djamor Mycelium: Sustainable Production of a Promising Protein Source from Carrot Side Streams</t>
  </si>
  <si>
    <t xml:space="preserve">Innovative protein sources are urgently needed to feed a growing global population and to support the increasing shift toward vegetarian and vegan lifestyles. Mycelia of edible fungi offer a sustainable and efficient alternative food source. In this study, 106 fungal strains were explored for their ability to ferment two different liquid carrot side streams. Among the candidates, Pleurotus djamor demonstrated exceptional potential, with high yields of biomass of ∼15 g L-1 and high protein contents of 31.0 ± 5.9 (optimized orange carrot medium) or 21.6 ± 1.9 g 100 g-1 (optimized black carrot medium), respectively. When used in burger patties and vegan sausage analogs, the mycelia outperformed vegetable proteins in sensory tests, highlighting their viability as a nutritious, versatile, and consumer-accepted protein alternative.</t>
  </si>
  <si>
    <t xml:space="preserve">This publication directly addresses fermentation-derived protein from fungal mycelium (Pleurotus djamor) intended as a substitute for conventional animal proteins in human food, specifically demonstrated through development of meat analogues (burger patties and vegan sausages). The primary focus is on optimizing fermentation processes, biomass yield, and protein content for alternative protein production, clearly fitting the fermentation category definition.</t>
  </si>
  <si>
    <t xml:space="preserve">pub.1186603633</t>
  </si>
  <si>
    <t xml:space="preserve">Estimating the Burden of Common Mental Disorders Attributable to Lifestyle Factors: Protocol for the Global Burden of Disease Lifestyle and Mental Disorder (GLAD) Project.</t>
  </si>
  <si>
    <t xml:space="preserve">BACKGROUND: The Global Burden of Diseases, Injuries, and Risk Factors Study (GBD) collects and calculates risk-outcome data for modifiable lifestyle exposures (eg, dietary intake) and physical health outcomes (eg, cancers). These estimates form a critical digital resource tool, the GBD VizHub data visualization tool, for governments and policy makers to guide local, regional, and global health decisions. Despite evidence showing the contributions of lifestyle exposures to common mental disorders (CMDs), such as depression and anxiety, GBD does not currently generate these lifestyle exposure-mental disorder outcome pairings. This gap is due to a lack of uniformly collected and analyzed data about these exposures as they relate to CMDs. Such data are required to quantify whether, and to what degree, the global burden of CMDs could be reduced by targeting lifestyle factors at regional and global levels. We have established the Global burden of disease Lifestyle And mental Disorder (GLAD) Taskforce to address this gap.
OBJECTIVE: This study aims to generate the necessary estimates to afford the inclusion of lifestyle exposures as risk factors for CMDs in the GBD study and the GBD digital visualization tools, initially focusing on the relationship between dietary intake and CMDs.
METHODS: The GLAD project is a multicenter, collaborative effort to integrate lifestyle exposures as risk factors for CMDs in the GBD study. To achieve this aim, global epidemiological studies will be recruited to conduct harmonized data analyses estimating the risk, odds, or hazards of lifestyle exposures with CMD outcomes. Initially, these models will focus on the relationship between dietary intake, as defined by the GBD, and anxiety and depression.
RESULTS: As of August 2024, 18 longitudinal cohort studies from 9 countries (Australia: n=4; Brazil: n=1; France: n=1; Italy: n=3; The Netherlands: n=3; New Zealand: n=1; South Africa: n=1; Spain: n=1; and United Kingdom: n=3) have agreed to participate in the GLAD project.
CONCLUSIONS: Our comprehensive, collaborative approach allows for the concurrent execution of a harmonized statistical analysis protocol across multiple, internationally renowned epidemiological cohorts. These results will be used to inform the GBD study and incorporate lifestyle risk factors for CMD in the GBD digital platform. Consequently, given the worldwide influence of the GBD study, findings from the GLAD project can offer valuable insights to policy makers worldwide around lifestyle-based mental health care.
INTERNATIONAL REGISTERED REPORT IDENTIFIER (IRRID): DERR1-10.2196/65576.</t>
  </si>
  <si>
    <t xml:space="preserve">This publication concerns epidemiological research on the relationship between dietary intake and mental health outcomes (depression and anxiety), not alternative proteins. While dietary intake is mentioned, the focus is on lifestyle risk factors for common mental disorders in a global burden of disease framework, with no reference to plant-based, fermentation-derived, or cultivated proteins as substitutes for animal products. This is a public health and epidemiology study, not alternative protein research.</t>
  </si>
  <si>
    <t xml:space="preserve">pub.1192719713</t>
  </si>
  <si>
    <t xml:space="preserve">An Online Experiment into the Effects of Masculine-Themed versus Neutral Meat Alternative Marketing on Men’s Perceived Association between Meat and Masculinity</t>
  </si>
  <si>
    <t xml:space="preserve">Men often associate meat with masculinity, making meat reduction challenging. This study tested whether masculine-themed marketing messages (based on colors, fonts and wordings) for meat alternatives can influence men’s perceived association between meat and masculinity. In an online experiment (N = 231men, Mage = 35.64), participants viewed either “manly” or neutral ads for plant-based pizza and vegan nuggets. Perceived masculinity of meat (MoM) was measured before and after exposure. The New Masculinity Inventory (NMI) was included to assess openness to non-traditional masculinity. Results indicate that the condition was unrelated to perceived MoM. NMI was related to the perceived MoM, meaning that men who are more open to alternative forms of masculinity expressed a weaker association between meat and masculinity. This variable also functioned as a moderator, indicating that men in the neutral condition showed a stronger decrease in their perceived MoM compared to men who saw the manly advertisements.</t>
  </si>
  <si>
    <t xml:space="preserve">This publication directly addresses consumer perception and acceptance of plant-based meat alternatives (pizza and vegan nuggets), which is explicitly in scope as research on societal and consumer acceptance aspects of alternative proteins. The study examines marketing strategies for plant-based products intended as meat substitutes, advancing understanding of how alternative proteins are perceived by consumers.</t>
  </si>
  <si>
    <t xml:space="preserve">pub.1196356120</t>
  </si>
  <si>
    <t xml:space="preserve">Consumers' valuation for cultured meat: A multi‐city choice experiment in China</t>
  </si>
  <si>
    <t xml:space="preserve">Abstract Despite the rising interest in cultured meat, there remains scant information on whether consumers would value it. This study evaluated consumers' willingness‐to‐pay (WTP) for cultured chicken and examined how information affects WTP. Using a choice experiment with a total of 571 samples, the results found that consumers are unwilling to pay a premium price for cultured chicken. The provision of information significantly enhances consumers' WTP, resulting in an increase of 8.66RBM/500 g for cultured chicken. Consumers who are younger, males, have higher environmental awareness, and exhibit lower levels of new food neophobia are willing to pay more for cultured meat.</t>
  </si>
  <si>
    <t xml:space="preserve">This publication directly addresses consumer valuation and willingness-to-pay for cultured meat (cultured chicken), which is a core alternative protein category. The study examines consumer perception and acceptance of cultivated meat products, which falls within the scope of publications on societal and consumer acceptance aspects of alternative proteins. The cultivated label applies as the research concerns cultured animal cells for human food.</t>
  </si>
  <si>
    <t xml:space="preserve">pub.1184995829</t>
  </si>
  <si>
    <t xml:space="preserve">Exploring aneuploidies in two-center isolated bovine embryonic stem cell lines: Implications for cultured meat production</t>
  </si>
  <si>
    <t xml:space="preserve">As the global population continues to grow, the demand for sustainable food production methods becomes increasingly critical. This study investigates the presence of chromosomal abnormalities in bovine embryonic stem cells (bESCs), which hold potential for innovative food sources such as cultured meat. We derived three bESC lines from day-eight post-insemination blastocysts using a whole blastocyst plating approach. These cells maintained core pluripotency markers (POU5F1, SOX2, SALL4, NANOG) and demonstrated the ability to differentiate into the three germ layers, indicating their potential for sustainable food applications. Through shallow whole-genome sequencing, we identified various chromosomal anomalies, including mono-, tri-, and tetrasomies, with specific gains in chromosomes 7, 12, 27, and 29, and losses in chromosome 9. Notably, these aneuploidies progressively accumulated over time, raising concerns about genomic stability in long-term cultures. The implications of these genomic variants are significant for the development of cultured meat, as they may affect the efficiency and safety of production processes. This research underscores the necessity for systematic monitoring and optimizing culture conditions to mitigate genomic instabilities, ensuring the safe application of bESCs in sustainable food systems. Our findings pave the way for future innovations in clean food processing and utilising new food ingredients.</t>
  </si>
  <si>
    <t xml:space="preserve">This publication directly addresses cultivated meat production by investigating chromosomal stability in bovine embryonic stem cells (bESCs) used for cell culture. The research focuses on cell line development and genomic characterization, which are core aspects of cultivated meat bioprocessing. The study explicitly states its application to cultured meat production and addresses a critical technical challenge (genomic stability) relevant to the development of this alternative protein category.</t>
  </si>
  <si>
    <t xml:space="preserve">pub.1185304805</t>
  </si>
  <si>
    <t xml:space="preserve">Understanding the effect of aggregation temperature on molecular interactions in zein gels to tailor the matrix for plant-based cheese alternatives</t>
  </si>
  <si>
    <t xml:space="preserve">A common disadvantage of plant protein gels is their lack of techno-functional properties that are needed to mimic plant-based cheese alternatives (especially melting). This study explores the aggregation temperature (=ϑAggregation) of zein in an aqueous system to target the characteristics of traditional semi-hard or hard cheese. Zein gels were prepared at ϑAggregation = 20, 40, 60, and 90 °C and analyzed for dry matter, syneresis, uniaxial compression response, melting properties, and microstructure, comparing them with Emmental cheese, tofu, and α-casein gels. A modified Schreiber-test (180 °C, 10 min) was conducted and oscillatory rheology methods as well as confocal laser scanning microscopy (=CLSM) images were used. Our findings reveal that zein gels prepared at ϑAggregation = 20 °C were cohesive and firm, whereas gels prepared at ϑAggregation ≥ 40 °C (above glass transition temperature) exhibited increased syneresis, reduced firmness, and less cohesiveness due to enhanced hydrophobic interactions and disulfide bond formation. Additionally, temperature and frequency sweep data indicated that higher ϑAggregation (≥80 °C) strengthen hydrophobic interactions and impact melting behavior negatively. As application for plant-based cheese alternatives zein gels show a high protein content with 32 % (w/w) and thermo-reversibility was observed, but further research must be conducted to optimize firmness, cohesiveness, and melting behavior. The findings of this work recommend a ϑAggregation between 40 °C and 60 °C to overcome the glass transition temperature but to avoid highly cross-linked matrices that are not thermo-reversible.</t>
  </si>
  <si>
    <t xml:space="preserve">This publication directly addresses the development of plant-based cheese alternatives using zein (a plant protein) as the primary protein source. The research focuses on optimizing techno-functional properties (melting, texture, gel structure) of plant protein gels to substitute for conventional cheese, which is a core alternative protein application. Protein is the primary focus, and the stated use case is explicitly human food substitution for animal products.</t>
  </si>
  <si>
    <t xml:space="preserve">pub.1191993918</t>
  </si>
  <si>
    <t xml:space="preserve">Impact of implicit biases on consumer behavioural intention towards meat alternative proteins</t>
  </si>
  <si>
    <t xml:space="preserve">Growing concerns about the ethical, health, and environmental impacts of rising meat consumption have driven interest in meat alternative proteins. However, consumer acceptance of meat alternative proteins remains a challenge, particularly in societies with deeply rooted meat consumption traditions. The present study investigated the main drivers and barriers influencing meat alternative protein acceptance and Spanish consumer behavioural intention towards its consumption by means of an extended version of the Theory of Planned Behaviour (TPB), including Moral Norm and Domain Specific Innovativeness scales. 95 consumers from two distinguished geographical locations participated in the survey, and Implicit Association Test was used to assess their subconscious biases and its effect on their intention to consume meat alternative proteins. Results showed that animal welfare, nutrition and reduction of the environmental impact were among the main drivers towards consumption of meat alternative products, while perception of them being highly processed and artificial raised ambiguity in relation to their health advantages. Consumer beliefs were influenced by age, education level, geographical location, and dietary habits, while gender had no significant effect. The TPB showed that attitude, innovation willingness, and consumers' sense of control regarding their purchase decisions, influenced their intention towards the consumption of meat alternative products. Moreover, the use of implicit techniques enabled the prediction of consumer behavioural intentions regarding meat alternative products based on their subconscious preconceptions, revealing the potential of integrating both techniques to identify specific strategies that encourage meat alternative protein adoption.</t>
  </si>
  <si>
    <t xml:space="preserve">This publication directly addresses consumer acceptance and behavioural intention towards meat alternative proteins, which falls squarely within the scope of societal and consumer acceptance aspects of alternative proteins. The study investigates drivers and barriers to meat alternative protein consumption using behavioural psychology frameworks, contributing to understanding of alternative protein adoption. No specific protein category (plant-based, fermentation, or cultivated) is the focus of the research; rather, the study examines consumer perception broadly across meat alternatives, so no category labels are assigned.</t>
  </si>
  <si>
    <t xml:space="preserve">metric</t>
  </si>
  <si>
    <t xml:space="preserve">value</t>
  </si>
  <si>
    <t xml:space="preserve">n</t>
  </si>
  <si>
    <t xml:space="preserve">scope_accuracy</t>
  </si>
  <si>
    <t xml:space="preserve">85%</t>
  </si>
  <si>
    <t xml:space="preserve">pillar_accuracy</t>
  </si>
  <si>
    <t xml:space="preserve">75%</t>
  </si>
  <si>
    <t xml:space="preserve">pillar_accuracy_both_in_scope</t>
  </si>
  <si>
    <t xml:space="preserve">79%</t>
  </si>
</sst>
</file>

<file path=xl/styles.xml><?xml version="1.0" encoding="utf-8"?>
<styleSheet xmlns="http://schemas.openxmlformats.org/spreadsheetml/2006/main">
  <numFmts count="1">
    <numFmt numFmtId="164" formatCode="General"/>
  </numFmts>
  <fonts count="4">
    <font>
      <sz val="11"/>
      <color theme="1"/>
      <name val="Calibri"/>
      <family val="2"/>
      <charset val="1"/>
    </font>
    <font>
      <sz val="10"/>
      <name val="Arial"/>
      <family val="0"/>
    </font>
    <font>
      <sz val="10"/>
      <name val="Arial"/>
      <family val="0"/>
    </font>
    <font>
      <sz val="10"/>
      <name val="Arial"/>
      <family val="0"/>
    </font>
  </fonts>
  <fills count="4">
    <fill>
      <patternFill patternType="none"/>
    </fill>
    <fill>
      <patternFill patternType="gray125"/>
    </fill>
    <fill>
      <patternFill patternType="solid">
        <fgColor rgb="FF81D41A"/>
        <bgColor rgb="FF969696"/>
      </patternFill>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0" fillId="3" borderId="0" xfId="0" applyFont="fals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81D41A"/>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11"/>
  <sheetViews>
    <sheetView showFormulas="false" showGridLines="true" showRowColHeaders="true" showZeros="true" rightToLeft="false" tabSelected="true" showOutlineSymbols="true" defaultGridColor="true" view="normal" topLeftCell="A91" colorId="64" zoomScale="100" zoomScaleNormal="100" zoomScalePageLayoutView="100" workbookViewId="0">
      <selection pane="topLeft" activeCell="P109" activeCellId="0" sqref="P109"/>
    </sheetView>
  </sheetViews>
  <sheetFormatPr defaultColWidth="8.34375" defaultRowHeight="15" customHeight="false" zeroHeight="false" outlineLevelRow="0" outlineLevelCol="0"/>
  <cols>
    <col collapsed="false" customWidth="false" hidden="false" outlineLevel="0" max="2" min="1" style="1" width="8.34"/>
    <col collapsed="false" customWidth="false" hidden="false" outlineLevel="0" max="3" min="3" style="2" width="8.34"/>
    <col collapsed="false" customWidth="false" hidden="false" outlineLevel="0" max="14" min="4" style="1" width="8.34"/>
    <col collapsed="false" customWidth="true" hidden="false" outlineLevel="0" max="16" min="15" style="3" width="26.12"/>
    <col collapsed="false" customWidth="true" hidden="false" outlineLevel="0" max="17" min="17" style="3" width="30.06"/>
  </cols>
  <sheetData>
    <row r="1" customFormat="false" ht="15" hidden="false" customHeight="false" outlineLevel="0" collapsed="false">
      <c r="A1" s="4" t="s">
        <v>0</v>
      </c>
      <c r="B1" s="4" t="s">
        <v>1</v>
      </c>
      <c r="C1" s="4" t="s">
        <v>2</v>
      </c>
      <c r="D1" s="4" t="s">
        <v>3</v>
      </c>
      <c r="E1" s="4" t="s">
        <v>4</v>
      </c>
      <c r="F1" s="4" t="s">
        <v>5</v>
      </c>
      <c r="G1" s="4" t="s">
        <v>6</v>
      </c>
      <c r="H1" s="4" t="s">
        <v>7</v>
      </c>
      <c r="I1" s="4" t="s">
        <v>8</v>
      </c>
      <c r="J1" s="4" t="s">
        <v>9</v>
      </c>
      <c r="K1" s="4" t="s">
        <v>10</v>
      </c>
      <c r="L1" s="4" t="s">
        <v>11</v>
      </c>
      <c r="M1" s="4" t="s">
        <v>12</v>
      </c>
      <c r="N1" s="4" t="s">
        <v>13</v>
      </c>
      <c r="O1" s="3" t="s">
        <v>14</v>
      </c>
      <c r="P1" s="3" t="s">
        <v>15</v>
      </c>
    </row>
    <row r="2" customFormat="false" ht="45.1" hidden="false" customHeight="false" outlineLevel="0" collapsed="false">
      <c r="A2" s="4" t="s">
        <v>16</v>
      </c>
      <c r="B2" s="4" t="s">
        <v>17</v>
      </c>
      <c r="C2" s="5" t="s">
        <v>18</v>
      </c>
      <c r="D2" s="4" t="s">
        <v>19</v>
      </c>
      <c r="E2" s="4" t="s">
        <v>20</v>
      </c>
      <c r="F2" s="4" t="n">
        <v>5</v>
      </c>
      <c r="G2" s="4" t="s">
        <v>21</v>
      </c>
      <c r="H2" s="6" t="b">
        <f aca="false">FALSE()</f>
        <v>0</v>
      </c>
      <c r="I2" s="4" t="s">
        <v>22</v>
      </c>
      <c r="J2" s="4" t="s">
        <v>23</v>
      </c>
      <c r="K2" s="7" t="b">
        <f aca="false">FALSE()</f>
        <v>0</v>
      </c>
      <c r="L2" s="2" t="b">
        <f aca="false">FALSE()</f>
        <v>0</v>
      </c>
      <c r="M2" s="2" t="b">
        <f aca="false">FALSE()</f>
        <v>0</v>
      </c>
      <c r="N2" s="2" t="b">
        <f aca="false">FALSE()</f>
        <v>0</v>
      </c>
      <c r="O2" s="3" t="s">
        <v>24</v>
      </c>
    </row>
    <row r="3" customFormat="false" ht="121.4" hidden="false" customHeight="false" outlineLevel="0" collapsed="false">
      <c r="A3" s="4" t="s">
        <v>25</v>
      </c>
      <c r="B3" s="4" t="s">
        <v>26</v>
      </c>
      <c r="C3" s="4" t="s">
        <v>27</v>
      </c>
      <c r="D3" s="4" t="s">
        <v>19</v>
      </c>
      <c r="E3" s="4" t="s">
        <v>20</v>
      </c>
      <c r="F3" s="7" t="n">
        <v>4</v>
      </c>
      <c r="G3" s="4" t="s">
        <v>28</v>
      </c>
      <c r="H3" s="6" t="b">
        <f aca="false">FALSE()</f>
        <v>0</v>
      </c>
      <c r="I3" s="4" t="s">
        <v>22</v>
      </c>
      <c r="J3" s="4" t="s">
        <v>23</v>
      </c>
      <c r="K3" s="7" t="b">
        <f aca="false">FALSE()</f>
        <v>0</v>
      </c>
      <c r="L3" s="2" t="b">
        <f aca="false">FALSE()</f>
        <v>0</v>
      </c>
      <c r="M3" s="2" t="b">
        <f aca="false">FALSE()</f>
        <v>0</v>
      </c>
      <c r="N3" s="2" t="b">
        <f aca="false">FALSE()</f>
        <v>0</v>
      </c>
      <c r="O3" s="3" t="s">
        <v>29</v>
      </c>
      <c r="Q3" s="3" t="s">
        <v>30</v>
      </c>
      <c r="R3" s="4" t="s">
        <v>31</v>
      </c>
    </row>
    <row r="4" customFormat="false" ht="15" hidden="false" customHeight="false" outlineLevel="0" collapsed="false">
      <c r="A4" s="4" t="s">
        <v>32</v>
      </c>
      <c r="B4" s="4" t="s">
        <v>33</v>
      </c>
      <c r="C4" s="4" t="s">
        <v>34</v>
      </c>
      <c r="D4" s="4" t="s">
        <v>19</v>
      </c>
      <c r="E4" s="4" t="s">
        <v>19</v>
      </c>
      <c r="F4" s="4" t="n">
        <v>5</v>
      </c>
      <c r="G4" s="4" t="s">
        <v>35</v>
      </c>
      <c r="H4" s="2" t="b">
        <f aca="false">TRUE()</f>
        <v>1</v>
      </c>
      <c r="I4" s="4" t="s">
        <v>22</v>
      </c>
      <c r="J4" s="4" t="s">
        <v>22</v>
      </c>
      <c r="K4" s="2" t="b">
        <f aca="false">TRUE()</f>
        <v>1</v>
      </c>
      <c r="L4" s="2" t="b">
        <f aca="false">FALSE()</f>
        <v>0</v>
      </c>
      <c r="M4" s="2" t="b">
        <f aca="false">FALSE()</f>
        <v>0</v>
      </c>
      <c r="N4" s="2" t="b">
        <f aca="false">TRUE()</f>
        <v>1</v>
      </c>
    </row>
    <row r="5" customFormat="false" ht="23.3" hidden="false" customHeight="false" outlineLevel="0" collapsed="false">
      <c r="A5" s="4" t="s">
        <v>36</v>
      </c>
      <c r="B5" s="4" t="s">
        <v>37</v>
      </c>
      <c r="C5" s="4" t="s">
        <v>38</v>
      </c>
      <c r="D5" s="4" t="s">
        <v>19</v>
      </c>
      <c r="E5" s="4" t="s">
        <v>19</v>
      </c>
      <c r="F5" s="4" t="n">
        <v>5</v>
      </c>
      <c r="G5" s="4" t="s">
        <v>39</v>
      </c>
      <c r="H5" s="2" t="b">
        <f aca="false">TRUE()</f>
        <v>1</v>
      </c>
      <c r="I5" s="4" t="s">
        <v>40</v>
      </c>
      <c r="J5" s="4" t="s">
        <v>41</v>
      </c>
      <c r="K5" s="6" t="b">
        <f aca="false">FALSE()</f>
        <v>0</v>
      </c>
      <c r="L5" s="2" t="b">
        <f aca="false">TRUE()</f>
        <v>1</v>
      </c>
      <c r="M5" s="2" t="b">
        <f aca="false">TRUE()</f>
        <v>1</v>
      </c>
      <c r="N5" s="2" t="b">
        <f aca="false">FALSE()</f>
        <v>0</v>
      </c>
      <c r="P5" s="3" t="s">
        <v>42</v>
      </c>
    </row>
    <row r="6" customFormat="false" ht="15" hidden="false" customHeight="false" outlineLevel="0" collapsed="false">
      <c r="A6" s="4" t="s">
        <v>43</v>
      </c>
      <c r="B6" s="4" t="s">
        <v>44</v>
      </c>
      <c r="C6" s="4" t="s">
        <v>45</v>
      </c>
      <c r="D6" s="4" t="s">
        <v>19</v>
      </c>
      <c r="E6" s="4" t="s">
        <v>19</v>
      </c>
      <c r="F6" s="4" t="n">
        <v>5</v>
      </c>
      <c r="G6" s="4" t="s">
        <v>46</v>
      </c>
      <c r="H6" s="2" t="b">
        <f aca="false">TRUE()</f>
        <v>1</v>
      </c>
      <c r="I6" s="4" t="s">
        <v>40</v>
      </c>
      <c r="J6" s="4" t="s">
        <v>40</v>
      </c>
      <c r="K6" s="2" t="b">
        <f aca="false">TRUE()</f>
        <v>1</v>
      </c>
      <c r="L6" s="2" t="b">
        <f aca="false">TRUE()</f>
        <v>1</v>
      </c>
      <c r="M6" s="2" t="b">
        <f aca="false">FALSE()</f>
        <v>0</v>
      </c>
      <c r="N6" s="2" t="b">
        <f aca="false">FALSE()</f>
        <v>0</v>
      </c>
    </row>
    <row r="7" customFormat="false" ht="15" hidden="false" customHeight="false" outlineLevel="0" collapsed="false">
      <c r="A7" s="4" t="s">
        <v>47</v>
      </c>
      <c r="B7" s="4" t="s">
        <v>48</v>
      </c>
      <c r="C7" s="4" t="s">
        <v>49</v>
      </c>
      <c r="D7" s="4" t="s">
        <v>20</v>
      </c>
      <c r="E7" s="4" t="s">
        <v>20</v>
      </c>
      <c r="F7" s="4" t="n">
        <v>5</v>
      </c>
      <c r="G7" s="4" t="s">
        <v>50</v>
      </c>
      <c r="H7" s="2" t="b">
        <f aca="false">TRUE()</f>
        <v>1</v>
      </c>
      <c r="I7" s="4" t="s">
        <v>23</v>
      </c>
      <c r="J7" s="4" t="s">
        <v>23</v>
      </c>
      <c r="K7" s="2" t="b">
        <f aca="false">TRUE()</f>
        <v>1</v>
      </c>
      <c r="L7" s="2" t="b">
        <f aca="false">FALSE()</f>
        <v>0</v>
      </c>
      <c r="M7" s="2" t="b">
        <f aca="false">FALSE()</f>
        <v>0</v>
      </c>
      <c r="N7" s="2" t="b">
        <f aca="false">FALSE()</f>
        <v>0</v>
      </c>
    </row>
    <row r="8" customFormat="false" ht="15" hidden="false" customHeight="false" outlineLevel="0" collapsed="false">
      <c r="A8" s="4" t="s">
        <v>51</v>
      </c>
      <c r="B8" s="4" t="s">
        <v>52</v>
      </c>
      <c r="C8" s="4" t="s">
        <v>53</v>
      </c>
      <c r="D8" s="4" t="s">
        <v>20</v>
      </c>
      <c r="E8" s="4" t="s">
        <v>20</v>
      </c>
      <c r="F8" s="4" t="n">
        <v>5</v>
      </c>
      <c r="G8" s="4" t="s">
        <v>54</v>
      </c>
      <c r="H8" s="2" t="b">
        <f aca="false">TRUE()</f>
        <v>1</v>
      </c>
      <c r="I8" s="4" t="s">
        <v>23</v>
      </c>
      <c r="J8" s="4" t="s">
        <v>23</v>
      </c>
      <c r="K8" s="2" t="b">
        <f aca="false">TRUE()</f>
        <v>1</v>
      </c>
      <c r="L8" s="2" t="b">
        <f aca="false">FALSE()</f>
        <v>0</v>
      </c>
      <c r="M8" s="2" t="b">
        <f aca="false">FALSE()</f>
        <v>0</v>
      </c>
      <c r="N8" s="2" t="b">
        <f aca="false">FALSE()</f>
        <v>0</v>
      </c>
    </row>
    <row r="9" customFormat="false" ht="15" hidden="false" customHeight="false" outlineLevel="0" collapsed="false">
      <c r="A9" s="4" t="s">
        <v>55</v>
      </c>
      <c r="B9" s="4" t="s">
        <v>56</v>
      </c>
      <c r="C9" s="4" t="s">
        <v>57</v>
      </c>
      <c r="D9" s="4" t="s">
        <v>19</v>
      </c>
      <c r="E9" s="4" t="s">
        <v>19</v>
      </c>
      <c r="F9" s="4" t="n">
        <v>5</v>
      </c>
      <c r="G9" s="4" t="s">
        <v>58</v>
      </c>
      <c r="H9" s="2" t="b">
        <f aca="false">TRUE()</f>
        <v>1</v>
      </c>
      <c r="I9" s="4" t="s">
        <v>40</v>
      </c>
      <c r="J9" s="4" t="s">
        <v>40</v>
      </c>
      <c r="K9" s="2" t="b">
        <f aca="false">TRUE()</f>
        <v>1</v>
      </c>
      <c r="L9" s="2" t="b">
        <f aca="false">TRUE()</f>
        <v>1</v>
      </c>
      <c r="M9" s="2" t="b">
        <f aca="false">FALSE()</f>
        <v>0</v>
      </c>
      <c r="N9" s="2" t="b">
        <f aca="false">FALSE()</f>
        <v>0</v>
      </c>
    </row>
    <row r="10" customFormat="false" ht="34.2" hidden="false" customHeight="false" outlineLevel="0" collapsed="false">
      <c r="A10" s="4" t="s">
        <v>59</v>
      </c>
      <c r="B10" s="4" t="s">
        <v>60</v>
      </c>
      <c r="C10" s="5" t="s">
        <v>61</v>
      </c>
      <c r="D10" s="4" t="s">
        <v>20</v>
      </c>
      <c r="E10" s="4" t="s">
        <v>20</v>
      </c>
      <c r="F10" s="4" t="n">
        <v>5</v>
      </c>
      <c r="G10" s="4" t="s">
        <v>62</v>
      </c>
      <c r="H10" s="2" t="b">
        <f aca="false">TRUE()</f>
        <v>1</v>
      </c>
      <c r="I10" s="4" t="s">
        <v>23</v>
      </c>
      <c r="J10" s="4" t="s">
        <v>23</v>
      </c>
      <c r="K10" s="2" t="b">
        <f aca="false">TRUE()</f>
        <v>1</v>
      </c>
      <c r="L10" s="2" t="b">
        <f aca="false">FALSE()</f>
        <v>0</v>
      </c>
      <c r="M10" s="2" t="b">
        <f aca="false">FALSE()</f>
        <v>0</v>
      </c>
      <c r="N10" s="2" t="b">
        <f aca="false">FALSE()</f>
        <v>0</v>
      </c>
    </row>
    <row r="11" customFormat="false" ht="15" hidden="false" customHeight="false" outlineLevel="0" collapsed="false">
      <c r="A11" s="4" t="s">
        <v>63</v>
      </c>
      <c r="B11" s="4" t="s">
        <v>64</v>
      </c>
      <c r="C11" s="4" t="s">
        <v>65</v>
      </c>
      <c r="D11" s="4" t="s">
        <v>20</v>
      </c>
      <c r="E11" s="4" t="s">
        <v>20</v>
      </c>
      <c r="F11" s="4" t="n">
        <v>5</v>
      </c>
      <c r="G11" s="4" t="s">
        <v>66</v>
      </c>
      <c r="H11" s="2" t="b">
        <f aca="false">TRUE()</f>
        <v>1</v>
      </c>
      <c r="I11" s="4" t="s">
        <v>23</v>
      </c>
      <c r="J11" s="4" t="s">
        <v>23</v>
      </c>
      <c r="K11" s="2" t="b">
        <f aca="false">TRUE()</f>
        <v>1</v>
      </c>
      <c r="L11" s="2" t="b">
        <f aca="false">FALSE()</f>
        <v>0</v>
      </c>
      <c r="M11" s="2" t="b">
        <f aca="false">FALSE()</f>
        <v>0</v>
      </c>
      <c r="N11" s="2" t="b">
        <f aca="false">FALSE()</f>
        <v>0</v>
      </c>
    </row>
    <row r="12" customFormat="false" ht="45.1" hidden="false" customHeight="false" outlineLevel="0" collapsed="false">
      <c r="A12" s="4" t="s">
        <v>67</v>
      </c>
      <c r="B12" s="4" t="s">
        <v>68</v>
      </c>
      <c r="C12" s="5" t="s">
        <v>69</v>
      </c>
      <c r="D12" s="4" t="s">
        <v>20</v>
      </c>
      <c r="E12" s="4" t="s">
        <v>20</v>
      </c>
      <c r="F12" s="4" t="n">
        <v>5</v>
      </c>
      <c r="G12" s="4" t="s">
        <v>70</v>
      </c>
      <c r="H12" s="2" t="b">
        <f aca="false">TRUE()</f>
        <v>1</v>
      </c>
      <c r="I12" s="4" t="s">
        <v>23</v>
      </c>
      <c r="J12" s="4" t="s">
        <v>23</v>
      </c>
      <c r="K12" s="2" t="b">
        <f aca="false">TRUE()</f>
        <v>1</v>
      </c>
      <c r="L12" s="2" t="b">
        <f aca="false">FALSE()</f>
        <v>0</v>
      </c>
      <c r="M12" s="2" t="b">
        <f aca="false">FALSE()</f>
        <v>0</v>
      </c>
      <c r="N12" s="2" t="b">
        <f aca="false">FALSE()</f>
        <v>0</v>
      </c>
    </row>
    <row r="13" customFormat="false" ht="15" hidden="false" customHeight="false" outlineLevel="0" collapsed="false">
      <c r="A13" s="4" t="s">
        <v>71</v>
      </c>
      <c r="B13" s="4" t="s">
        <v>72</v>
      </c>
      <c r="C13" s="4" t="s">
        <v>73</v>
      </c>
      <c r="D13" s="4" t="s">
        <v>20</v>
      </c>
      <c r="E13" s="4" t="s">
        <v>20</v>
      </c>
      <c r="F13" s="4" t="n">
        <v>5</v>
      </c>
      <c r="G13" s="4" t="s">
        <v>74</v>
      </c>
      <c r="H13" s="2" t="b">
        <f aca="false">TRUE()</f>
        <v>1</v>
      </c>
      <c r="I13" s="4" t="s">
        <v>23</v>
      </c>
      <c r="J13" s="4" t="s">
        <v>23</v>
      </c>
      <c r="K13" s="2" t="b">
        <f aca="false">TRUE()</f>
        <v>1</v>
      </c>
      <c r="L13" s="2" t="b">
        <f aca="false">FALSE()</f>
        <v>0</v>
      </c>
      <c r="M13" s="2" t="b">
        <f aca="false">FALSE()</f>
        <v>0</v>
      </c>
      <c r="N13" s="2" t="b">
        <f aca="false">FALSE()</f>
        <v>0</v>
      </c>
    </row>
    <row r="14" customFormat="false" ht="15" hidden="false" customHeight="false" outlineLevel="0" collapsed="false">
      <c r="A14" s="4" t="s">
        <v>75</v>
      </c>
      <c r="B14" s="4" t="s">
        <v>76</v>
      </c>
      <c r="C14" s="4" t="s">
        <v>77</v>
      </c>
      <c r="D14" s="4" t="s">
        <v>19</v>
      </c>
      <c r="E14" s="4" t="s">
        <v>19</v>
      </c>
      <c r="F14" s="4" t="n">
        <v>5</v>
      </c>
      <c r="G14" s="4" t="s">
        <v>78</v>
      </c>
      <c r="H14" s="2" t="b">
        <f aca="false">TRUE()</f>
        <v>1</v>
      </c>
      <c r="I14" s="4" t="s">
        <v>79</v>
      </c>
      <c r="J14" s="4" t="s">
        <v>79</v>
      </c>
      <c r="K14" s="2" t="b">
        <f aca="false">TRUE()</f>
        <v>1</v>
      </c>
      <c r="L14" s="2" t="b">
        <f aca="false">FALSE()</f>
        <v>0</v>
      </c>
      <c r="M14" s="2" t="b">
        <f aca="false">TRUE()</f>
        <v>1</v>
      </c>
      <c r="N14" s="2" t="b">
        <f aca="false">FALSE()</f>
        <v>0</v>
      </c>
    </row>
    <row r="15" customFormat="false" ht="34.2" hidden="false" customHeight="false" outlineLevel="0" collapsed="false">
      <c r="A15" s="4" t="s">
        <v>80</v>
      </c>
      <c r="B15" s="4" t="s">
        <v>81</v>
      </c>
      <c r="C15" s="4" t="s">
        <v>82</v>
      </c>
      <c r="D15" s="4" t="s">
        <v>19</v>
      </c>
      <c r="E15" s="4" t="s">
        <v>19</v>
      </c>
      <c r="F15" s="4" t="n">
        <v>5</v>
      </c>
      <c r="G15" s="4" t="s">
        <v>83</v>
      </c>
      <c r="H15" s="2" t="b">
        <f aca="false">TRUE()</f>
        <v>1</v>
      </c>
      <c r="I15" s="4" t="s">
        <v>40</v>
      </c>
      <c r="J15" s="4" t="s">
        <v>41</v>
      </c>
      <c r="K15" s="7" t="b">
        <f aca="false">FALSE()</f>
        <v>0</v>
      </c>
      <c r="L15" s="2" t="b">
        <f aca="false">TRUE()</f>
        <v>1</v>
      </c>
      <c r="M15" s="2" t="b">
        <f aca="false">TRUE()</f>
        <v>1</v>
      </c>
      <c r="N15" s="2" t="b">
        <f aca="false">FALSE()</f>
        <v>0</v>
      </c>
      <c r="P15" s="3" t="s">
        <v>84</v>
      </c>
    </row>
    <row r="16" customFormat="false" ht="15" hidden="false" customHeight="false" outlineLevel="0" collapsed="false">
      <c r="A16" s="4" t="s">
        <v>85</v>
      </c>
      <c r="B16" s="4" t="s">
        <v>86</v>
      </c>
      <c r="C16" s="4" t="s">
        <v>87</v>
      </c>
      <c r="D16" s="4" t="s">
        <v>20</v>
      </c>
      <c r="E16" s="4" t="s">
        <v>20</v>
      </c>
      <c r="F16" s="4" t="n">
        <v>5</v>
      </c>
      <c r="G16" s="4" t="s">
        <v>88</v>
      </c>
      <c r="H16" s="2" t="b">
        <f aca="false">TRUE()</f>
        <v>1</v>
      </c>
      <c r="I16" s="4" t="s">
        <v>23</v>
      </c>
      <c r="J16" s="4" t="s">
        <v>23</v>
      </c>
      <c r="K16" s="2" t="b">
        <f aca="false">TRUE()</f>
        <v>1</v>
      </c>
      <c r="L16" s="2" t="b">
        <f aca="false">FALSE()</f>
        <v>0</v>
      </c>
      <c r="M16" s="2" t="b">
        <f aca="false">FALSE()</f>
        <v>0</v>
      </c>
      <c r="N16" s="2" t="b">
        <f aca="false">FALSE()</f>
        <v>0</v>
      </c>
    </row>
    <row r="17" customFormat="false" ht="15" hidden="false" customHeight="false" outlineLevel="0" collapsed="false">
      <c r="A17" s="4" t="s">
        <v>89</v>
      </c>
      <c r="B17" s="4" t="s">
        <v>90</v>
      </c>
      <c r="C17" s="4" t="s">
        <v>91</v>
      </c>
      <c r="D17" s="4" t="s">
        <v>19</v>
      </c>
      <c r="E17" s="4" t="s">
        <v>19</v>
      </c>
      <c r="F17" s="4" t="n">
        <v>5</v>
      </c>
      <c r="G17" s="4" t="s">
        <v>92</v>
      </c>
      <c r="H17" s="2" t="b">
        <f aca="false">TRUE()</f>
        <v>1</v>
      </c>
      <c r="I17" s="4" t="s">
        <v>40</v>
      </c>
      <c r="J17" s="4" t="s">
        <v>40</v>
      </c>
      <c r="K17" s="2" t="b">
        <f aca="false">TRUE()</f>
        <v>1</v>
      </c>
      <c r="L17" s="2" t="b">
        <f aca="false">TRUE()</f>
        <v>1</v>
      </c>
      <c r="M17" s="2" t="b">
        <f aca="false">FALSE()</f>
        <v>0</v>
      </c>
      <c r="N17" s="2" t="b">
        <f aca="false">FALSE()</f>
        <v>0</v>
      </c>
    </row>
    <row r="18" customFormat="false" ht="15" hidden="false" customHeight="false" outlineLevel="0" collapsed="false">
      <c r="A18" s="4" t="s">
        <v>93</v>
      </c>
      <c r="B18" s="4" t="s">
        <v>94</v>
      </c>
      <c r="C18" s="4" t="s">
        <v>95</v>
      </c>
      <c r="D18" s="4" t="s">
        <v>19</v>
      </c>
      <c r="E18" s="4" t="s">
        <v>19</v>
      </c>
      <c r="F18" s="4" t="n">
        <v>5</v>
      </c>
      <c r="G18" s="4" t="s">
        <v>96</v>
      </c>
      <c r="H18" s="2" t="b">
        <f aca="false">TRUE()</f>
        <v>1</v>
      </c>
      <c r="I18" s="4" t="s">
        <v>22</v>
      </c>
      <c r="J18" s="4" t="s">
        <v>22</v>
      </c>
      <c r="K18" s="2" t="b">
        <f aca="false">TRUE()</f>
        <v>1</v>
      </c>
      <c r="L18" s="2" t="b">
        <f aca="false">FALSE()</f>
        <v>0</v>
      </c>
      <c r="M18" s="2" t="b">
        <f aca="false">FALSE()</f>
        <v>0</v>
      </c>
      <c r="N18" s="2" t="b">
        <f aca="false">TRUE()</f>
        <v>1</v>
      </c>
    </row>
    <row r="19" customFormat="false" ht="15" hidden="false" customHeight="false" outlineLevel="0" collapsed="false">
      <c r="A19" s="4" t="s">
        <v>97</v>
      </c>
      <c r="B19" s="4" t="s">
        <v>98</v>
      </c>
      <c r="C19" s="4" t="s">
        <v>99</v>
      </c>
      <c r="D19" s="4" t="s">
        <v>20</v>
      </c>
      <c r="E19" s="4" t="s">
        <v>20</v>
      </c>
      <c r="F19" s="4" t="n">
        <v>5</v>
      </c>
      <c r="G19" s="4" t="s">
        <v>100</v>
      </c>
      <c r="H19" s="2" t="b">
        <f aca="false">TRUE()</f>
        <v>1</v>
      </c>
      <c r="I19" s="4" t="s">
        <v>23</v>
      </c>
      <c r="J19" s="4" t="s">
        <v>23</v>
      </c>
      <c r="K19" s="2" t="b">
        <f aca="false">TRUE()</f>
        <v>1</v>
      </c>
      <c r="L19" s="2" t="b">
        <f aca="false">FALSE()</f>
        <v>0</v>
      </c>
      <c r="M19" s="2" t="b">
        <f aca="false">FALSE()</f>
        <v>0</v>
      </c>
      <c r="N19" s="2" t="b">
        <f aca="false">FALSE()</f>
        <v>0</v>
      </c>
    </row>
    <row r="20" customFormat="false" ht="15" hidden="false" customHeight="false" outlineLevel="0" collapsed="false">
      <c r="A20" s="4" t="s">
        <v>101</v>
      </c>
      <c r="B20" s="4" t="s">
        <v>102</v>
      </c>
      <c r="C20" s="4" t="s">
        <v>103</v>
      </c>
      <c r="D20" s="4" t="s">
        <v>19</v>
      </c>
      <c r="E20" s="4" t="s">
        <v>19</v>
      </c>
      <c r="F20" s="4" t="n">
        <v>5</v>
      </c>
      <c r="G20" s="4" t="s">
        <v>104</v>
      </c>
      <c r="H20" s="2" t="b">
        <f aca="false">TRUE()</f>
        <v>1</v>
      </c>
      <c r="I20" s="4" t="s">
        <v>40</v>
      </c>
      <c r="J20" s="4" t="s">
        <v>40</v>
      </c>
      <c r="K20" s="2" t="b">
        <f aca="false">TRUE()</f>
        <v>1</v>
      </c>
      <c r="L20" s="2" t="b">
        <f aca="false">TRUE()</f>
        <v>1</v>
      </c>
      <c r="M20" s="2" t="b">
        <f aca="false">FALSE()</f>
        <v>0</v>
      </c>
      <c r="N20" s="2" t="b">
        <f aca="false">FALSE()</f>
        <v>0</v>
      </c>
    </row>
    <row r="21" customFormat="false" ht="15" hidden="false" customHeight="false" outlineLevel="0" collapsed="false">
      <c r="A21" s="4" t="s">
        <v>105</v>
      </c>
      <c r="B21" s="4" t="s">
        <v>106</v>
      </c>
      <c r="C21" s="4" t="s">
        <v>107</v>
      </c>
      <c r="D21" s="4" t="s">
        <v>19</v>
      </c>
      <c r="E21" s="4" t="s">
        <v>19</v>
      </c>
      <c r="F21" s="4" t="n">
        <v>5</v>
      </c>
      <c r="G21" s="4" t="s">
        <v>108</v>
      </c>
      <c r="H21" s="2" t="b">
        <f aca="false">TRUE()</f>
        <v>1</v>
      </c>
      <c r="I21" s="4" t="s">
        <v>79</v>
      </c>
      <c r="J21" s="4" t="s">
        <v>79</v>
      </c>
      <c r="K21" s="2" t="b">
        <f aca="false">TRUE()</f>
        <v>1</v>
      </c>
      <c r="L21" s="2" t="b">
        <f aca="false">FALSE()</f>
        <v>0</v>
      </c>
      <c r="M21" s="2" t="b">
        <f aca="false">TRUE()</f>
        <v>1</v>
      </c>
      <c r="N21" s="2" t="b">
        <f aca="false">FALSE()</f>
        <v>0</v>
      </c>
    </row>
    <row r="22" customFormat="false" ht="15" hidden="false" customHeight="false" outlineLevel="0" collapsed="false">
      <c r="A22" s="4" t="s">
        <v>109</v>
      </c>
      <c r="B22" s="4" t="s">
        <v>110</v>
      </c>
      <c r="C22" s="4" t="s">
        <v>111</v>
      </c>
      <c r="D22" s="4" t="s">
        <v>19</v>
      </c>
      <c r="E22" s="4" t="s">
        <v>19</v>
      </c>
      <c r="F22" s="4" t="n">
        <v>5</v>
      </c>
      <c r="G22" s="4" t="s">
        <v>112</v>
      </c>
      <c r="H22" s="2" t="b">
        <f aca="false">TRUE()</f>
        <v>1</v>
      </c>
      <c r="I22" s="4" t="s">
        <v>79</v>
      </c>
      <c r="J22" s="4" t="s">
        <v>79</v>
      </c>
      <c r="K22" s="2" t="b">
        <f aca="false">TRUE()</f>
        <v>1</v>
      </c>
      <c r="L22" s="2" t="b">
        <f aca="false">FALSE()</f>
        <v>0</v>
      </c>
      <c r="M22" s="2" t="b">
        <f aca="false">TRUE()</f>
        <v>1</v>
      </c>
      <c r="N22" s="2" t="b">
        <f aca="false">FALSE()</f>
        <v>0</v>
      </c>
    </row>
    <row r="23" customFormat="false" ht="15" hidden="false" customHeight="false" outlineLevel="0" collapsed="false">
      <c r="A23" s="4" t="s">
        <v>113</v>
      </c>
      <c r="B23" s="4" t="s">
        <v>114</v>
      </c>
      <c r="C23" s="4" t="s">
        <v>115</v>
      </c>
      <c r="D23" s="4" t="s">
        <v>20</v>
      </c>
      <c r="E23" s="4" t="s">
        <v>20</v>
      </c>
      <c r="F23" s="4" t="n">
        <v>5</v>
      </c>
      <c r="G23" s="4" t="s">
        <v>116</v>
      </c>
      <c r="H23" s="2" t="b">
        <f aca="false">TRUE()</f>
        <v>1</v>
      </c>
      <c r="I23" s="4" t="s">
        <v>23</v>
      </c>
      <c r="J23" s="4" t="s">
        <v>23</v>
      </c>
      <c r="K23" s="2" t="b">
        <f aca="false">TRUE()</f>
        <v>1</v>
      </c>
      <c r="L23" s="2" t="b">
        <f aca="false">FALSE()</f>
        <v>0</v>
      </c>
      <c r="M23" s="2" t="b">
        <f aca="false">FALSE()</f>
        <v>0</v>
      </c>
      <c r="N23" s="2" t="b">
        <f aca="false">FALSE()</f>
        <v>0</v>
      </c>
    </row>
    <row r="24" customFormat="false" ht="15" hidden="false" customHeight="false" outlineLevel="0" collapsed="false">
      <c r="A24" s="4" t="s">
        <v>117</v>
      </c>
      <c r="B24" s="4" t="s">
        <v>118</v>
      </c>
      <c r="C24" s="4" t="s">
        <v>119</v>
      </c>
      <c r="D24" s="4" t="s">
        <v>20</v>
      </c>
      <c r="E24" s="4" t="s">
        <v>20</v>
      </c>
      <c r="F24" s="4" t="n">
        <v>5</v>
      </c>
      <c r="G24" s="4" t="s">
        <v>120</v>
      </c>
      <c r="H24" s="2" t="b">
        <f aca="false">TRUE()</f>
        <v>1</v>
      </c>
      <c r="I24" s="4" t="s">
        <v>23</v>
      </c>
      <c r="J24" s="4" t="s">
        <v>23</v>
      </c>
      <c r="K24" s="2" t="b">
        <f aca="false">TRUE()</f>
        <v>1</v>
      </c>
      <c r="L24" s="2" t="b">
        <f aca="false">FALSE()</f>
        <v>0</v>
      </c>
      <c r="M24" s="2" t="b">
        <f aca="false">FALSE()</f>
        <v>0</v>
      </c>
      <c r="N24" s="2" t="b">
        <f aca="false">FALSE()</f>
        <v>0</v>
      </c>
    </row>
    <row r="25" customFormat="false" ht="34.2" hidden="false" customHeight="false" outlineLevel="0" collapsed="false">
      <c r="A25" s="4" t="s">
        <v>121</v>
      </c>
      <c r="B25" s="4" t="s">
        <v>122</v>
      </c>
      <c r="C25" s="4" t="s">
        <v>123</v>
      </c>
      <c r="D25" s="4" t="s">
        <v>19</v>
      </c>
      <c r="E25" s="4" t="s">
        <v>19</v>
      </c>
      <c r="F25" s="4" t="n">
        <v>4</v>
      </c>
      <c r="G25" s="4" t="s">
        <v>124</v>
      </c>
      <c r="H25" s="2" t="b">
        <f aca="false">TRUE()</f>
        <v>1</v>
      </c>
      <c r="I25" s="4" t="s">
        <v>41</v>
      </c>
      <c r="J25" s="4" t="s">
        <v>40</v>
      </c>
      <c r="K25" s="7" t="b">
        <f aca="false">FALSE()</f>
        <v>0</v>
      </c>
      <c r="L25" s="2" t="b">
        <f aca="false">TRUE()</f>
        <v>1</v>
      </c>
      <c r="M25" s="2" t="b">
        <f aca="false">FALSE()</f>
        <v>0</v>
      </c>
      <c r="N25" s="2" t="b">
        <f aca="false">FALSE()</f>
        <v>0</v>
      </c>
      <c r="P25" s="3" t="s">
        <v>125</v>
      </c>
    </row>
    <row r="26" customFormat="false" ht="15" hidden="false" customHeight="false" outlineLevel="0" collapsed="false">
      <c r="A26" s="4" t="s">
        <v>126</v>
      </c>
      <c r="B26" s="4" t="s">
        <v>127</v>
      </c>
      <c r="C26" s="4" t="s">
        <v>128</v>
      </c>
      <c r="D26" s="4" t="s">
        <v>19</v>
      </c>
      <c r="E26" s="4" t="s">
        <v>19</v>
      </c>
      <c r="F26" s="4" t="n">
        <v>5</v>
      </c>
      <c r="G26" s="4" t="s">
        <v>129</v>
      </c>
      <c r="H26" s="2" t="b">
        <f aca="false">TRUE()</f>
        <v>1</v>
      </c>
      <c r="I26" s="4" t="s">
        <v>40</v>
      </c>
      <c r="J26" s="4" t="s">
        <v>40</v>
      </c>
      <c r="K26" s="2" t="b">
        <f aca="false">TRUE()</f>
        <v>1</v>
      </c>
      <c r="L26" s="2" t="b">
        <f aca="false">TRUE()</f>
        <v>1</v>
      </c>
      <c r="M26" s="2" t="b">
        <f aca="false">FALSE()</f>
        <v>0</v>
      </c>
      <c r="N26" s="2" t="b">
        <f aca="false">FALSE()</f>
        <v>0</v>
      </c>
    </row>
    <row r="27" customFormat="false" ht="15" hidden="false" customHeight="false" outlineLevel="0" collapsed="false">
      <c r="A27" s="4" t="s">
        <v>130</v>
      </c>
      <c r="B27" s="4" t="s">
        <v>131</v>
      </c>
      <c r="C27" s="4" t="s">
        <v>132</v>
      </c>
      <c r="D27" s="4" t="s">
        <v>20</v>
      </c>
      <c r="E27" s="4" t="s">
        <v>20</v>
      </c>
      <c r="F27" s="4" t="n">
        <v>5</v>
      </c>
      <c r="G27" s="4" t="s">
        <v>133</v>
      </c>
      <c r="H27" s="2" t="b">
        <f aca="false">TRUE()</f>
        <v>1</v>
      </c>
      <c r="I27" s="4" t="s">
        <v>23</v>
      </c>
      <c r="J27" s="4" t="s">
        <v>23</v>
      </c>
      <c r="K27" s="2" t="b">
        <f aca="false">TRUE()</f>
        <v>1</v>
      </c>
      <c r="L27" s="2" t="b">
        <f aca="false">FALSE()</f>
        <v>0</v>
      </c>
      <c r="M27" s="2" t="b">
        <f aca="false">FALSE()</f>
        <v>0</v>
      </c>
      <c r="N27" s="2" t="b">
        <f aca="false">FALSE()</f>
        <v>0</v>
      </c>
    </row>
    <row r="28" customFormat="false" ht="15" hidden="false" customHeight="false" outlineLevel="0" collapsed="false">
      <c r="A28" s="4" t="s">
        <v>134</v>
      </c>
      <c r="B28" s="4" t="s">
        <v>135</v>
      </c>
      <c r="C28" s="4" t="s">
        <v>136</v>
      </c>
      <c r="D28" s="4" t="s">
        <v>20</v>
      </c>
      <c r="E28" s="4" t="s">
        <v>20</v>
      </c>
      <c r="F28" s="4" t="n">
        <v>5</v>
      </c>
      <c r="G28" s="4" t="s">
        <v>137</v>
      </c>
      <c r="H28" s="2" t="b">
        <f aca="false">TRUE()</f>
        <v>1</v>
      </c>
      <c r="I28" s="4" t="s">
        <v>23</v>
      </c>
      <c r="J28" s="4" t="s">
        <v>23</v>
      </c>
      <c r="K28" s="2" t="b">
        <f aca="false">TRUE()</f>
        <v>1</v>
      </c>
      <c r="L28" s="2" t="b">
        <f aca="false">FALSE()</f>
        <v>0</v>
      </c>
      <c r="M28" s="2" t="b">
        <f aca="false">FALSE()</f>
        <v>0</v>
      </c>
      <c r="N28" s="2" t="b">
        <f aca="false">FALSE()</f>
        <v>0</v>
      </c>
    </row>
    <row r="29" customFormat="false" ht="34.2" hidden="false" customHeight="false" outlineLevel="0" collapsed="false">
      <c r="A29" s="4" t="s">
        <v>138</v>
      </c>
      <c r="B29" s="4" t="s">
        <v>139</v>
      </c>
      <c r="C29" s="4" t="s">
        <v>140</v>
      </c>
      <c r="D29" s="4" t="s">
        <v>19</v>
      </c>
      <c r="E29" s="4" t="s">
        <v>20</v>
      </c>
      <c r="F29" s="4" t="n">
        <v>5</v>
      </c>
      <c r="G29" s="4" t="s">
        <v>141</v>
      </c>
      <c r="H29" s="7" t="b">
        <f aca="false">FALSE()</f>
        <v>0</v>
      </c>
      <c r="I29" s="4" t="s">
        <v>40</v>
      </c>
      <c r="J29" s="4" t="s">
        <v>23</v>
      </c>
      <c r="K29" s="7" t="b">
        <f aca="false">FALSE()</f>
        <v>0</v>
      </c>
      <c r="L29" s="2" t="b">
        <f aca="false">FALSE()</f>
        <v>0</v>
      </c>
      <c r="M29" s="2" t="b">
        <f aca="false">FALSE()</f>
        <v>0</v>
      </c>
      <c r="N29" s="2" t="b">
        <f aca="false">FALSE()</f>
        <v>0</v>
      </c>
      <c r="O29" s="3" t="s">
        <v>142</v>
      </c>
      <c r="Q29" s="3" t="s">
        <v>143</v>
      </c>
    </row>
    <row r="30" customFormat="false" ht="15" hidden="false" customHeight="false" outlineLevel="0" collapsed="false">
      <c r="A30" s="4" t="s">
        <v>144</v>
      </c>
      <c r="B30" s="4" t="s">
        <v>145</v>
      </c>
      <c r="C30" s="4" t="s">
        <v>146</v>
      </c>
      <c r="D30" s="4" t="s">
        <v>20</v>
      </c>
      <c r="E30" s="4" t="s">
        <v>20</v>
      </c>
      <c r="F30" s="4" t="n">
        <v>5</v>
      </c>
      <c r="G30" s="4" t="s">
        <v>147</v>
      </c>
      <c r="H30" s="2" t="b">
        <f aca="false">TRUE()</f>
        <v>1</v>
      </c>
      <c r="I30" s="4" t="s">
        <v>23</v>
      </c>
      <c r="J30" s="4" t="s">
        <v>23</v>
      </c>
      <c r="K30" s="2" t="b">
        <f aca="false">TRUE()</f>
        <v>1</v>
      </c>
      <c r="L30" s="2" t="b">
        <f aca="false">FALSE()</f>
        <v>0</v>
      </c>
      <c r="M30" s="2" t="b">
        <f aca="false">FALSE()</f>
        <v>0</v>
      </c>
      <c r="N30" s="2" t="b">
        <f aca="false">FALSE()</f>
        <v>0</v>
      </c>
    </row>
    <row r="31" customFormat="false" ht="15" hidden="false" customHeight="false" outlineLevel="0" collapsed="false">
      <c r="A31" s="4" t="s">
        <v>148</v>
      </c>
      <c r="B31" s="4" t="s">
        <v>149</v>
      </c>
      <c r="C31" s="4" t="s">
        <v>150</v>
      </c>
      <c r="D31" s="4" t="s">
        <v>20</v>
      </c>
      <c r="E31" s="4" t="s">
        <v>20</v>
      </c>
      <c r="F31" s="4" t="n">
        <v>5</v>
      </c>
      <c r="G31" s="4" t="s">
        <v>151</v>
      </c>
      <c r="H31" s="2" t="b">
        <f aca="false">TRUE()</f>
        <v>1</v>
      </c>
      <c r="I31" s="4" t="s">
        <v>23</v>
      </c>
      <c r="J31" s="4" t="s">
        <v>23</v>
      </c>
      <c r="K31" s="2" t="b">
        <f aca="false">TRUE()</f>
        <v>1</v>
      </c>
      <c r="L31" s="2" t="b">
        <f aca="false">FALSE()</f>
        <v>0</v>
      </c>
      <c r="M31" s="2" t="b">
        <f aca="false">FALSE()</f>
        <v>0</v>
      </c>
      <c r="N31" s="2" t="b">
        <f aca="false">FALSE()</f>
        <v>0</v>
      </c>
    </row>
    <row r="32" customFormat="false" ht="15" hidden="false" customHeight="false" outlineLevel="0" collapsed="false">
      <c r="A32" s="4" t="s">
        <v>152</v>
      </c>
      <c r="B32" s="4" t="s">
        <v>153</v>
      </c>
      <c r="C32" s="4" t="s">
        <v>154</v>
      </c>
      <c r="D32" s="4" t="s">
        <v>19</v>
      </c>
      <c r="E32" s="4" t="s">
        <v>19</v>
      </c>
      <c r="F32" s="4" t="n">
        <v>5</v>
      </c>
      <c r="G32" s="4" t="s">
        <v>155</v>
      </c>
      <c r="H32" s="2" t="b">
        <f aca="false">TRUE()</f>
        <v>1</v>
      </c>
      <c r="I32" s="4" t="s">
        <v>22</v>
      </c>
      <c r="J32" s="4" t="s">
        <v>22</v>
      </c>
      <c r="K32" s="2" t="b">
        <f aca="false">TRUE()</f>
        <v>1</v>
      </c>
      <c r="L32" s="2" t="b">
        <f aca="false">FALSE()</f>
        <v>0</v>
      </c>
      <c r="M32" s="2" t="b">
        <f aca="false">FALSE()</f>
        <v>0</v>
      </c>
      <c r="N32" s="2" t="b">
        <f aca="false">TRUE()</f>
        <v>1</v>
      </c>
    </row>
    <row r="33" customFormat="false" ht="15" hidden="false" customHeight="false" outlineLevel="0" collapsed="false">
      <c r="A33" s="4" t="s">
        <v>156</v>
      </c>
      <c r="B33" s="4" t="s">
        <v>157</v>
      </c>
      <c r="C33" s="4" t="s">
        <v>158</v>
      </c>
      <c r="D33" s="4" t="s">
        <v>20</v>
      </c>
      <c r="E33" s="4" t="s">
        <v>20</v>
      </c>
      <c r="F33" s="4" t="n">
        <v>5</v>
      </c>
      <c r="G33" s="4" t="s">
        <v>159</v>
      </c>
      <c r="H33" s="2" t="b">
        <f aca="false">TRUE()</f>
        <v>1</v>
      </c>
      <c r="I33" s="4" t="s">
        <v>23</v>
      </c>
      <c r="J33" s="4" t="s">
        <v>23</v>
      </c>
      <c r="K33" s="2" t="b">
        <f aca="false">TRUE()</f>
        <v>1</v>
      </c>
      <c r="L33" s="2" t="b">
        <f aca="false">FALSE()</f>
        <v>0</v>
      </c>
      <c r="M33" s="2" t="b">
        <f aca="false">FALSE()</f>
        <v>0</v>
      </c>
      <c r="N33" s="2" t="b">
        <f aca="false">FALSE()</f>
        <v>0</v>
      </c>
    </row>
    <row r="34" customFormat="false" ht="45.1" hidden="false" customHeight="false" outlineLevel="0" collapsed="false">
      <c r="A34" s="4" t="s">
        <v>160</v>
      </c>
      <c r="B34" s="4" t="s">
        <v>161</v>
      </c>
      <c r="C34" s="5" t="s">
        <v>162</v>
      </c>
      <c r="D34" s="4" t="s">
        <v>19</v>
      </c>
      <c r="E34" s="4" t="s">
        <v>19</v>
      </c>
      <c r="F34" s="4" t="n">
        <v>5</v>
      </c>
      <c r="G34" s="4" t="s">
        <v>163</v>
      </c>
      <c r="H34" s="2" t="b">
        <f aca="false">TRUE()</f>
        <v>1</v>
      </c>
      <c r="I34" s="4" t="s">
        <v>22</v>
      </c>
      <c r="J34" s="4" t="s">
        <v>22</v>
      </c>
      <c r="K34" s="2" t="b">
        <f aca="false">TRUE()</f>
        <v>1</v>
      </c>
      <c r="L34" s="2" t="b">
        <f aca="false">FALSE()</f>
        <v>0</v>
      </c>
      <c r="M34" s="2" t="b">
        <f aca="false">FALSE()</f>
        <v>0</v>
      </c>
      <c r="N34" s="2" t="b">
        <f aca="false">TRUE()</f>
        <v>1</v>
      </c>
    </row>
    <row r="35" customFormat="false" ht="15" hidden="false" customHeight="false" outlineLevel="0" collapsed="false">
      <c r="A35" s="4" t="s">
        <v>164</v>
      </c>
      <c r="B35" s="4" t="s">
        <v>165</v>
      </c>
      <c r="C35" s="4" t="s">
        <v>166</v>
      </c>
      <c r="D35" s="4" t="s">
        <v>19</v>
      </c>
      <c r="E35" s="4" t="s">
        <v>19</v>
      </c>
      <c r="F35" s="4" t="n">
        <v>4</v>
      </c>
      <c r="G35" s="4" t="s">
        <v>167</v>
      </c>
      <c r="H35" s="2" t="b">
        <f aca="false">TRUE()</f>
        <v>1</v>
      </c>
      <c r="I35" s="4" t="s">
        <v>79</v>
      </c>
      <c r="J35" s="4" t="s">
        <v>79</v>
      </c>
      <c r="K35" s="2" t="b">
        <f aca="false">TRUE()</f>
        <v>1</v>
      </c>
      <c r="L35" s="2" t="b">
        <f aca="false">FALSE()</f>
        <v>0</v>
      </c>
      <c r="M35" s="2" t="b">
        <f aca="false">TRUE()</f>
        <v>1</v>
      </c>
      <c r="N35" s="2" t="b">
        <f aca="false">FALSE()</f>
        <v>0</v>
      </c>
    </row>
    <row r="36" customFormat="false" ht="15" hidden="false" customHeight="false" outlineLevel="0" collapsed="false">
      <c r="A36" s="4" t="s">
        <v>168</v>
      </c>
      <c r="B36" s="4" t="s">
        <v>169</v>
      </c>
      <c r="C36" s="4" t="s">
        <v>170</v>
      </c>
      <c r="D36" s="4" t="s">
        <v>20</v>
      </c>
      <c r="E36" s="4" t="s">
        <v>20</v>
      </c>
      <c r="F36" s="4" t="n">
        <v>5</v>
      </c>
      <c r="G36" s="4" t="s">
        <v>171</v>
      </c>
      <c r="H36" s="2" t="b">
        <f aca="false">TRUE()</f>
        <v>1</v>
      </c>
      <c r="I36" s="4" t="s">
        <v>23</v>
      </c>
      <c r="J36" s="4" t="s">
        <v>23</v>
      </c>
      <c r="K36" s="2" t="b">
        <f aca="false">TRUE()</f>
        <v>1</v>
      </c>
      <c r="L36" s="2" t="b">
        <f aca="false">FALSE()</f>
        <v>0</v>
      </c>
      <c r="M36" s="2" t="b">
        <f aca="false">FALSE()</f>
        <v>0</v>
      </c>
      <c r="N36" s="2" t="b">
        <f aca="false">FALSE()</f>
        <v>0</v>
      </c>
    </row>
    <row r="37" customFormat="false" ht="23.3" hidden="false" customHeight="false" outlineLevel="0" collapsed="false">
      <c r="A37" s="4" t="s">
        <v>172</v>
      </c>
      <c r="B37" s="4" t="s">
        <v>173</v>
      </c>
      <c r="C37" s="4" t="s">
        <v>174</v>
      </c>
      <c r="D37" s="4" t="s">
        <v>19</v>
      </c>
      <c r="E37" s="4" t="s">
        <v>19</v>
      </c>
      <c r="F37" s="4" t="n">
        <v>5</v>
      </c>
      <c r="G37" s="4" t="s">
        <v>175</v>
      </c>
      <c r="H37" s="2" t="b">
        <f aca="false">TRUE()</f>
        <v>1</v>
      </c>
      <c r="I37" s="4" t="s">
        <v>40</v>
      </c>
      <c r="J37" s="4" t="s">
        <v>41</v>
      </c>
      <c r="K37" s="7" t="b">
        <f aca="false">FALSE()</f>
        <v>0</v>
      </c>
      <c r="L37" s="2" t="b">
        <f aca="false">TRUE()</f>
        <v>1</v>
      </c>
      <c r="M37" s="2" t="b">
        <f aca="false">TRUE()</f>
        <v>1</v>
      </c>
      <c r="N37" s="2" t="b">
        <f aca="false">FALSE()</f>
        <v>0</v>
      </c>
      <c r="P37" s="3" t="s">
        <v>176</v>
      </c>
    </row>
    <row r="38" customFormat="false" ht="34.2" hidden="false" customHeight="false" outlineLevel="0" collapsed="false">
      <c r="A38" s="4" t="s">
        <v>177</v>
      </c>
      <c r="B38" s="4" t="s">
        <v>178</v>
      </c>
      <c r="C38" s="4" t="s">
        <v>179</v>
      </c>
      <c r="D38" s="4" t="s">
        <v>19</v>
      </c>
      <c r="E38" s="4" t="s">
        <v>20</v>
      </c>
      <c r="F38" s="4" t="n">
        <v>5</v>
      </c>
      <c r="G38" s="4" t="s">
        <v>180</v>
      </c>
      <c r="H38" s="7" t="b">
        <f aca="false">FALSE()</f>
        <v>0</v>
      </c>
      <c r="I38" s="4" t="s">
        <v>22</v>
      </c>
      <c r="J38" s="4" t="s">
        <v>23</v>
      </c>
      <c r="K38" s="7" t="b">
        <f aca="false">FALSE()</f>
        <v>0</v>
      </c>
      <c r="L38" s="2" t="b">
        <f aca="false">FALSE()</f>
        <v>0</v>
      </c>
      <c r="M38" s="2" t="b">
        <f aca="false">FALSE()</f>
        <v>0</v>
      </c>
      <c r="N38" s="2" t="b">
        <f aca="false">FALSE()</f>
        <v>0</v>
      </c>
      <c r="O38" s="3" t="s">
        <v>181</v>
      </c>
      <c r="Q38" s="3" t="s">
        <v>182</v>
      </c>
      <c r="R38" s="4" t="s">
        <v>183</v>
      </c>
    </row>
    <row r="39" customFormat="false" ht="15" hidden="false" customHeight="false" outlineLevel="0" collapsed="false">
      <c r="A39" s="4" t="s">
        <v>184</v>
      </c>
      <c r="B39" s="4" t="s">
        <v>185</v>
      </c>
      <c r="C39" s="4" t="s">
        <v>186</v>
      </c>
      <c r="D39" s="4" t="s">
        <v>19</v>
      </c>
      <c r="E39" s="4" t="s">
        <v>19</v>
      </c>
      <c r="F39" s="4" t="n">
        <v>5</v>
      </c>
      <c r="G39" s="4" t="s">
        <v>187</v>
      </c>
      <c r="H39" s="2" t="b">
        <f aca="false">TRUE()</f>
        <v>1</v>
      </c>
      <c r="I39" s="4" t="s">
        <v>41</v>
      </c>
      <c r="J39" s="4" t="s">
        <v>41</v>
      </c>
      <c r="K39" s="2" t="b">
        <f aca="false">TRUE()</f>
        <v>1</v>
      </c>
      <c r="L39" s="2" t="b">
        <f aca="false">TRUE()</f>
        <v>1</v>
      </c>
      <c r="M39" s="2" t="b">
        <f aca="false">FALSE()</f>
        <v>0</v>
      </c>
      <c r="N39" s="2" t="b">
        <f aca="false">TRUE()</f>
        <v>1</v>
      </c>
    </row>
    <row r="40" customFormat="false" ht="15" hidden="false" customHeight="false" outlineLevel="0" collapsed="false">
      <c r="A40" s="4" t="s">
        <v>188</v>
      </c>
      <c r="B40" s="4" t="s">
        <v>189</v>
      </c>
      <c r="C40" s="4" t="s">
        <v>190</v>
      </c>
      <c r="D40" s="4" t="s">
        <v>19</v>
      </c>
      <c r="E40" s="4" t="s">
        <v>19</v>
      </c>
      <c r="F40" s="4" t="n">
        <v>4</v>
      </c>
      <c r="G40" s="4" t="s">
        <v>191</v>
      </c>
      <c r="H40" s="2" t="b">
        <f aca="false">TRUE()</f>
        <v>1</v>
      </c>
      <c r="I40" s="4" t="s">
        <v>41</v>
      </c>
      <c r="J40" s="4" t="s">
        <v>41</v>
      </c>
      <c r="K40" s="2" t="b">
        <f aca="false">TRUE()</f>
        <v>1</v>
      </c>
      <c r="L40" s="2" t="b">
        <f aca="false">TRUE()</f>
        <v>1</v>
      </c>
      <c r="M40" s="2" t="b">
        <f aca="false">TRUE()</f>
        <v>1</v>
      </c>
      <c r="N40" s="2" t="b">
        <f aca="false">FALSE()</f>
        <v>0</v>
      </c>
    </row>
    <row r="41" customFormat="false" ht="15" hidden="false" customHeight="false" outlineLevel="0" collapsed="false">
      <c r="A41" s="4" t="s">
        <v>192</v>
      </c>
      <c r="B41" s="4" t="s">
        <v>193</v>
      </c>
      <c r="C41" s="4" t="s">
        <v>194</v>
      </c>
      <c r="D41" s="4" t="s">
        <v>19</v>
      </c>
      <c r="E41" s="4" t="s">
        <v>19</v>
      </c>
      <c r="F41" s="4" t="n">
        <v>5</v>
      </c>
      <c r="G41" s="4" t="s">
        <v>195</v>
      </c>
      <c r="H41" s="2" t="b">
        <f aca="false">TRUE()</f>
        <v>1</v>
      </c>
      <c r="I41" s="4" t="s">
        <v>79</v>
      </c>
      <c r="J41" s="4" t="s">
        <v>79</v>
      </c>
      <c r="K41" s="2" t="b">
        <f aca="false">TRUE()</f>
        <v>1</v>
      </c>
      <c r="L41" s="2" t="b">
        <f aca="false">FALSE()</f>
        <v>0</v>
      </c>
      <c r="M41" s="2" t="b">
        <f aca="false">TRUE()</f>
        <v>1</v>
      </c>
      <c r="N41" s="2" t="b">
        <f aca="false">FALSE()</f>
        <v>0</v>
      </c>
    </row>
    <row r="42" customFormat="false" ht="15" hidden="false" customHeight="false" outlineLevel="0" collapsed="false">
      <c r="A42" s="4" t="s">
        <v>196</v>
      </c>
      <c r="B42" s="4" t="s">
        <v>197</v>
      </c>
      <c r="C42" s="4" t="s">
        <v>198</v>
      </c>
      <c r="D42" s="4" t="s">
        <v>19</v>
      </c>
      <c r="E42" s="4" t="s">
        <v>19</v>
      </c>
      <c r="F42" s="4" t="n">
        <v>5</v>
      </c>
      <c r="G42" s="4" t="s">
        <v>199</v>
      </c>
      <c r="H42" s="2" t="b">
        <f aca="false">TRUE()</f>
        <v>1</v>
      </c>
      <c r="I42" s="4" t="s">
        <v>79</v>
      </c>
      <c r="J42" s="4" t="s">
        <v>79</v>
      </c>
      <c r="K42" s="2" t="b">
        <f aca="false">TRUE()</f>
        <v>1</v>
      </c>
      <c r="L42" s="2" t="b">
        <f aca="false">FALSE()</f>
        <v>0</v>
      </c>
      <c r="M42" s="2" t="b">
        <f aca="false">TRUE()</f>
        <v>1</v>
      </c>
      <c r="N42" s="2" t="b">
        <f aca="false">FALSE()</f>
        <v>0</v>
      </c>
    </row>
    <row r="43" customFormat="false" ht="88.7" hidden="false" customHeight="false" outlineLevel="0" collapsed="false">
      <c r="A43" s="4" t="s">
        <v>200</v>
      </c>
      <c r="B43" s="4" t="s">
        <v>201</v>
      </c>
      <c r="C43" s="4" t="s">
        <v>202</v>
      </c>
      <c r="D43" s="4" t="s">
        <v>19</v>
      </c>
      <c r="E43" s="4" t="s">
        <v>20</v>
      </c>
      <c r="F43" s="4" t="n">
        <v>4</v>
      </c>
      <c r="G43" s="4" t="s">
        <v>203</v>
      </c>
      <c r="H43" s="7" t="b">
        <f aca="false">FALSE()</f>
        <v>0</v>
      </c>
      <c r="I43" s="4" t="s">
        <v>41</v>
      </c>
      <c r="J43" s="4" t="s">
        <v>23</v>
      </c>
      <c r="K43" s="7" t="b">
        <f aca="false">FALSE()</f>
        <v>0</v>
      </c>
      <c r="L43" s="2" t="b">
        <f aca="false">FALSE()</f>
        <v>0</v>
      </c>
      <c r="M43" s="2" t="b">
        <f aca="false">FALSE()</f>
        <v>0</v>
      </c>
      <c r="N43" s="2" t="b">
        <f aca="false">FALSE()</f>
        <v>0</v>
      </c>
      <c r="O43" s="3" t="s">
        <v>204</v>
      </c>
      <c r="Q43" s="3" t="s">
        <v>205</v>
      </c>
    </row>
    <row r="44" customFormat="false" ht="15" hidden="false" customHeight="false" outlineLevel="0" collapsed="false">
      <c r="A44" s="4" t="s">
        <v>206</v>
      </c>
      <c r="B44" s="4" t="s">
        <v>207</v>
      </c>
      <c r="C44" s="4" t="s">
        <v>208</v>
      </c>
      <c r="D44" s="4" t="s">
        <v>19</v>
      </c>
      <c r="E44" s="4" t="s">
        <v>19</v>
      </c>
      <c r="F44" s="4" t="n">
        <v>5</v>
      </c>
      <c r="G44" s="4" t="s">
        <v>209</v>
      </c>
      <c r="H44" s="2" t="b">
        <f aca="false">TRUE()</f>
        <v>1</v>
      </c>
      <c r="I44" s="4" t="s">
        <v>79</v>
      </c>
      <c r="J44" s="4" t="s">
        <v>79</v>
      </c>
      <c r="K44" s="2" t="b">
        <f aca="false">TRUE()</f>
        <v>1</v>
      </c>
      <c r="L44" s="2" t="b">
        <f aca="false">FALSE()</f>
        <v>0</v>
      </c>
      <c r="M44" s="2" t="b">
        <f aca="false">TRUE()</f>
        <v>1</v>
      </c>
      <c r="N44" s="2" t="b">
        <f aca="false">FALSE()</f>
        <v>0</v>
      </c>
    </row>
    <row r="45" customFormat="false" ht="15" hidden="false" customHeight="false" outlineLevel="0" collapsed="false">
      <c r="A45" s="4" t="s">
        <v>210</v>
      </c>
      <c r="B45" s="4" t="s">
        <v>211</v>
      </c>
      <c r="C45" s="4" t="s">
        <v>212</v>
      </c>
      <c r="D45" s="4" t="s">
        <v>20</v>
      </c>
      <c r="E45" s="4" t="s">
        <v>20</v>
      </c>
      <c r="F45" s="4" t="n">
        <v>5</v>
      </c>
      <c r="G45" s="4" t="s">
        <v>213</v>
      </c>
      <c r="H45" s="2" t="b">
        <f aca="false">TRUE()</f>
        <v>1</v>
      </c>
      <c r="I45" s="4" t="s">
        <v>23</v>
      </c>
      <c r="J45" s="4" t="s">
        <v>23</v>
      </c>
      <c r="K45" s="2" t="b">
        <f aca="false">TRUE()</f>
        <v>1</v>
      </c>
      <c r="L45" s="2" t="b">
        <f aca="false">FALSE()</f>
        <v>0</v>
      </c>
      <c r="M45" s="2" t="b">
        <f aca="false">FALSE()</f>
        <v>0</v>
      </c>
      <c r="N45" s="2" t="b">
        <f aca="false">FALSE()</f>
        <v>0</v>
      </c>
    </row>
    <row r="46" customFormat="false" ht="15" hidden="false" customHeight="false" outlineLevel="0" collapsed="false">
      <c r="A46" s="4" t="s">
        <v>214</v>
      </c>
      <c r="B46" s="4" t="s">
        <v>215</v>
      </c>
      <c r="C46" s="4" t="s">
        <v>216</v>
      </c>
      <c r="D46" s="4" t="s">
        <v>20</v>
      </c>
      <c r="E46" s="4" t="s">
        <v>20</v>
      </c>
      <c r="F46" s="4" t="n">
        <v>5</v>
      </c>
      <c r="G46" s="4" t="s">
        <v>217</v>
      </c>
      <c r="H46" s="2" t="b">
        <f aca="false">TRUE()</f>
        <v>1</v>
      </c>
      <c r="I46" s="4" t="s">
        <v>23</v>
      </c>
      <c r="J46" s="4" t="s">
        <v>23</v>
      </c>
      <c r="K46" s="2" t="b">
        <f aca="false">TRUE()</f>
        <v>1</v>
      </c>
      <c r="L46" s="2" t="b">
        <f aca="false">FALSE()</f>
        <v>0</v>
      </c>
      <c r="M46" s="2" t="b">
        <f aca="false">FALSE()</f>
        <v>0</v>
      </c>
      <c r="N46" s="2" t="b">
        <f aca="false">FALSE()</f>
        <v>0</v>
      </c>
    </row>
    <row r="47" customFormat="false" ht="15" hidden="false" customHeight="false" outlineLevel="0" collapsed="false">
      <c r="A47" s="4" t="s">
        <v>218</v>
      </c>
      <c r="B47" s="4" t="s">
        <v>219</v>
      </c>
      <c r="C47" s="4" t="s">
        <v>220</v>
      </c>
      <c r="D47" s="4" t="s">
        <v>19</v>
      </c>
      <c r="E47" s="4" t="s">
        <v>19</v>
      </c>
      <c r="F47" s="4" t="n">
        <v>5</v>
      </c>
      <c r="G47" s="4" t="s">
        <v>221</v>
      </c>
      <c r="H47" s="2" t="b">
        <f aca="false">TRUE()</f>
        <v>1</v>
      </c>
      <c r="I47" s="4" t="s">
        <v>22</v>
      </c>
      <c r="J47" s="4" t="s">
        <v>22</v>
      </c>
      <c r="K47" s="2" t="b">
        <f aca="false">TRUE()</f>
        <v>1</v>
      </c>
      <c r="L47" s="2" t="b">
        <f aca="false">FALSE()</f>
        <v>0</v>
      </c>
      <c r="M47" s="2" t="b">
        <f aca="false">FALSE()</f>
        <v>0</v>
      </c>
      <c r="N47" s="2" t="b">
        <f aca="false">TRUE()</f>
        <v>1</v>
      </c>
    </row>
    <row r="48" customFormat="false" ht="15" hidden="false" customHeight="false" outlineLevel="0" collapsed="false">
      <c r="A48" s="4" t="s">
        <v>222</v>
      </c>
      <c r="B48" s="4" t="s">
        <v>223</v>
      </c>
      <c r="C48" s="4" t="s">
        <v>224</v>
      </c>
      <c r="D48" s="4" t="s">
        <v>20</v>
      </c>
      <c r="E48" s="4" t="s">
        <v>20</v>
      </c>
      <c r="F48" s="4" t="n">
        <v>5</v>
      </c>
      <c r="G48" s="4" t="s">
        <v>225</v>
      </c>
      <c r="H48" s="2" t="b">
        <f aca="false">TRUE()</f>
        <v>1</v>
      </c>
      <c r="I48" s="4" t="s">
        <v>23</v>
      </c>
      <c r="J48" s="4" t="s">
        <v>23</v>
      </c>
      <c r="K48" s="2" t="b">
        <f aca="false">TRUE()</f>
        <v>1</v>
      </c>
      <c r="L48" s="2" t="b">
        <f aca="false">FALSE()</f>
        <v>0</v>
      </c>
      <c r="M48" s="2" t="b">
        <f aca="false">FALSE()</f>
        <v>0</v>
      </c>
      <c r="N48" s="2" t="b">
        <f aca="false">FALSE()</f>
        <v>0</v>
      </c>
    </row>
    <row r="49" customFormat="false" ht="15" hidden="false" customHeight="false" outlineLevel="0" collapsed="false">
      <c r="A49" s="4" t="s">
        <v>226</v>
      </c>
      <c r="B49" s="4" t="s">
        <v>227</v>
      </c>
      <c r="C49" s="4" t="s">
        <v>228</v>
      </c>
      <c r="D49" s="4" t="s">
        <v>19</v>
      </c>
      <c r="E49" s="4" t="s">
        <v>19</v>
      </c>
      <c r="F49" s="4" t="n">
        <v>5</v>
      </c>
      <c r="G49" s="4" t="s">
        <v>229</v>
      </c>
      <c r="H49" s="2" t="b">
        <f aca="false">TRUE()</f>
        <v>1</v>
      </c>
      <c r="I49" s="4" t="s">
        <v>40</v>
      </c>
      <c r="J49" s="4" t="s">
        <v>40</v>
      </c>
      <c r="K49" s="2" t="b">
        <f aca="false">TRUE()</f>
        <v>1</v>
      </c>
      <c r="L49" s="2" t="b">
        <f aca="false">TRUE()</f>
        <v>1</v>
      </c>
      <c r="M49" s="2" t="b">
        <f aca="false">FALSE()</f>
        <v>0</v>
      </c>
      <c r="N49" s="2" t="b">
        <f aca="false">FALSE()</f>
        <v>0</v>
      </c>
    </row>
    <row r="50" customFormat="false" ht="15" hidden="false" customHeight="false" outlineLevel="0" collapsed="false">
      <c r="A50" s="4" t="s">
        <v>230</v>
      </c>
      <c r="B50" s="4" t="s">
        <v>231</v>
      </c>
      <c r="C50" s="4" t="s">
        <v>232</v>
      </c>
      <c r="D50" s="4" t="s">
        <v>20</v>
      </c>
      <c r="E50" s="4" t="s">
        <v>20</v>
      </c>
      <c r="F50" s="4" t="n">
        <v>5</v>
      </c>
      <c r="G50" s="4" t="s">
        <v>233</v>
      </c>
      <c r="H50" s="2" t="b">
        <f aca="false">TRUE()</f>
        <v>1</v>
      </c>
      <c r="I50" s="4" t="s">
        <v>23</v>
      </c>
      <c r="J50" s="4" t="s">
        <v>23</v>
      </c>
      <c r="K50" s="2" t="b">
        <f aca="false">TRUE()</f>
        <v>1</v>
      </c>
      <c r="L50" s="2" t="b">
        <f aca="false">FALSE()</f>
        <v>0</v>
      </c>
      <c r="M50" s="2" t="b">
        <f aca="false">FALSE()</f>
        <v>0</v>
      </c>
      <c r="N50" s="2" t="b">
        <f aca="false">FALSE()</f>
        <v>0</v>
      </c>
    </row>
    <row r="51" customFormat="false" ht="56" hidden="false" customHeight="false" outlineLevel="0" collapsed="false">
      <c r="A51" s="4" t="s">
        <v>234</v>
      </c>
      <c r="B51" s="4" t="s">
        <v>235</v>
      </c>
      <c r="C51" s="4" t="s">
        <v>236</v>
      </c>
      <c r="D51" s="4" t="s">
        <v>19</v>
      </c>
      <c r="E51" s="4" t="s">
        <v>20</v>
      </c>
      <c r="F51" s="4" t="n">
        <v>5</v>
      </c>
      <c r="G51" s="4" t="s">
        <v>237</v>
      </c>
      <c r="H51" s="7" t="b">
        <f aca="false">FALSE()</f>
        <v>0</v>
      </c>
      <c r="I51" s="4" t="s">
        <v>41</v>
      </c>
      <c r="J51" s="4" t="s">
        <v>23</v>
      </c>
      <c r="K51" s="7" t="b">
        <f aca="false">FALSE()</f>
        <v>0</v>
      </c>
      <c r="L51" s="2" t="b">
        <f aca="false">FALSE()</f>
        <v>0</v>
      </c>
      <c r="M51" s="2" t="b">
        <f aca="false">FALSE()</f>
        <v>0</v>
      </c>
      <c r="N51" s="2" t="b">
        <f aca="false">FALSE()</f>
        <v>0</v>
      </c>
      <c r="O51" s="3" t="s">
        <v>238</v>
      </c>
      <c r="Q51" s="3" t="s">
        <v>239</v>
      </c>
    </row>
    <row r="52" customFormat="false" ht="15" hidden="false" customHeight="false" outlineLevel="0" collapsed="false">
      <c r="A52" s="4" t="s">
        <v>240</v>
      </c>
      <c r="B52" s="4" t="s">
        <v>241</v>
      </c>
      <c r="C52" s="4" t="s">
        <v>242</v>
      </c>
      <c r="D52" s="4" t="s">
        <v>20</v>
      </c>
      <c r="E52" s="4" t="s">
        <v>20</v>
      </c>
      <c r="F52" s="4" t="n">
        <v>5</v>
      </c>
      <c r="G52" s="4" t="s">
        <v>243</v>
      </c>
      <c r="H52" s="2" t="b">
        <f aca="false">TRUE()</f>
        <v>1</v>
      </c>
      <c r="I52" s="4" t="s">
        <v>23</v>
      </c>
      <c r="J52" s="4" t="s">
        <v>23</v>
      </c>
      <c r="K52" s="2" t="b">
        <f aca="false">TRUE()</f>
        <v>1</v>
      </c>
      <c r="L52" s="2" t="b">
        <f aca="false">FALSE()</f>
        <v>0</v>
      </c>
      <c r="M52" s="2" t="b">
        <f aca="false">FALSE()</f>
        <v>0</v>
      </c>
      <c r="N52" s="2" t="b">
        <f aca="false">FALSE()</f>
        <v>0</v>
      </c>
    </row>
    <row r="53" customFormat="false" ht="99.6" hidden="false" customHeight="false" outlineLevel="0" collapsed="false">
      <c r="A53" s="4" t="s">
        <v>244</v>
      </c>
      <c r="B53" s="4" t="s">
        <v>245</v>
      </c>
      <c r="C53" s="4" t="s">
        <v>246</v>
      </c>
      <c r="D53" s="4" t="s">
        <v>19</v>
      </c>
      <c r="E53" s="4" t="s">
        <v>20</v>
      </c>
      <c r="F53" s="4" t="n">
        <v>5</v>
      </c>
      <c r="G53" s="4" t="s">
        <v>247</v>
      </c>
      <c r="H53" s="7" t="b">
        <f aca="false">FALSE()</f>
        <v>0</v>
      </c>
      <c r="I53" s="4" t="s">
        <v>22</v>
      </c>
      <c r="J53" s="4" t="s">
        <v>23</v>
      </c>
      <c r="K53" s="7" t="b">
        <f aca="false">FALSE()</f>
        <v>0</v>
      </c>
      <c r="L53" s="2" t="b">
        <f aca="false">FALSE()</f>
        <v>0</v>
      </c>
      <c r="M53" s="2" t="b">
        <f aca="false">FALSE()</f>
        <v>0</v>
      </c>
      <c r="N53" s="2" t="b">
        <f aca="false">FALSE()</f>
        <v>0</v>
      </c>
      <c r="O53" s="3" t="s">
        <v>248</v>
      </c>
      <c r="Q53" s="3" t="s">
        <v>249</v>
      </c>
    </row>
    <row r="54" customFormat="false" ht="23.3" hidden="false" customHeight="false" outlineLevel="0" collapsed="false">
      <c r="A54" s="4" t="s">
        <v>250</v>
      </c>
      <c r="B54" s="4" t="s">
        <v>251</v>
      </c>
      <c r="C54" s="4" t="s">
        <v>252</v>
      </c>
      <c r="D54" s="4" t="s">
        <v>19</v>
      </c>
      <c r="E54" s="4" t="s">
        <v>20</v>
      </c>
      <c r="F54" s="4" t="n">
        <v>4</v>
      </c>
      <c r="G54" s="4" t="s">
        <v>253</v>
      </c>
      <c r="H54" s="6" t="b">
        <f aca="false">FALSE()</f>
        <v>0</v>
      </c>
      <c r="I54" s="4" t="s">
        <v>40</v>
      </c>
      <c r="J54" s="4" t="s">
        <v>23</v>
      </c>
      <c r="K54" s="7" t="b">
        <f aca="false">FALSE()</f>
        <v>0</v>
      </c>
      <c r="L54" s="2" t="b">
        <f aca="false">FALSE()</f>
        <v>0</v>
      </c>
      <c r="M54" s="2" t="b">
        <f aca="false">FALSE()</f>
        <v>0</v>
      </c>
      <c r="N54" s="2" t="b">
        <f aca="false">FALSE()</f>
        <v>0</v>
      </c>
      <c r="O54" s="3" t="s">
        <v>254</v>
      </c>
    </row>
    <row r="55" customFormat="false" ht="15" hidden="false" customHeight="false" outlineLevel="0" collapsed="false">
      <c r="A55" s="4" t="s">
        <v>255</v>
      </c>
      <c r="B55" s="4" t="s">
        <v>256</v>
      </c>
      <c r="C55" s="4" t="s">
        <v>257</v>
      </c>
      <c r="D55" s="4" t="s">
        <v>20</v>
      </c>
      <c r="E55" s="4" t="s">
        <v>20</v>
      </c>
      <c r="F55" s="4" t="n">
        <v>5</v>
      </c>
      <c r="G55" s="4" t="s">
        <v>258</v>
      </c>
      <c r="H55" s="2" t="b">
        <f aca="false">TRUE()</f>
        <v>1</v>
      </c>
      <c r="I55" s="4" t="s">
        <v>23</v>
      </c>
      <c r="J55" s="4" t="s">
        <v>23</v>
      </c>
      <c r="K55" s="2" t="b">
        <f aca="false">TRUE()</f>
        <v>1</v>
      </c>
      <c r="L55" s="2" t="b">
        <f aca="false">FALSE()</f>
        <v>0</v>
      </c>
      <c r="M55" s="2" t="b">
        <f aca="false">FALSE()</f>
        <v>0</v>
      </c>
      <c r="N55" s="2" t="b">
        <f aca="false">FALSE()</f>
        <v>0</v>
      </c>
    </row>
    <row r="56" customFormat="false" ht="34.2" hidden="false" customHeight="false" outlineLevel="0" collapsed="false">
      <c r="A56" s="4" t="s">
        <v>259</v>
      </c>
      <c r="B56" s="4" t="s">
        <v>260</v>
      </c>
      <c r="C56" s="4" t="s">
        <v>261</v>
      </c>
      <c r="D56" s="4" t="s">
        <v>19</v>
      </c>
      <c r="E56" s="4" t="s">
        <v>20</v>
      </c>
      <c r="F56" s="4" t="n">
        <v>5</v>
      </c>
      <c r="G56" s="4" t="s">
        <v>262</v>
      </c>
      <c r="H56" s="7" t="b">
        <f aca="false">FALSE()</f>
        <v>0</v>
      </c>
      <c r="I56" s="4" t="s">
        <v>40</v>
      </c>
      <c r="J56" s="4" t="s">
        <v>23</v>
      </c>
      <c r="K56" s="7" t="b">
        <f aca="false">FALSE()</f>
        <v>0</v>
      </c>
      <c r="L56" s="2" t="b">
        <f aca="false">FALSE()</f>
        <v>0</v>
      </c>
      <c r="M56" s="2" t="b">
        <f aca="false">FALSE()</f>
        <v>0</v>
      </c>
      <c r="N56" s="2" t="b">
        <f aca="false">FALSE()</f>
        <v>0</v>
      </c>
      <c r="O56" s="3" t="s">
        <v>263</v>
      </c>
    </row>
    <row r="57" customFormat="false" ht="15" hidden="false" customHeight="false" outlineLevel="0" collapsed="false">
      <c r="A57" s="4" t="s">
        <v>264</v>
      </c>
      <c r="B57" s="4" t="s">
        <v>265</v>
      </c>
      <c r="C57" s="4" t="s">
        <v>266</v>
      </c>
      <c r="D57" s="4" t="s">
        <v>20</v>
      </c>
      <c r="E57" s="4" t="s">
        <v>20</v>
      </c>
      <c r="F57" s="4" t="n">
        <v>5</v>
      </c>
      <c r="G57" s="4" t="s">
        <v>267</v>
      </c>
      <c r="H57" s="2" t="b">
        <f aca="false">TRUE()</f>
        <v>1</v>
      </c>
      <c r="I57" s="4" t="s">
        <v>23</v>
      </c>
      <c r="J57" s="4" t="s">
        <v>23</v>
      </c>
      <c r="K57" s="2" t="b">
        <f aca="false">TRUE()</f>
        <v>1</v>
      </c>
      <c r="L57" s="2" t="b">
        <f aca="false">FALSE()</f>
        <v>0</v>
      </c>
      <c r="M57" s="2" t="b">
        <f aca="false">FALSE()</f>
        <v>0</v>
      </c>
      <c r="N57" s="2" t="b">
        <f aca="false">FALSE()</f>
        <v>0</v>
      </c>
    </row>
    <row r="58" customFormat="false" ht="15" hidden="false" customHeight="false" outlineLevel="0" collapsed="false">
      <c r="A58" s="4" t="s">
        <v>268</v>
      </c>
      <c r="B58" s="4" t="s">
        <v>269</v>
      </c>
      <c r="C58" s="4" t="s">
        <v>270</v>
      </c>
      <c r="D58" s="4" t="s">
        <v>20</v>
      </c>
      <c r="E58" s="4" t="s">
        <v>20</v>
      </c>
      <c r="F58" s="4" t="n">
        <v>5</v>
      </c>
      <c r="G58" s="4" t="s">
        <v>271</v>
      </c>
      <c r="H58" s="2" t="b">
        <f aca="false">TRUE()</f>
        <v>1</v>
      </c>
      <c r="I58" s="4" t="s">
        <v>23</v>
      </c>
      <c r="J58" s="4" t="s">
        <v>23</v>
      </c>
      <c r="K58" s="2" t="b">
        <f aca="false">TRUE()</f>
        <v>1</v>
      </c>
      <c r="L58" s="2" t="b">
        <f aca="false">FALSE()</f>
        <v>0</v>
      </c>
      <c r="M58" s="2" t="b">
        <f aca="false">FALSE()</f>
        <v>0</v>
      </c>
      <c r="N58" s="2" t="b">
        <f aca="false">FALSE()</f>
        <v>0</v>
      </c>
    </row>
    <row r="59" customFormat="false" ht="23.3" hidden="false" customHeight="false" outlineLevel="0" collapsed="false">
      <c r="A59" s="4" t="s">
        <v>272</v>
      </c>
      <c r="B59" s="4" t="s">
        <v>273</v>
      </c>
      <c r="C59" s="4" t="s">
        <v>274</v>
      </c>
      <c r="D59" s="4" t="s">
        <v>19</v>
      </c>
      <c r="E59" s="4" t="s">
        <v>19</v>
      </c>
      <c r="F59" s="4" t="n">
        <v>5</v>
      </c>
      <c r="G59" s="4" t="s">
        <v>275</v>
      </c>
      <c r="H59" s="2" t="b">
        <f aca="false">TRUE()</f>
        <v>1</v>
      </c>
      <c r="I59" s="4" t="s">
        <v>40</v>
      </c>
      <c r="J59" s="4" t="s">
        <v>41</v>
      </c>
      <c r="K59" s="7" t="b">
        <f aca="false">FALSE()</f>
        <v>0</v>
      </c>
      <c r="L59" s="2" t="b">
        <f aca="false">TRUE()</f>
        <v>1</v>
      </c>
      <c r="M59" s="2" t="b">
        <f aca="false">TRUE()</f>
        <v>1</v>
      </c>
      <c r="N59" s="2" t="b">
        <f aca="false">FALSE()</f>
        <v>0</v>
      </c>
      <c r="P59" s="3" t="s">
        <v>176</v>
      </c>
    </row>
    <row r="60" customFormat="false" ht="23.3" hidden="false" customHeight="false" outlineLevel="0" collapsed="false">
      <c r="A60" s="4" t="s">
        <v>276</v>
      </c>
      <c r="B60" s="4" t="s">
        <v>277</v>
      </c>
      <c r="C60" s="4" t="s">
        <v>278</v>
      </c>
      <c r="D60" s="4" t="s">
        <v>19</v>
      </c>
      <c r="E60" s="4" t="s">
        <v>19</v>
      </c>
      <c r="F60" s="4" t="n">
        <v>5</v>
      </c>
      <c r="G60" s="4" t="s">
        <v>279</v>
      </c>
      <c r="H60" s="2" t="b">
        <f aca="false">TRUE()</f>
        <v>1</v>
      </c>
      <c r="I60" s="4" t="s">
        <v>40</v>
      </c>
      <c r="J60" s="4" t="s">
        <v>41</v>
      </c>
      <c r="K60" s="7" t="b">
        <f aca="false">FALSE()</f>
        <v>0</v>
      </c>
      <c r="L60" s="2" t="b">
        <f aca="false">TRUE()</f>
        <v>1</v>
      </c>
      <c r="M60" s="2" t="b">
        <f aca="false">TRUE()</f>
        <v>1</v>
      </c>
      <c r="N60" s="2" t="b">
        <f aca="false">FALSE()</f>
        <v>0</v>
      </c>
      <c r="P60" s="3" t="s">
        <v>176</v>
      </c>
    </row>
    <row r="61" customFormat="false" ht="15" hidden="false" customHeight="false" outlineLevel="0" collapsed="false">
      <c r="A61" s="4" t="s">
        <v>280</v>
      </c>
      <c r="B61" s="4" t="s">
        <v>281</v>
      </c>
      <c r="C61" s="4" t="s">
        <v>282</v>
      </c>
      <c r="D61" s="4" t="s">
        <v>20</v>
      </c>
      <c r="E61" s="4" t="s">
        <v>20</v>
      </c>
      <c r="F61" s="4" t="n">
        <v>5</v>
      </c>
      <c r="G61" s="4" t="s">
        <v>283</v>
      </c>
      <c r="H61" s="2" t="b">
        <f aca="false">TRUE()</f>
        <v>1</v>
      </c>
      <c r="I61" s="4" t="s">
        <v>23</v>
      </c>
      <c r="J61" s="4" t="s">
        <v>23</v>
      </c>
      <c r="K61" s="2" t="b">
        <f aca="false">TRUE()</f>
        <v>1</v>
      </c>
      <c r="L61" s="2" t="b">
        <f aca="false">FALSE()</f>
        <v>0</v>
      </c>
      <c r="M61" s="2" t="b">
        <f aca="false">FALSE()</f>
        <v>0</v>
      </c>
      <c r="N61" s="2" t="b">
        <f aca="false">FALSE()</f>
        <v>0</v>
      </c>
    </row>
    <row r="62" customFormat="false" ht="34.2" hidden="false" customHeight="false" outlineLevel="0" collapsed="false">
      <c r="A62" s="4" t="s">
        <v>284</v>
      </c>
      <c r="B62" s="4" t="s">
        <v>285</v>
      </c>
      <c r="C62" s="4" t="s">
        <v>286</v>
      </c>
      <c r="D62" s="4" t="s">
        <v>19</v>
      </c>
      <c r="E62" s="4" t="s">
        <v>20</v>
      </c>
      <c r="F62" s="4" t="n">
        <v>5</v>
      </c>
      <c r="G62" s="4" t="s">
        <v>287</v>
      </c>
      <c r="H62" s="6" t="b">
        <f aca="false">FALSE()</f>
        <v>0</v>
      </c>
      <c r="I62" s="4" t="s">
        <v>79</v>
      </c>
      <c r="J62" s="4" t="s">
        <v>23</v>
      </c>
      <c r="K62" s="7" t="b">
        <f aca="false">FALSE()</f>
        <v>0</v>
      </c>
      <c r="L62" s="2" t="b">
        <f aca="false">FALSE()</f>
        <v>0</v>
      </c>
      <c r="M62" s="2" t="b">
        <f aca="false">FALSE()</f>
        <v>0</v>
      </c>
      <c r="N62" s="2" t="b">
        <f aca="false">FALSE()</f>
        <v>0</v>
      </c>
      <c r="O62" s="3" t="s">
        <v>288</v>
      </c>
    </row>
    <row r="63" customFormat="false" ht="15" hidden="false" customHeight="false" outlineLevel="0" collapsed="false">
      <c r="A63" s="4" t="s">
        <v>289</v>
      </c>
      <c r="B63" s="4" t="s">
        <v>290</v>
      </c>
      <c r="C63" s="4" t="s">
        <v>291</v>
      </c>
      <c r="D63" s="4" t="s">
        <v>20</v>
      </c>
      <c r="E63" s="4" t="s">
        <v>20</v>
      </c>
      <c r="F63" s="4" t="n">
        <v>5</v>
      </c>
      <c r="G63" s="4" t="s">
        <v>292</v>
      </c>
      <c r="H63" s="2" t="b">
        <f aca="false">TRUE()</f>
        <v>1</v>
      </c>
      <c r="I63" s="4" t="s">
        <v>23</v>
      </c>
      <c r="J63" s="4" t="s">
        <v>23</v>
      </c>
      <c r="K63" s="2" t="b">
        <f aca="false">TRUE()</f>
        <v>1</v>
      </c>
      <c r="L63" s="2" t="b">
        <f aca="false">FALSE()</f>
        <v>0</v>
      </c>
      <c r="M63" s="2" t="b">
        <f aca="false">FALSE()</f>
        <v>0</v>
      </c>
      <c r="N63" s="2" t="b">
        <f aca="false">FALSE()</f>
        <v>0</v>
      </c>
    </row>
    <row r="64" customFormat="false" ht="15" hidden="false" customHeight="false" outlineLevel="0" collapsed="false">
      <c r="A64" s="4" t="s">
        <v>293</v>
      </c>
      <c r="B64" s="4" t="s">
        <v>294</v>
      </c>
      <c r="C64" s="4" t="s">
        <v>295</v>
      </c>
      <c r="D64" s="4" t="s">
        <v>19</v>
      </c>
      <c r="E64" s="4" t="s">
        <v>19</v>
      </c>
      <c r="F64" s="4" t="n">
        <v>4</v>
      </c>
      <c r="G64" s="4" t="s">
        <v>296</v>
      </c>
      <c r="H64" s="2" t="b">
        <f aca="false">TRUE()</f>
        <v>1</v>
      </c>
      <c r="I64" s="4" t="s">
        <v>40</v>
      </c>
      <c r="J64" s="4" t="s">
        <v>40</v>
      </c>
      <c r="K64" s="2" t="b">
        <f aca="false">TRUE()</f>
        <v>1</v>
      </c>
      <c r="L64" s="2" t="b">
        <f aca="false">TRUE()</f>
        <v>1</v>
      </c>
      <c r="M64" s="2" t="b">
        <f aca="false">FALSE()</f>
        <v>0</v>
      </c>
      <c r="N64" s="2" t="b">
        <f aca="false">FALSE()</f>
        <v>0</v>
      </c>
    </row>
    <row r="65" customFormat="false" ht="15" hidden="false" customHeight="false" outlineLevel="0" collapsed="false">
      <c r="A65" s="4" t="s">
        <v>297</v>
      </c>
      <c r="B65" s="4" t="s">
        <v>298</v>
      </c>
      <c r="C65" s="4" t="s">
        <v>299</v>
      </c>
      <c r="D65" s="4" t="s">
        <v>19</v>
      </c>
      <c r="E65" s="4" t="s">
        <v>20</v>
      </c>
      <c r="F65" s="4" t="n">
        <v>5</v>
      </c>
      <c r="G65" s="4" t="s">
        <v>300</v>
      </c>
      <c r="H65" s="6" t="b">
        <f aca="false">FALSE()</f>
        <v>0</v>
      </c>
      <c r="I65" s="4" t="s">
        <v>22</v>
      </c>
      <c r="J65" s="4" t="s">
        <v>23</v>
      </c>
      <c r="K65" s="7" t="b">
        <f aca="false">FALSE()</f>
        <v>0</v>
      </c>
      <c r="L65" s="2" t="b">
        <f aca="false">FALSE()</f>
        <v>0</v>
      </c>
      <c r="M65" s="2" t="b">
        <f aca="false">FALSE()</f>
        <v>0</v>
      </c>
      <c r="N65" s="2" t="b">
        <f aca="false">FALSE()</f>
        <v>0</v>
      </c>
      <c r="O65" s="3" t="s">
        <v>301</v>
      </c>
    </row>
    <row r="66" customFormat="false" ht="66.9" hidden="false" customHeight="false" outlineLevel="0" collapsed="false">
      <c r="A66" s="4" t="s">
        <v>302</v>
      </c>
      <c r="B66" s="4" t="s">
        <v>303</v>
      </c>
      <c r="C66" s="4" t="s">
        <v>304</v>
      </c>
      <c r="D66" s="4" t="s">
        <v>19</v>
      </c>
      <c r="E66" s="4" t="s">
        <v>20</v>
      </c>
      <c r="F66" s="4" t="n">
        <v>4</v>
      </c>
      <c r="G66" s="4" t="s">
        <v>305</v>
      </c>
      <c r="H66" s="7" t="b">
        <f aca="false">FALSE()</f>
        <v>0</v>
      </c>
      <c r="I66" s="4" t="s">
        <v>79</v>
      </c>
      <c r="J66" s="4" t="s">
        <v>23</v>
      </c>
      <c r="K66" s="7" t="b">
        <f aca="false">FALSE()</f>
        <v>0</v>
      </c>
      <c r="L66" s="2" t="b">
        <f aca="false">FALSE()</f>
        <v>0</v>
      </c>
      <c r="M66" s="2" t="b">
        <f aca="false">FALSE()</f>
        <v>0</v>
      </c>
      <c r="N66" s="2" t="b">
        <f aca="false">FALSE()</f>
        <v>0</v>
      </c>
      <c r="O66" s="3" t="s">
        <v>306</v>
      </c>
      <c r="Q66" s="3" t="s">
        <v>307</v>
      </c>
    </row>
    <row r="67" customFormat="false" ht="15" hidden="false" customHeight="false" outlineLevel="0" collapsed="false">
      <c r="A67" s="4" t="s">
        <v>308</v>
      </c>
      <c r="B67" s="4" t="s">
        <v>309</v>
      </c>
      <c r="C67" s="4" t="s">
        <v>310</v>
      </c>
      <c r="D67" s="4" t="s">
        <v>20</v>
      </c>
      <c r="E67" s="4" t="s">
        <v>20</v>
      </c>
      <c r="F67" s="4" t="n">
        <v>5</v>
      </c>
      <c r="G67" s="4" t="s">
        <v>311</v>
      </c>
      <c r="H67" s="2" t="b">
        <f aca="false">TRUE()</f>
        <v>1</v>
      </c>
      <c r="I67" s="4" t="s">
        <v>23</v>
      </c>
      <c r="J67" s="4" t="s">
        <v>23</v>
      </c>
      <c r="K67" s="2" t="b">
        <f aca="false">TRUE()</f>
        <v>1</v>
      </c>
      <c r="L67" s="2" t="b">
        <f aca="false">FALSE()</f>
        <v>0</v>
      </c>
      <c r="M67" s="2" t="b">
        <f aca="false">FALSE()</f>
        <v>0</v>
      </c>
      <c r="N67" s="2" t="b">
        <f aca="false">FALSE()</f>
        <v>0</v>
      </c>
    </row>
    <row r="68" customFormat="false" ht="15" hidden="false" customHeight="false" outlineLevel="0" collapsed="false">
      <c r="A68" s="4" t="s">
        <v>312</v>
      </c>
      <c r="B68" s="4" t="s">
        <v>313</v>
      </c>
      <c r="C68" s="4" t="s">
        <v>314</v>
      </c>
      <c r="D68" s="4" t="s">
        <v>20</v>
      </c>
      <c r="E68" s="4" t="s">
        <v>20</v>
      </c>
      <c r="F68" s="4" t="n">
        <v>5</v>
      </c>
      <c r="G68" s="4" t="s">
        <v>315</v>
      </c>
      <c r="H68" s="2" t="b">
        <f aca="false">TRUE()</f>
        <v>1</v>
      </c>
      <c r="I68" s="4" t="s">
        <v>23</v>
      </c>
      <c r="J68" s="4" t="s">
        <v>23</v>
      </c>
      <c r="K68" s="2" t="b">
        <f aca="false">TRUE()</f>
        <v>1</v>
      </c>
      <c r="L68" s="2" t="b">
        <f aca="false">FALSE()</f>
        <v>0</v>
      </c>
      <c r="M68" s="2" t="b">
        <f aca="false">FALSE()</f>
        <v>0</v>
      </c>
      <c r="N68" s="2" t="b">
        <f aca="false">FALSE()</f>
        <v>0</v>
      </c>
    </row>
    <row r="69" customFormat="false" ht="15" hidden="false" customHeight="false" outlineLevel="0" collapsed="false">
      <c r="A69" s="4" t="s">
        <v>316</v>
      </c>
      <c r="B69" s="4" t="s">
        <v>317</v>
      </c>
      <c r="C69" s="4" t="s">
        <v>318</v>
      </c>
      <c r="D69" s="4" t="s">
        <v>20</v>
      </c>
      <c r="E69" s="4" t="s">
        <v>20</v>
      </c>
      <c r="F69" s="4" t="n">
        <v>5</v>
      </c>
      <c r="G69" s="4" t="s">
        <v>319</v>
      </c>
      <c r="H69" s="2" t="b">
        <f aca="false">TRUE()</f>
        <v>1</v>
      </c>
      <c r="I69" s="4" t="s">
        <v>23</v>
      </c>
      <c r="J69" s="4" t="s">
        <v>23</v>
      </c>
      <c r="K69" s="2" t="b">
        <f aca="false">TRUE()</f>
        <v>1</v>
      </c>
      <c r="L69" s="2" t="b">
        <f aca="false">FALSE()</f>
        <v>0</v>
      </c>
      <c r="M69" s="2" t="b">
        <f aca="false">FALSE()</f>
        <v>0</v>
      </c>
      <c r="N69" s="2" t="b">
        <f aca="false">FALSE()</f>
        <v>0</v>
      </c>
    </row>
    <row r="70" customFormat="false" ht="15" hidden="false" customHeight="false" outlineLevel="0" collapsed="false">
      <c r="A70" s="4" t="s">
        <v>320</v>
      </c>
      <c r="B70" s="4" t="s">
        <v>321</v>
      </c>
      <c r="C70" s="4" t="s">
        <v>322</v>
      </c>
      <c r="D70" s="4" t="s">
        <v>20</v>
      </c>
      <c r="E70" s="4" t="s">
        <v>20</v>
      </c>
      <c r="F70" s="4" t="n">
        <v>5</v>
      </c>
      <c r="G70" s="4" t="s">
        <v>323</v>
      </c>
      <c r="H70" s="2" t="b">
        <f aca="false">TRUE()</f>
        <v>1</v>
      </c>
      <c r="I70" s="4" t="s">
        <v>23</v>
      </c>
      <c r="J70" s="4" t="s">
        <v>23</v>
      </c>
      <c r="K70" s="2" t="b">
        <f aca="false">TRUE()</f>
        <v>1</v>
      </c>
      <c r="L70" s="2" t="b">
        <f aca="false">FALSE()</f>
        <v>0</v>
      </c>
      <c r="M70" s="2" t="b">
        <f aca="false">FALSE()</f>
        <v>0</v>
      </c>
      <c r="N70" s="2" t="b">
        <f aca="false">FALSE()</f>
        <v>0</v>
      </c>
    </row>
    <row r="71" customFormat="false" ht="15" hidden="false" customHeight="false" outlineLevel="0" collapsed="false">
      <c r="A71" s="4" t="s">
        <v>324</v>
      </c>
      <c r="B71" s="4" t="s">
        <v>325</v>
      </c>
      <c r="C71" s="4" t="s">
        <v>326</v>
      </c>
      <c r="D71" s="4" t="s">
        <v>19</v>
      </c>
      <c r="E71" s="4" t="s">
        <v>19</v>
      </c>
      <c r="F71" s="4" t="n">
        <v>5</v>
      </c>
      <c r="G71" s="4" t="s">
        <v>327</v>
      </c>
      <c r="H71" s="2" t="b">
        <f aca="false">TRUE()</f>
        <v>1</v>
      </c>
      <c r="I71" s="4" t="s">
        <v>40</v>
      </c>
      <c r="J71" s="4" t="s">
        <v>40</v>
      </c>
      <c r="K71" s="2" t="b">
        <f aca="false">TRUE()</f>
        <v>1</v>
      </c>
      <c r="L71" s="2" t="b">
        <f aca="false">TRUE()</f>
        <v>1</v>
      </c>
      <c r="M71" s="2" t="b">
        <f aca="false">FALSE()</f>
        <v>0</v>
      </c>
      <c r="N71" s="2" t="b">
        <f aca="false">FALSE()</f>
        <v>0</v>
      </c>
    </row>
    <row r="72" customFormat="false" ht="15" hidden="false" customHeight="false" outlineLevel="0" collapsed="false">
      <c r="A72" s="4" t="s">
        <v>328</v>
      </c>
      <c r="B72" s="4" t="s">
        <v>329</v>
      </c>
      <c r="C72" s="4" t="s">
        <v>330</v>
      </c>
      <c r="D72" s="4" t="s">
        <v>19</v>
      </c>
      <c r="E72" s="4" t="s">
        <v>19</v>
      </c>
      <c r="F72" s="4" t="n">
        <v>4</v>
      </c>
      <c r="G72" s="4" t="s">
        <v>331</v>
      </c>
      <c r="H72" s="2" t="b">
        <f aca="false">TRUE()</f>
        <v>1</v>
      </c>
      <c r="I72" s="4" t="s">
        <v>79</v>
      </c>
      <c r="J72" s="4" t="s">
        <v>79</v>
      </c>
      <c r="K72" s="2" t="b">
        <f aca="false">TRUE()</f>
        <v>1</v>
      </c>
      <c r="L72" s="2" t="b">
        <f aca="false">FALSE()</f>
        <v>0</v>
      </c>
      <c r="M72" s="2" t="b">
        <f aca="false">TRUE()</f>
        <v>1</v>
      </c>
      <c r="N72" s="2" t="b">
        <f aca="false">FALSE()</f>
        <v>0</v>
      </c>
    </row>
    <row r="73" customFormat="false" ht="15" hidden="false" customHeight="false" outlineLevel="0" collapsed="false">
      <c r="A73" s="4" t="s">
        <v>332</v>
      </c>
      <c r="B73" s="4" t="s">
        <v>333</v>
      </c>
      <c r="C73" s="4" t="s">
        <v>334</v>
      </c>
      <c r="D73" s="4" t="s">
        <v>19</v>
      </c>
      <c r="E73" s="4" t="s">
        <v>19</v>
      </c>
      <c r="F73" s="4" t="n">
        <v>4</v>
      </c>
      <c r="G73" s="4" t="s">
        <v>335</v>
      </c>
      <c r="H73" s="2" t="b">
        <f aca="false">TRUE()</f>
        <v>1</v>
      </c>
      <c r="I73" s="4" t="s">
        <v>40</v>
      </c>
      <c r="J73" s="4" t="s">
        <v>40</v>
      </c>
      <c r="K73" s="2" t="b">
        <f aca="false">TRUE()</f>
        <v>1</v>
      </c>
      <c r="L73" s="2" t="b">
        <f aca="false">TRUE()</f>
        <v>1</v>
      </c>
      <c r="M73" s="2" t="b">
        <f aca="false">FALSE()</f>
        <v>0</v>
      </c>
      <c r="N73" s="2" t="b">
        <f aca="false">FALSE()</f>
        <v>0</v>
      </c>
    </row>
    <row r="74" customFormat="false" ht="23.3" hidden="false" customHeight="false" outlineLevel="0" collapsed="false">
      <c r="A74" s="4" t="s">
        <v>336</v>
      </c>
      <c r="B74" s="4" t="s">
        <v>337</v>
      </c>
      <c r="C74" s="4" t="s">
        <v>338</v>
      </c>
      <c r="D74" s="4" t="s">
        <v>19</v>
      </c>
      <c r="E74" s="4" t="s">
        <v>20</v>
      </c>
      <c r="F74" s="4" t="n">
        <v>5</v>
      </c>
      <c r="G74" s="4" t="s">
        <v>339</v>
      </c>
      <c r="H74" s="6" t="b">
        <f aca="false">FALSE()</f>
        <v>0</v>
      </c>
      <c r="I74" s="4" t="s">
        <v>40</v>
      </c>
      <c r="J74" s="4" t="s">
        <v>23</v>
      </c>
      <c r="K74" s="7" t="b">
        <f aca="false">FALSE()</f>
        <v>0</v>
      </c>
      <c r="L74" s="2" t="b">
        <f aca="false">FALSE()</f>
        <v>0</v>
      </c>
      <c r="M74" s="2" t="b">
        <f aca="false">FALSE()</f>
        <v>0</v>
      </c>
      <c r="N74" s="2" t="b">
        <f aca="false">FALSE()</f>
        <v>0</v>
      </c>
      <c r="O74" s="3" t="s">
        <v>340</v>
      </c>
    </row>
    <row r="75" customFormat="false" ht="15" hidden="false" customHeight="false" outlineLevel="0" collapsed="false">
      <c r="A75" s="4" t="s">
        <v>341</v>
      </c>
      <c r="B75" s="4" t="s">
        <v>342</v>
      </c>
      <c r="C75" s="4" t="s">
        <v>343</v>
      </c>
      <c r="D75" s="4" t="s">
        <v>20</v>
      </c>
      <c r="E75" s="4" t="s">
        <v>20</v>
      </c>
      <c r="F75" s="4" t="n">
        <v>5</v>
      </c>
      <c r="G75" s="4" t="s">
        <v>344</v>
      </c>
      <c r="H75" s="2" t="b">
        <f aca="false">TRUE()</f>
        <v>1</v>
      </c>
      <c r="I75" s="4" t="s">
        <v>23</v>
      </c>
      <c r="J75" s="4" t="s">
        <v>23</v>
      </c>
      <c r="K75" s="2" t="b">
        <f aca="false">TRUE()</f>
        <v>1</v>
      </c>
      <c r="L75" s="2" t="b">
        <f aca="false">FALSE()</f>
        <v>0</v>
      </c>
      <c r="M75" s="2" t="b">
        <f aca="false">FALSE()</f>
        <v>0</v>
      </c>
      <c r="N75" s="2" t="b">
        <f aca="false">FALSE()</f>
        <v>0</v>
      </c>
    </row>
    <row r="76" customFormat="false" ht="15" hidden="false" customHeight="false" outlineLevel="0" collapsed="false">
      <c r="A76" s="4" t="s">
        <v>345</v>
      </c>
      <c r="B76" s="4" t="s">
        <v>346</v>
      </c>
      <c r="C76" s="4" t="s">
        <v>347</v>
      </c>
      <c r="D76" s="4" t="s">
        <v>19</v>
      </c>
      <c r="E76" s="4" t="s">
        <v>19</v>
      </c>
      <c r="F76" s="4" t="n">
        <v>5</v>
      </c>
      <c r="G76" s="4" t="s">
        <v>348</v>
      </c>
      <c r="H76" s="2" t="b">
        <f aca="false">TRUE()</f>
        <v>1</v>
      </c>
      <c r="I76" s="4" t="s">
        <v>40</v>
      </c>
      <c r="J76" s="4" t="s">
        <v>40</v>
      </c>
      <c r="K76" s="2" t="b">
        <f aca="false">TRUE()</f>
        <v>1</v>
      </c>
      <c r="L76" s="2" t="b">
        <f aca="false">TRUE()</f>
        <v>1</v>
      </c>
      <c r="M76" s="2" t="b">
        <f aca="false">FALSE()</f>
        <v>0</v>
      </c>
      <c r="N76" s="2" t="b">
        <f aca="false">FALSE()</f>
        <v>0</v>
      </c>
    </row>
    <row r="77" customFormat="false" ht="15" hidden="false" customHeight="false" outlineLevel="0" collapsed="false">
      <c r="A77" s="4" t="s">
        <v>349</v>
      </c>
      <c r="B77" s="4" t="s">
        <v>350</v>
      </c>
      <c r="C77" s="4" t="s">
        <v>351</v>
      </c>
      <c r="D77" s="4" t="s">
        <v>20</v>
      </c>
      <c r="E77" s="4" t="s">
        <v>20</v>
      </c>
      <c r="F77" s="4" t="n">
        <v>5</v>
      </c>
      <c r="G77" s="4" t="s">
        <v>352</v>
      </c>
      <c r="H77" s="2" t="b">
        <f aca="false">TRUE()</f>
        <v>1</v>
      </c>
      <c r="I77" s="4" t="s">
        <v>23</v>
      </c>
      <c r="J77" s="4" t="s">
        <v>23</v>
      </c>
      <c r="K77" s="2" t="b">
        <f aca="false">TRUE()</f>
        <v>1</v>
      </c>
      <c r="L77" s="2" t="b">
        <f aca="false">FALSE()</f>
        <v>0</v>
      </c>
      <c r="M77" s="2" t="b">
        <f aca="false">FALSE()</f>
        <v>0</v>
      </c>
      <c r="N77" s="2" t="b">
        <f aca="false">FALSE()</f>
        <v>0</v>
      </c>
    </row>
    <row r="78" customFormat="false" ht="45.1" hidden="false" customHeight="false" outlineLevel="0" collapsed="false">
      <c r="A78" s="4" t="s">
        <v>353</v>
      </c>
      <c r="B78" s="4" t="s">
        <v>354</v>
      </c>
      <c r="C78" s="5" t="s">
        <v>355</v>
      </c>
      <c r="D78" s="4" t="s">
        <v>20</v>
      </c>
      <c r="E78" s="4" t="s">
        <v>20</v>
      </c>
      <c r="F78" s="4" t="n">
        <v>5</v>
      </c>
      <c r="G78" s="4" t="s">
        <v>356</v>
      </c>
      <c r="H78" s="2" t="b">
        <f aca="false">TRUE()</f>
        <v>1</v>
      </c>
      <c r="I78" s="4" t="s">
        <v>23</v>
      </c>
      <c r="J78" s="4" t="s">
        <v>23</v>
      </c>
      <c r="K78" s="2" t="b">
        <f aca="false">TRUE()</f>
        <v>1</v>
      </c>
      <c r="L78" s="2" t="b">
        <f aca="false">FALSE()</f>
        <v>0</v>
      </c>
      <c r="M78" s="2" t="b">
        <f aca="false">FALSE()</f>
        <v>0</v>
      </c>
      <c r="N78" s="2" t="b">
        <f aca="false">FALSE()</f>
        <v>0</v>
      </c>
    </row>
    <row r="79" customFormat="false" ht="15" hidden="false" customHeight="false" outlineLevel="0" collapsed="false">
      <c r="A79" s="4" t="s">
        <v>357</v>
      </c>
      <c r="B79" s="4" t="s">
        <v>358</v>
      </c>
      <c r="C79" s="4" t="s">
        <v>359</v>
      </c>
      <c r="D79" s="4" t="s">
        <v>19</v>
      </c>
      <c r="E79" s="4" t="s">
        <v>19</v>
      </c>
      <c r="F79" s="4" t="n">
        <v>5</v>
      </c>
      <c r="G79" s="4" t="s">
        <v>360</v>
      </c>
      <c r="H79" s="2" t="b">
        <f aca="false">TRUE()</f>
        <v>1</v>
      </c>
      <c r="I79" s="4" t="s">
        <v>40</v>
      </c>
      <c r="J79" s="4" t="s">
        <v>40</v>
      </c>
      <c r="K79" s="2" t="b">
        <f aca="false">TRUE()</f>
        <v>1</v>
      </c>
      <c r="L79" s="2" t="b">
        <f aca="false">TRUE()</f>
        <v>1</v>
      </c>
      <c r="M79" s="2" t="b">
        <f aca="false">FALSE()</f>
        <v>0</v>
      </c>
      <c r="N79" s="2" t="b">
        <f aca="false">FALSE()</f>
        <v>0</v>
      </c>
    </row>
    <row r="80" customFormat="false" ht="15" hidden="false" customHeight="false" outlineLevel="0" collapsed="false">
      <c r="A80" s="4" t="s">
        <v>361</v>
      </c>
      <c r="B80" s="4" t="s">
        <v>362</v>
      </c>
      <c r="C80" s="4" t="s">
        <v>363</v>
      </c>
      <c r="D80" s="4" t="s">
        <v>20</v>
      </c>
      <c r="E80" s="4" t="s">
        <v>20</v>
      </c>
      <c r="F80" s="4" t="n">
        <v>5</v>
      </c>
      <c r="G80" s="4" t="s">
        <v>364</v>
      </c>
      <c r="H80" s="2" t="b">
        <f aca="false">TRUE()</f>
        <v>1</v>
      </c>
      <c r="I80" s="4" t="s">
        <v>23</v>
      </c>
      <c r="J80" s="4" t="s">
        <v>23</v>
      </c>
      <c r="K80" s="2" t="b">
        <f aca="false">TRUE()</f>
        <v>1</v>
      </c>
      <c r="L80" s="2" t="b">
        <f aca="false">FALSE()</f>
        <v>0</v>
      </c>
      <c r="M80" s="2" t="b">
        <f aca="false">FALSE()</f>
        <v>0</v>
      </c>
      <c r="N80" s="2" t="b">
        <f aca="false">FALSE()</f>
        <v>0</v>
      </c>
    </row>
    <row r="81" customFormat="false" ht="15" hidden="false" customHeight="false" outlineLevel="0" collapsed="false">
      <c r="A81" s="4" t="s">
        <v>365</v>
      </c>
      <c r="B81" s="4" t="s">
        <v>366</v>
      </c>
      <c r="C81" s="4" t="s">
        <v>367</v>
      </c>
      <c r="D81" s="4" t="s">
        <v>19</v>
      </c>
      <c r="E81" s="4" t="s">
        <v>19</v>
      </c>
      <c r="F81" s="4" t="n">
        <v>5</v>
      </c>
      <c r="G81" s="4" t="s">
        <v>368</v>
      </c>
      <c r="H81" s="2" t="b">
        <f aca="false">TRUE()</f>
        <v>1</v>
      </c>
      <c r="I81" s="4" t="s">
        <v>40</v>
      </c>
      <c r="J81" s="4" t="s">
        <v>40</v>
      </c>
      <c r="K81" s="2" t="b">
        <f aca="false">TRUE()</f>
        <v>1</v>
      </c>
      <c r="L81" s="2" t="b">
        <f aca="false">TRUE()</f>
        <v>1</v>
      </c>
      <c r="M81" s="2" t="b">
        <f aca="false">FALSE()</f>
        <v>0</v>
      </c>
      <c r="N81" s="2" t="b">
        <f aca="false">FALSE()</f>
        <v>0</v>
      </c>
    </row>
    <row r="82" customFormat="false" ht="15" hidden="false" customHeight="false" outlineLevel="0" collapsed="false">
      <c r="A82" s="4" t="s">
        <v>369</v>
      </c>
      <c r="B82" s="4" t="s">
        <v>370</v>
      </c>
      <c r="C82" s="4" t="s">
        <v>371</v>
      </c>
      <c r="D82" s="4" t="s">
        <v>19</v>
      </c>
      <c r="E82" s="4" t="s">
        <v>19</v>
      </c>
      <c r="F82" s="4" t="n">
        <v>4</v>
      </c>
      <c r="G82" s="4" t="s">
        <v>372</v>
      </c>
      <c r="H82" s="2" t="b">
        <f aca="false">TRUE()</f>
        <v>1</v>
      </c>
      <c r="I82" s="4" t="s">
        <v>40</v>
      </c>
      <c r="J82" s="4" t="s">
        <v>40</v>
      </c>
      <c r="K82" s="2" t="b">
        <f aca="false">TRUE()</f>
        <v>1</v>
      </c>
      <c r="L82" s="2" t="b">
        <f aca="false">TRUE()</f>
        <v>1</v>
      </c>
      <c r="M82" s="2" t="b">
        <f aca="false">FALSE()</f>
        <v>0</v>
      </c>
      <c r="N82" s="2" t="b">
        <f aca="false">FALSE()</f>
        <v>0</v>
      </c>
    </row>
    <row r="83" customFormat="false" ht="23.3" hidden="false" customHeight="false" outlineLevel="0" collapsed="false">
      <c r="A83" s="4" t="s">
        <v>373</v>
      </c>
      <c r="B83" s="4" t="s">
        <v>374</v>
      </c>
      <c r="C83" s="4" t="s">
        <v>375</v>
      </c>
      <c r="D83" s="4" t="s">
        <v>19</v>
      </c>
      <c r="E83" s="4" t="s">
        <v>19</v>
      </c>
      <c r="F83" s="4" t="n">
        <v>5</v>
      </c>
      <c r="G83" s="4" t="s">
        <v>376</v>
      </c>
      <c r="H83" s="2" t="b">
        <f aca="false">TRUE()</f>
        <v>1</v>
      </c>
      <c r="I83" s="4" t="s">
        <v>41</v>
      </c>
      <c r="J83" s="4" t="s">
        <v>40</v>
      </c>
      <c r="K83" s="7" t="b">
        <f aca="false">FALSE()</f>
        <v>0</v>
      </c>
      <c r="L83" s="2" t="b">
        <f aca="false">TRUE()</f>
        <v>1</v>
      </c>
      <c r="M83" s="2" t="b">
        <f aca="false">FALSE()</f>
        <v>0</v>
      </c>
      <c r="N83" s="2" t="b">
        <f aca="false">FALSE()</f>
        <v>0</v>
      </c>
      <c r="P83" s="3" t="s">
        <v>377</v>
      </c>
    </row>
    <row r="84" customFormat="false" ht="23.3" hidden="false" customHeight="false" outlineLevel="0" collapsed="false">
      <c r="A84" s="4" t="s">
        <v>378</v>
      </c>
      <c r="B84" s="4" t="s">
        <v>379</v>
      </c>
      <c r="C84" s="4" t="s">
        <v>380</v>
      </c>
      <c r="D84" s="4" t="s">
        <v>19</v>
      </c>
      <c r="E84" s="4" t="s">
        <v>20</v>
      </c>
      <c r="F84" s="4" t="n">
        <v>4</v>
      </c>
      <c r="G84" s="4" t="s">
        <v>381</v>
      </c>
      <c r="H84" s="7" t="b">
        <f aca="false">FALSE()</f>
        <v>0</v>
      </c>
      <c r="I84" s="4" t="s">
        <v>41</v>
      </c>
      <c r="J84" s="4" t="s">
        <v>23</v>
      </c>
      <c r="K84" s="7" t="b">
        <f aca="false">FALSE()</f>
        <v>0</v>
      </c>
      <c r="L84" s="2" t="b">
        <f aca="false">FALSE()</f>
        <v>0</v>
      </c>
      <c r="M84" s="2" t="b">
        <f aca="false">FALSE()</f>
        <v>0</v>
      </c>
      <c r="N84" s="2" t="b">
        <f aca="false">FALSE()</f>
        <v>0</v>
      </c>
      <c r="O84" s="3" t="s">
        <v>382</v>
      </c>
    </row>
    <row r="85" customFormat="false" ht="56" hidden="false" customHeight="false" outlineLevel="0" collapsed="false">
      <c r="A85" s="4" t="s">
        <v>383</v>
      </c>
      <c r="B85" s="4" t="s">
        <v>384</v>
      </c>
      <c r="C85" s="5" t="s">
        <v>385</v>
      </c>
      <c r="D85" s="4" t="s">
        <v>20</v>
      </c>
      <c r="E85" s="4" t="s">
        <v>20</v>
      </c>
      <c r="F85" s="4" t="n">
        <v>5</v>
      </c>
      <c r="G85" s="4" t="s">
        <v>386</v>
      </c>
      <c r="H85" s="2" t="b">
        <f aca="false">TRUE()</f>
        <v>1</v>
      </c>
      <c r="I85" s="4" t="s">
        <v>23</v>
      </c>
      <c r="J85" s="4" t="s">
        <v>23</v>
      </c>
      <c r="K85" s="2" t="b">
        <f aca="false">TRUE()</f>
        <v>1</v>
      </c>
      <c r="L85" s="2" t="b">
        <f aca="false">FALSE()</f>
        <v>0</v>
      </c>
      <c r="M85" s="2" t="b">
        <f aca="false">FALSE()</f>
        <v>0</v>
      </c>
      <c r="N85" s="2" t="b">
        <f aca="false">FALSE()</f>
        <v>0</v>
      </c>
    </row>
    <row r="86" customFormat="false" ht="15" hidden="false" customHeight="false" outlineLevel="0" collapsed="false">
      <c r="A86" s="4" t="s">
        <v>387</v>
      </c>
      <c r="B86" s="4" t="s">
        <v>388</v>
      </c>
      <c r="C86" s="4" t="s">
        <v>389</v>
      </c>
      <c r="D86" s="4" t="s">
        <v>19</v>
      </c>
      <c r="E86" s="4" t="s">
        <v>19</v>
      </c>
      <c r="F86" s="4" t="n">
        <v>5</v>
      </c>
      <c r="G86" s="4" t="s">
        <v>390</v>
      </c>
      <c r="H86" s="2" t="b">
        <f aca="false">TRUE()</f>
        <v>1</v>
      </c>
      <c r="I86" s="4" t="s">
        <v>79</v>
      </c>
      <c r="J86" s="4" t="s">
        <v>79</v>
      </c>
      <c r="K86" s="2" t="b">
        <f aca="false">TRUE()</f>
        <v>1</v>
      </c>
      <c r="L86" s="2" t="b">
        <f aca="false">FALSE()</f>
        <v>0</v>
      </c>
      <c r="M86" s="2" t="b">
        <f aca="false">TRUE()</f>
        <v>1</v>
      </c>
      <c r="N86" s="2" t="b">
        <f aca="false">FALSE()</f>
        <v>0</v>
      </c>
    </row>
    <row r="87" customFormat="false" ht="15" hidden="false" customHeight="false" outlineLevel="0" collapsed="false">
      <c r="A87" s="4" t="s">
        <v>391</v>
      </c>
      <c r="B87" s="4" t="s">
        <v>392</v>
      </c>
      <c r="C87" s="4" t="s">
        <v>393</v>
      </c>
      <c r="D87" s="4" t="s">
        <v>20</v>
      </c>
      <c r="E87" s="4" t="s">
        <v>20</v>
      </c>
      <c r="F87" s="4" t="n">
        <v>5</v>
      </c>
      <c r="G87" s="4" t="s">
        <v>394</v>
      </c>
      <c r="H87" s="2" t="b">
        <f aca="false">TRUE()</f>
        <v>1</v>
      </c>
      <c r="I87" s="4" t="s">
        <v>23</v>
      </c>
      <c r="J87" s="4" t="s">
        <v>23</v>
      </c>
      <c r="K87" s="2" t="b">
        <f aca="false">TRUE()</f>
        <v>1</v>
      </c>
      <c r="L87" s="2" t="b">
        <f aca="false">FALSE()</f>
        <v>0</v>
      </c>
      <c r="M87" s="2" t="b">
        <f aca="false">FALSE()</f>
        <v>0</v>
      </c>
      <c r="N87" s="2" t="b">
        <f aca="false">FALSE()</f>
        <v>0</v>
      </c>
    </row>
    <row r="88" customFormat="false" ht="15" hidden="false" customHeight="false" outlineLevel="0" collapsed="false">
      <c r="A88" s="4" t="s">
        <v>395</v>
      </c>
      <c r="B88" s="4" t="s">
        <v>396</v>
      </c>
      <c r="C88" s="4" t="s">
        <v>397</v>
      </c>
      <c r="D88" s="4" t="s">
        <v>19</v>
      </c>
      <c r="E88" s="4" t="s">
        <v>19</v>
      </c>
      <c r="F88" s="4" t="n">
        <v>5</v>
      </c>
      <c r="G88" s="4" t="s">
        <v>398</v>
      </c>
      <c r="H88" s="2" t="b">
        <f aca="false">TRUE()</f>
        <v>1</v>
      </c>
      <c r="I88" s="4" t="s">
        <v>40</v>
      </c>
      <c r="J88" s="4" t="s">
        <v>40</v>
      </c>
      <c r="K88" s="2" t="b">
        <f aca="false">TRUE()</f>
        <v>1</v>
      </c>
      <c r="L88" s="2" t="b">
        <f aca="false">TRUE()</f>
        <v>1</v>
      </c>
      <c r="M88" s="2" t="b">
        <f aca="false">FALSE()</f>
        <v>0</v>
      </c>
      <c r="N88" s="2" t="b">
        <f aca="false">FALSE()</f>
        <v>0</v>
      </c>
    </row>
    <row r="89" customFormat="false" ht="15" hidden="false" customHeight="false" outlineLevel="0" collapsed="false">
      <c r="A89" s="4" t="s">
        <v>399</v>
      </c>
      <c r="B89" s="4" t="s">
        <v>400</v>
      </c>
      <c r="C89" s="4" t="s">
        <v>401</v>
      </c>
      <c r="D89" s="4" t="s">
        <v>19</v>
      </c>
      <c r="E89" s="4" t="s">
        <v>19</v>
      </c>
      <c r="F89" s="4" t="n">
        <v>5</v>
      </c>
      <c r="G89" s="4" t="s">
        <v>402</v>
      </c>
      <c r="H89" s="2" t="b">
        <f aca="false">TRUE()</f>
        <v>1</v>
      </c>
      <c r="I89" s="4" t="s">
        <v>40</v>
      </c>
      <c r="J89" s="4" t="s">
        <v>40</v>
      </c>
      <c r="K89" s="2" t="b">
        <f aca="false">TRUE()</f>
        <v>1</v>
      </c>
      <c r="L89" s="2" t="b">
        <f aca="false">TRUE()</f>
        <v>1</v>
      </c>
      <c r="M89" s="2" t="b">
        <f aca="false">FALSE()</f>
        <v>0</v>
      </c>
      <c r="N89" s="2" t="b">
        <f aca="false">FALSE()</f>
        <v>0</v>
      </c>
    </row>
    <row r="90" customFormat="false" ht="66.9" hidden="false" customHeight="false" outlineLevel="0" collapsed="false">
      <c r="A90" s="4" t="s">
        <v>403</v>
      </c>
      <c r="B90" s="4" t="s">
        <v>404</v>
      </c>
      <c r="C90" s="4" t="s">
        <v>405</v>
      </c>
      <c r="D90" s="4" t="s">
        <v>19</v>
      </c>
      <c r="E90" s="4" t="s">
        <v>20</v>
      </c>
      <c r="F90" s="4" t="n">
        <v>5</v>
      </c>
      <c r="G90" s="4" t="s">
        <v>406</v>
      </c>
      <c r="H90" s="6" t="b">
        <f aca="false">FALSE()</f>
        <v>0</v>
      </c>
      <c r="I90" s="4" t="s">
        <v>40</v>
      </c>
      <c r="J90" s="4" t="s">
        <v>23</v>
      </c>
      <c r="K90" s="7" t="b">
        <f aca="false">FALSE()</f>
        <v>0</v>
      </c>
      <c r="L90" s="2" t="b">
        <f aca="false">FALSE()</f>
        <v>0</v>
      </c>
      <c r="M90" s="2" t="b">
        <f aca="false">FALSE()</f>
        <v>0</v>
      </c>
      <c r="N90" s="2" t="b">
        <f aca="false">FALSE()</f>
        <v>0</v>
      </c>
      <c r="O90" s="3" t="s">
        <v>407</v>
      </c>
    </row>
    <row r="91" customFormat="false" ht="15" hidden="false" customHeight="false" outlineLevel="0" collapsed="false">
      <c r="A91" s="4" t="s">
        <v>408</v>
      </c>
      <c r="B91" s="4" t="s">
        <v>409</v>
      </c>
      <c r="C91" s="4" t="s">
        <v>410</v>
      </c>
      <c r="D91" s="4" t="s">
        <v>19</v>
      </c>
      <c r="E91" s="4" t="s">
        <v>19</v>
      </c>
      <c r="F91" s="4" t="n">
        <v>5</v>
      </c>
      <c r="G91" s="4" t="s">
        <v>411</v>
      </c>
      <c r="H91" s="2" t="b">
        <f aca="false">TRUE()</f>
        <v>1</v>
      </c>
      <c r="I91" s="4" t="s">
        <v>40</v>
      </c>
      <c r="J91" s="4" t="s">
        <v>40</v>
      </c>
      <c r="K91" s="2" t="b">
        <f aca="false">TRUE()</f>
        <v>1</v>
      </c>
      <c r="L91" s="2" t="b">
        <f aca="false">TRUE()</f>
        <v>1</v>
      </c>
      <c r="M91" s="2" t="b">
        <f aca="false">FALSE()</f>
        <v>0</v>
      </c>
      <c r="N91" s="2" t="b">
        <f aca="false">FALSE()</f>
        <v>0</v>
      </c>
    </row>
    <row r="92" customFormat="false" ht="23.3" hidden="false" customHeight="false" outlineLevel="0" collapsed="false">
      <c r="A92" s="4" t="s">
        <v>412</v>
      </c>
      <c r="B92" s="4" t="s">
        <v>413</v>
      </c>
      <c r="C92" s="4" t="s">
        <v>414</v>
      </c>
      <c r="D92" s="4" t="s">
        <v>19</v>
      </c>
      <c r="E92" s="4" t="s">
        <v>19</v>
      </c>
      <c r="F92" s="4" t="n">
        <v>5</v>
      </c>
      <c r="G92" s="4" t="s">
        <v>415</v>
      </c>
      <c r="H92" s="2" t="b">
        <f aca="false">TRUE()</f>
        <v>1</v>
      </c>
      <c r="I92" s="4" t="s">
        <v>79</v>
      </c>
      <c r="J92" s="4" t="s">
        <v>41</v>
      </c>
      <c r="K92" s="7" t="b">
        <f aca="false">FALSE()</f>
        <v>0</v>
      </c>
      <c r="L92" s="2" t="b">
        <f aca="false">TRUE()</f>
        <v>1</v>
      </c>
      <c r="M92" s="2" t="b">
        <f aca="false">TRUE()</f>
        <v>1</v>
      </c>
      <c r="N92" s="2" t="b">
        <f aca="false">FALSE()</f>
        <v>0</v>
      </c>
      <c r="P92" s="3" t="s">
        <v>42</v>
      </c>
    </row>
    <row r="93" customFormat="false" ht="15" hidden="false" customHeight="false" outlineLevel="0" collapsed="false">
      <c r="A93" s="4" t="s">
        <v>416</v>
      </c>
      <c r="B93" s="4" t="s">
        <v>417</v>
      </c>
      <c r="C93" s="4" t="s">
        <v>418</v>
      </c>
      <c r="D93" s="4" t="s">
        <v>20</v>
      </c>
      <c r="E93" s="4" t="s">
        <v>20</v>
      </c>
      <c r="F93" s="4" t="n">
        <v>5</v>
      </c>
      <c r="G93" s="4" t="s">
        <v>419</v>
      </c>
      <c r="H93" s="2" t="b">
        <f aca="false">TRUE()</f>
        <v>1</v>
      </c>
      <c r="I93" s="4" t="s">
        <v>23</v>
      </c>
      <c r="J93" s="4" t="s">
        <v>23</v>
      </c>
      <c r="K93" s="2" t="b">
        <f aca="false">TRUE()</f>
        <v>1</v>
      </c>
      <c r="L93" s="2" t="b">
        <f aca="false">FALSE()</f>
        <v>0</v>
      </c>
      <c r="M93" s="2" t="b">
        <f aca="false">FALSE()</f>
        <v>0</v>
      </c>
      <c r="N93" s="2" t="b">
        <f aca="false">FALSE()</f>
        <v>0</v>
      </c>
    </row>
    <row r="94" customFormat="false" ht="66.9" hidden="false" customHeight="false" outlineLevel="0" collapsed="false">
      <c r="A94" s="4" t="s">
        <v>420</v>
      </c>
      <c r="B94" s="4" t="s">
        <v>421</v>
      </c>
      <c r="C94" s="4" t="s">
        <v>422</v>
      </c>
      <c r="D94" s="4" t="s">
        <v>19</v>
      </c>
      <c r="E94" s="4" t="s">
        <v>20</v>
      </c>
      <c r="F94" s="4" t="n">
        <v>2</v>
      </c>
      <c r="G94" s="4" t="s">
        <v>423</v>
      </c>
      <c r="H94" s="6" t="b">
        <f aca="false">FALSE()</f>
        <v>0</v>
      </c>
      <c r="I94" s="4" t="s">
        <v>79</v>
      </c>
      <c r="J94" s="4" t="s">
        <v>23</v>
      </c>
      <c r="K94" s="7" t="b">
        <f aca="false">FALSE()</f>
        <v>0</v>
      </c>
      <c r="L94" s="2" t="b">
        <f aca="false">FALSE()</f>
        <v>0</v>
      </c>
      <c r="M94" s="2" t="b">
        <f aca="false">FALSE()</f>
        <v>0</v>
      </c>
      <c r="N94" s="2" t="b">
        <f aca="false">FALSE()</f>
        <v>0</v>
      </c>
      <c r="O94" s="3" t="s">
        <v>424</v>
      </c>
    </row>
    <row r="95" customFormat="false" ht="15" hidden="false" customHeight="false" outlineLevel="0" collapsed="false">
      <c r="A95" s="4" t="s">
        <v>425</v>
      </c>
      <c r="B95" s="4" t="s">
        <v>426</v>
      </c>
      <c r="C95" s="4" t="s">
        <v>427</v>
      </c>
      <c r="D95" s="4" t="s">
        <v>19</v>
      </c>
      <c r="E95" s="4" t="s">
        <v>19</v>
      </c>
      <c r="F95" s="4" t="n">
        <v>4</v>
      </c>
      <c r="G95" s="4" t="s">
        <v>428</v>
      </c>
      <c r="H95" s="2" t="b">
        <f aca="false">TRUE()</f>
        <v>1</v>
      </c>
      <c r="I95" s="4" t="s">
        <v>41</v>
      </c>
      <c r="J95" s="4" t="s">
        <v>40</v>
      </c>
      <c r="K95" s="7" t="b">
        <f aca="false">FALSE()</f>
        <v>0</v>
      </c>
      <c r="L95" s="2" t="b">
        <f aca="false">TRUE()</f>
        <v>1</v>
      </c>
      <c r="M95" s="2" t="b">
        <f aca="false">FALSE()</f>
        <v>0</v>
      </c>
      <c r="N95" s="2" t="b">
        <f aca="false">FALSE()</f>
        <v>0</v>
      </c>
    </row>
    <row r="96" customFormat="false" ht="15" hidden="false" customHeight="false" outlineLevel="0" collapsed="false">
      <c r="A96" s="4" t="s">
        <v>429</v>
      </c>
      <c r="B96" s="4" t="s">
        <v>430</v>
      </c>
      <c r="C96" s="4" t="s">
        <v>431</v>
      </c>
      <c r="D96" s="4" t="s">
        <v>20</v>
      </c>
      <c r="E96" s="4" t="s">
        <v>20</v>
      </c>
      <c r="F96" s="4" t="n">
        <v>5</v>
      </c>
      <c r="G96" s="4" t="s">
        <v>432</v>
      </c>
      <c r="H96" s="2" t="b">
        <f aca="false">TRUE()</f>
        <v>1</v>
      </c>
      <c r="I96" s="4" t="s">
        <v>23</v>
      </c>
      <c r="J96" s="4" t="s">
        <v>23</v>
      </c>
      <c r="K96" s="2" t="b">
        <f aca="false">TRUE()</f>
        <v>1</v>
      </c>
      <c r="L96" s="2" t="b">
        <f aca="false">FALSE()</f>
        <v>0</v>
      </c>
      <c r="M96" s="2" t="b">
        <f aca="false">FALSE()</f>
        <v>0</v>
      </c>
      <c r="N96" s="2" t="b">
        <f aca="false">FALSE()</f>
        <v>0</v>
      </c>
    </row>
    <row r="97" customFormat="false" ht="15" hidden="false" customHeight="false" outlineLevel="0" collapsed="false">
      <c r="A97" s="4" t="s">
        <v>433</v>
      </c>
      <c r="B97" s="4" t="s">
        <v>434</v>
      </c>
      <c r="C97" s="4" t="s">
        <v>435</v>
      </c>
      <c r="D97" s="4" t="s">
        <v>19</v>
      </c>
      <c r="E97" s="4" t="s">
        <v>19</v>
      </c>
      <c r="F97" s="4" t="n">
        <v>5</v>
      </c>
      <c r="G97" s="4" t="s">
        <v>436</v>
      </c>
      <c r="H97" s="2" t="b">
        <f aca="false">TRUE()</f>
        <v>1</v>
      </c>
      <c r="I97" s="4" t="s">
        <v>40</v>
      </c>
      <c r="J97" s="4" t="s">
        <v>40</v>
      </c>
      <c r="K97" s="2" t="b">
        <f aca="false">TRUE()</f>
        <v>1</v>
      </c>
      <c r="L97" s="2" t="b">
        <f aca="false">TRUE()</f>
        <v>1</v>
      </c>
      <c r="M97" s="2" t="b">
        <f aca="false">FALSE()</f>
        <v>0</v>
      </c>
      <c r="N97" s="2" t="b">
        <f aca="false">FALSE()</f>
        <v>0</v>
      </c>
    </row>
    <row r="98" customFormat="false" ht="15" hidden="false" customHeight="false" outlineLevel="0" collapsed="false">
      <c r="A98" s="4" t="s">
        <v>437</v>
      </c>
      <c r="B98" s="4" t="s">
        <v>438</v>
      </c>
      <c r="C98" s="4" t="s">
        <v>439</v>
      </c>
      <c r="D98" s="4" t="s">
        <v>20</v>
      </c>
      <c r="E98" s="4" t="s">
        <v>20</v>
      </c>
      <c r="F98" s="4" t="n">
        <v>5</v>
      </c>
      <c r="G98" s="4" t="s">
        <v>440</v>
      </c>
      <c r="H98" s="2" t="b">
        <f aca="false">TRUE()</f>
        <v>1</v>
      </c>
      <c r="I98" s="4" t="s">
        <v>23</v>
      </c>
      <c r="J98" s="4" t="s">
        <v>23</v>
      </c>
      <c r="K98" s="2" t="b">
        <f aca="false">TRUE()</f>
        <v>1</v>
      </c>
      <c r="L98" s="2" t="b">
        <f aca="false">FALSE()</f>
        <v>0</v>
      </c>
      <c r="M98" s="2" t="b">
        <f aca="false">FALSE()</f>
        <v>0</v>
      </c>
      <c r="N98" s="2" t="b">
        <f aca="false">FALSE()</f>
        <v>0</v>
      </c>
    </row>
    <row r="99" customFormat="false" ht="15" hidden="false" customHeight="false" outlineLevel="0" collapsed="false">
      <c r="A99" s="4" t="s">
        <v>441</v>
      </c>
      <c r="B99" s="4" t="s">
        <v>442</v>
      </c>
      <c r="C99" s="4" t="s">
        <v>443</v>
      </c>
      <c r="D99" s="4" t="s">
        <v>19</v>
      </c>
      <c r="E99" s="4" t="s">
        <v>19</v>
      </c>
      <c r="F99" s="4" t="n">
        <v>5</v>
      </c>
      <c r="G99" s="4" t="s">
        <v>444</v>
      </c>
      <c r="H99" s="2" t="b">
        <f aca="false">TRUE()</f>
        <v>1</v>
      </c>
      <c r="I99" s="4" t="s">
        <v>79</v>
      </c>
      <c r="J99" s="4" t="s">
        <v>79</v>
      </c>
      <c r="K99" s="2" t="b">
        <f aca="false">TRUE()</f>
        <v>1</v>
      </c>
      <c r="L99" s="2" t="b">
        <f aca="false">FALSE()</f>
        <v>0</v>
      </c>
      <c r="M99" s="2" t="b">
        <f aca="false">TRUE()</f>
        <v>1</v>
      </c>
      <c r="N99" s="2" t="b">
        <f aca="false">FALSE()</f>
        <v>0</v>
      </c>
    </row>
    <row r="100" customFormat="false" ht="56" hidden="false" customHeight="false" outlineLevel="0" collapsed="false">
      <c r="A100" s="4" t="s">
        <v>445</v>
      </c>
      <c r="B100" s="4" t="s">
        <v>446</v>
      </c>
      <c r="C100" s="5" t="s">
        <v>447</v>
      </c>
      <c r="D100" s="4" t="s">
        <v>19</v>
      </c>
      <c r="E100" s="4" t="s">
        <v>20</v>
      </c>
      <c r="F100" s="4" t="n">
        <v>5</v>
      </c>
      <c r="G100" s="4" t="s">
        <v>448</v>
      </c>
      <c r="H100" s="6" t="b">
        <f aca="false">FALSE()</f>
        <v>0</v>
      </c>
      <c r="I100" s="4" t="s">
        <v>40</v>
      </c>
      <c r="J100" s="4" t="s">
        <v>23</v>
      </c>
      <c r="K100" s="7" t="b">
        <f aca="false">FALSE()</f>
        <v>0</v>
      </c>
      <c r="L100" s="2" t="b">
        <f aca="false">FALSE()</f>
        <v>0</v>
      </c>
      <c r="M100" s="2" t="b">
        <f aca="false">FALSE()</f>
        <v>0</v>
      </c>
      <c r="N100" s="2" t="b">
        <f aca="false">FALSE()</f>
        <v>0</v>
      </c>
      <c r="O100" s="3" t="s">
        <v>449</v>
      </c>
    </row>
    <row r="101" customFormat="false" ht="15" hidden="false" customHeight="false" outlineLevel="0" collapsed="false">
      <c r="A101" s="4" t="s">
        <v>450</v>
      </c>
      <c r="B101" s="4" t="s">
        <v>451</v>
      </c>
      <c r="C101" s="4" t="s">
        <v>452</v>
      </c>
      <c r="D101" s="4" t="s">
        <v>19</v>
      </c>
      <c r="E101" s="4" t="s">
        <v>19</v>
      </c>
      <c r="F101" s="4" t="n">
        <v>5</v>
      </c>
      <c r="G101" s="4" t="s">
        <v>453</v>
      </c>
      <c r="H101" s="2" t="b">
        <f aca="false">TRUE()</f>
        <v>1</v>
      </c>
      <c r="I101" s="4" t="s">
        <v>22</v>
      </c>
      <c r="J101" s="4" t="s">
        <v>22</v>
      </c>
      <c r="K101" s="2" t="b">
        <f aca="false">TRUE()</f>
        <v>1</v>
      </c>
      <c r="L101" s="2" t="b">
        <f aca="false">FALSE()</f>
        <v>0</v>
      </c>
      <c r="M101" s="2" t="b">
        <f aca="false">FALSE()</f>
        <v>0</v>
      </c>
      <c r="N101" s="2" t="b">
        <f aca="false">TRUE()</f>
        <v>1</v>
      </c>
    </row>
    <row r="102" customFormat="false" ht="15" hidden="false" customHeight="false" outlineLevel="0" collapsed="false">
      <c r="A102" s="4" t="s">
        <v>454</v>
      </c>
      <c r="B102" s="4" t="s">
        <v>455</v>
      </c>
      <c r="C102" s="4" t="s">
        <v>456</v>
      </c>
      <c r="D102" s="4" t="s">
        <v>19</v>
      </c>
      <c r="E102" s="4" t="s">
        <v>19</v>
      </c>
      <c r="F102" s="4" t="n">
        <v>5</v>
      </c>
      <c r="G102" s="4" t="s">
        <v>457</v>
      </c>
      <c r="H102" s="2" t="b">
        <f aca="false">TRUE()</f>
        <v>1</v>
      </c>
      <c r="I102" s="4" t="s">
        <v>22</v>
      </c>
      <c r="J102" s="4" t="s">
        <v>22</v>
      </c>
      <c r="K102" s="2" t="b">
        <f aca="false">TRUE()</f>
        <v>1</v>
      </c>
      <c r="L102" s="2" t="b">
        <f aca="false">FALSE()</f>
        <v>0</v>
      </c>
      <c r="M102" s="2" t="b">
        <f aca="false">FALSE()</f>
        <v>0</v>
      </c>
      <c r="N102" s="2" t="b">
        <f aca="false">TRUE()</f>
        <v>1</v>
      </c>
    </row>
    <row r="103" customFormat="false" ht="15" hidden="false" customHeight="false" outlineLevel="0" collapsed="false">
      <c r="A103" s="4" t="s">
        <v>458</v>
      </c>
      <c r="B103" s="4" t="s">
        <v>459</v>
      </c>
      <c r="C103" s="4" t="s">
        <v>460</v>
      </c>
      <c r="D103" s="4" t="s">
        <v>19</v>
      </c>
      <c r="E103" s="4" t="s">
        <v>19</v>
      </c>
      <c r="F103" s="4" t="n">
        <v>4</v>
      </c>
      <c r="G103" s="4" t="s">
        <v>461</v>
      </c>
      <c r="H103" s="2" t="b">
        <f aca="false">TRUE()</f>
        <v>1</v>
      </c>
      <c r="I103" s="4" t="s">
        <v>22</v>
      </c>
      <c r="J103" s="4" t="s">
        <v>22</v>
      </c>
      <c r="K103" s="2" t="b">
        <f aca="false">TRUE()</f>
        <v>1</v>
      </c>
      <c r="L103" s="2" t="b">
        <f aca="false">FALSE()</f>
        <v>0</v>
      </c>
      <c r="M103" s="2" t="b">
        <f aca="false">FALSE()</f>
        <v>0</v>
      </c>
      <c r="N103" s="2" t="b">
        <f aca="false">TRUE()</f>
        <v>1</v>
      </c>
    </row>
    <row r="104" customFormat="false" ht="15" hidden="false" customHeight="false" outlineLevel="0" collapsed="false">
      <c r="A104" s="4" t="s">
        <v>462</v>
      </c>
      <c r="B104" s="4" t="s">
        <v>463</v>
      </c>
      <c r="C104" s="4" t="s">
        <v>464</v>
      </c>
      <c r="D104" s="4" t="s">
        <v>19</v>
      </c>
      <c r="E104" s="4" t="s">
        <v>19</v>
      </c>
      <c r="F104" s="4" t="n">
        <v>5</v>
      </c>
      <c r="G104" s="4" t="s">
        <v>465</v>
      </c>
      <c r="H104" s="2" t="b">
        <f aca="false">TRUE()</f>
        <v>1</v>
      </c>
      <c r="I104" s="4" t="s">
        <v>40</v>
      </c>
      <c r="J104" s="4" t="s">
        <v>40</v>
      </c>
      <c r="K104" s="2" t="b">
        <f aca="false">TRUE()</f>
        <v>1</v>
      </c>
      <c r="L104" s="2" t="b">
        <f aca="false">TRUE()</f>
        <v>1</v>
      </c>
      <c r="M104" s="2" t="b">
        <f aca="false">FALSE()</f>
        <v>0</v>
      </c>
      <c r="N104" s="2" t="b">
        <f aca="false">FALSE()</f>
        <v>0</v>
      </c>
    </row>
    <row r="105" customFormat="false" ht="15" hidden="false" customHeight="false" outlineLevel="0" collapsed="false">
      <c r="A105" s="4" t="s">
        <v>466</v>
      </c>
      <c r="B105" s="4" t="s">
        <v>467</v>
      </c>
      <c r="C105" s="4" t="s">
        <v>468</v>
      </c>
      <c r="D105" s="4" t="s">
        <v>19</v>
      </c>
      <c r="E105" s="4" t="s">
        <v>19</v>
      </c>
      <c r="F105" s="4" t="n">
        <v>5</v>
      </c>
      <c r="G105" s="4" t="s">
        <v>469</v>
      </c>
      <c r="H105" s="2" t="b">
        <f aca="false">TRUE()</f>
        <v>1</v>
      </c>
      <c r="I105" s="4" t="s">
        <v>79</v>
      </c>
      <c r="J105" s="4" t="s">
        <v>79</v>
      </c>
      <c r="K105" s="2" t="b">
        <f aca="false">TRUE()</f>
        <v>1</v>
      </c>
      <c r="L105" s="2" t="b">
        <f aca="false">FALSE()</f>
        <v>0</v>
      </c>
      <c r="M105" s="2" t="b">
        <f aca="false">TRUE()</f>
        <v>1</v>
      </c>
      <c r="N105" s="2" t="b">
        <f aca="false">FALSE()</f>
        <v>0</v>
      </c>
    </row>
    <row r="106" customFormat="false" ht="66.9" hidden="false" customHeight="false" outlineLevel="0" collapsed="false">
      <c r="A106" s="4" t="s">
        <v>470</v>
      </c>
      <c r="B106" s="4" t="s">
        <v>471</v>
      </c>
      <c r="C106" s="5" t="s">
        <v>472</v>
      </c>
      <c r="D106" s="4" t="s">
        <v>20</v>
      </c>
      <c r="E106" s="4" t="s">
        <v>20</v>
      </c>
      <c r="F106" s="4" t="n">
        <v>5</v>
      </c>
      <c r="G106" s="4" t="s">
        <v>473</v>
      </c>
      <c r="H106" s="2" t="b">
        <f aca="false">TRUE()</f>
        <v>1</v>
      </c>
      <c r="I106" s="4" t="s">
        <v>23</v>
      </c>
      <c r="J106" s="4" t="s">
        <v>23</v>
      </c>
      <c r="K106" s="2" t="b">
        <f aca="false">TRUE()</f>
        <v>1</v>
      </c>
      <c r="L106" s="2" t="b">
        <f aca="false">FALSE()</f>
        <v>0</v>
      </c>
      <c r="M106" s="2" t="b">
        <f aca="false">FALSE()</f>
        <v>0</v>
      </c>
      <c r="N106" s="2" t="b">
        <f aca="false">FALSE()</f>
        <v>0</v>
      </c>
    </row>
    <row r="107" customFormat="false" ht="23.3" hidden="false" customHeight="false" outlineLevel="0" collapsed="false">
      <c r="A107" s="4" t="s">
        <v>474</v>
      </c>
      <c r="B107" s="4" t="s">
        <v>475</v>
      </c>
      <c r="C107" s="4" t="s">
        <v>476</v>
      </c>
      <c r="D107" s="4" t="s">
        <v>19</v>
      </c>
      <c r="E107" s="4" t="s">
        <v>19</v>
      </c>
      <c r="F107" s="4" t="n">
        <v>5</v>
      </c>
      <c r="G107" s="4" t="s">
        <v>477</v>
      </c>
      <c r="H107" s="2" t="b">
        <f aca="false">TRUE()</f>
        <v>1</v>
      </c>
      <c r="I107" s="4" t="s">
        <v>41</v>
      </c>
      <c r="J107" s="4" t="s">
        <v>40</v>
      </c>
      <c r="K107" s="7" t="b">
        <f aca="false">FALSE()</f>
        <v>0</v>
      </c>
      <c r="L107" s="2" t="b">
        <f aca="false">TRUE()</f>
        <v>1</v>
      </c>
      <c r="M107" s="2" t="b">
        <f aca="false">FALSE()</f>
        <v>0</v>
      </c>
      <c r="N107" s="2" t="b">
        <f aca="false">FALSE()</f>
        <v>0</v>
      </c>
      <c r="P107" s="3" t="s">
        <v>377</v>
      </c>
    </row>
    <row r="108" customFormat="false" ht="15" hidden="false" customHeight="false" outlineLevel="0" collapsed="false">
      <c r="A108" s="4" t="s">
        <v>478</v>
      </c>
      <c r="B108" s="4" t="s">
        <v>479</v>
      </c>
      <c r="C108" s="4" t="s">
        <v>480</v>
      </c>
      <c r="D108" s="4" t="s">
        <v>19</v>
      </c>
      <c r="E108" s="4" t="s">
        <v>19</v>
      </c>
      <c r="F108" s="4" t="n">
        <v>5</v>
      </c>
      <c r="G108" s="4" t="s">
        <v>481</v>
      </c>
      <c r="H108" s="2" t="b">
        <f aca="false">TRUE()</f>
        <v>1</v>
      </c>
      <c r="I108" s="4" t="s">
        <v>22</v>
      </c>
      <c r="J108" s="4" t="s">
        <v>22</v>
      </c>
      <c r="K108" s="2" t="b">
        <f aca="false">TRUE()</f>
        <v>1</v>
      </c>
      <c r="L108" s="2" t="b">
        <f aca="false">FALSE()</f>
        <v>0</v>
      </c>
      <c r="M108" s="2" t="b">
        <f aca="false">FALSE()</f>
        <v>0</v>
      </c>
      <c r="N108" s="2" t="b">
        <f aca="false">TRUE()</f>
        <v>1</v>
      </c>
    </row>
    <row r="109" customFormat="false" ht="15" hidden="false" customHeight="false" outlineLevel="0" collapsed="false">
      <c r="A109" s="4" t="s">
        <v>482</v>
      </c>
      <c r="B109" s="4" t="s">
        <v>483</v>
      </c>
      <c r="C109" s="4" t="s">
        <v>484</v>
      </c>
      <c r="D109" s="4" t="s">
        <v>19</v>
      </c>
      <c r="E109" s="4" t="s">
        <v>19</v>
      </c>
      <c r="F109" s="4" t="n">
        <v>5</v>
      </c>
      <c r="G109" s="4" t="s">
        <v>485</v>
      </c>
      <c r="H109" s="2" t="b">
        <f aca="false">TRUE()</f>
        <v>1</v>
      </c>
      <c r="I109" s="4" t="s">
        <v>22</v>
      </c>
      <c r="J109" s="4" t="s">
        <v>22</v>
      </c>
      <c r="K109" s="2" t="b">
        <f aca="false">TRUE()</f>
        <v>1</v>
      </c>
      <c r="L109" s="2" t="b">
        <f aca="false">FALSE()</f>
        <v>0</v>
      </c>
      <c r="M109" s="2" t="b">
        <f aca="false">FALSE()</f>
        <v>0</v>
      </c>
      <c r="N109" s="2" t="b">
        <f aca="false">TRUE()</f>
        <v>1</v>
      </c>
    </row>
    <row r="110" customFormat="false" ht="15" hidden="false" customHeight="false" outlineLevel="0" collapsed="false">
      <c r="A110" s="4" t="s">
        <v>486</v>
      </c>
      <c r="B110" s="4" t="s">
        <v>487</v>
      </c>
      <c r="C110" s="4" t="s">
        <v>488</v>
      </c>
      <c r="D110" s="4" t="s">
        <v>19</v>
      </c>
      <c r="E110" s="4" t="s">
        <v>19</v>
      </c>
      <c r="F110" s="4" t="n">
        <v>5</v>
      </c>
      <c r="G110" s="4" t="s">
        <v>489</v>
      </c>
      <c r="H110" s="2" t="b">
        <f aca="false">TRUE()</f>
        <v>1</v>
      </c>
      <c r="I110" s="4" t="s">
        <v>40</v>
      </c>
      <c r="J110" s="4" t="s">
        <v>40</v>
      </c>
      <c r="K110" s="2" t="b">
        <f aca="false">TRUE()</f>
        <v>1</v>
      </c>
      <c r="L110" s="2" t="b">
        <f aca="false">TRUE()</f>
        <v>1</v>
      </c>
      <c r="M110" s="2" t="b">
        <f aca="false">FALSE()</f>
        <v>0</v>
      </c>
      <c r="N110" s="2" t="b">
        <f aca="false">FALSE()</f>
        <v>0</v>
      </c>
    </row>
    <row r="111" customFormat="false" ht="23.3" hidden="false" customHeight="false" outlineLevel="0" collapsed="false">
      <c r="A111" s="4" t="s">
        <v>490</v>
      </c>
      <c r="B111" s="4" t="s">
        <v>491</v>
      </c>
      <c r="C111" s="4" t="s">
        <v>492</v>
      </c>
      <c r="D111" s="4" t="s">
        <v>19</v>
      </c>
      <c r="E111" s="4" t="s">
        <v>19</v>
      </c>
      <c r="F111" s="4" t="n">
        <v>5</v>
      </c>
      <c r="G111" s="4" t="s">
        <v>493</v>
      </c>
      <c r="H111" s="2" t="b">
        <f aca="false">TRUE()</f>
        <v>1</v>
      </c>
      <c r="I111" s="4" t="s">
        <v>41</v>
      </c>
      <c r="J111" s="4" t="s">
        <v>23</v>
      </c>
      <c r="K111" s="7" t="b">
        <f aca="false">FALSE()</f>
        <v>0</v>
      </c>
      <c r="L111" s="2" t="b">
        <f aca="false">FALSE()</f>
        <v>0</v>
      </c>
      <c r="M111" s="2" t="b">
        <f aca="false">FALSE()</f>
        <v>0</v>
      </c>
      <c r="N111" s="2" t="b">
        <f aca="false">FALSE()</f>
        <v>0</v>
      </c>
      <c r="P111" s="3" t="s">
        <v>377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16" activeCellId="0" sqref="E16"/>
    </sheetView>
  </sheetViews>
  <sheetFormatPr defaultColWidth="8.34375" defaultRowHeight="15" customHeight="false" zeroHeight="false" outlineLevelRow="0" outlineLevelCol="0"/>
  <sheetData>
    <row r="1" customFormat="false" ht="15" hidden="false" customHeight="false" outlineLevel="0" collapsed="false">
      <c r="A1" s="4" t="s">
        <v>494</v>
      </c>
      <c r="B1" s="4" t="s">
        <v>495</v>
      </c>
      <c r="C1" s="4" t="s">
        <v>496</v>
      </c>
    </row>
    <row r="2" customFormat="false" ht="15" hidden="false" customHeight="false" outlineLevel="0" collapsed="false">
      <c r="A2" s="4" t="s">
        <v>497</v>
      </c>
      <c r="B2" s="4" t="s">
        <v>498</v>
      </c>
      <c r="C2" s="4" t="n">
        <v>110</v>
      </c>
    </row>
    <row r="3" customFormat="false" ht="15" hidden="false" customHeight="false" outlineLevel="0" collapsed="false">
      <c r="A3" s="4" t="s">
        <v>499</v>
      </c>
      <c r="B3" s="4" t="s">
        <v>500</v>
      </c>
      <c r="C3" s="4" t="n">
        <v>110</v>
      </c>
    </row>
    <row r="4" customFormat="false" ht="15" hidden="false" customHeight="false" outlineLevel="0" collapsed="false">
      <c r="A4" s="4" t="s">
        <v>501</v>
      </c>
      <c r="B4" s="4" t="s">
        <v>502</v>
      </c>
      <c r="C4" s="4" t="n">
        <v>53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34</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2026-06-10T17:17:27Z</dcterms:created>
  <dc:creator>openpyxl</dc:creator>
  <dc:description/>
  <dc:language>en-GB</dc:language>
  <cp:lastModifiedBy/>
  <dcterms:modified xsi:type="dcterms:W3CDTF">2026-06-11T15:35:00Z</dcterms:modified>
  <cp:revision>6</cp:revision>
  <dc:subject/>
  <dc:title/>
</cp:coreProperties>
</file>

<file path=docProps/custom.xml><?xml version="1.0" encoding="utf-8"?>
<Properties xmlns="http://schemas.openxmlformats.org/officeDocument/2006/custom-properties" xmlns:vt="http://schemas.openxmlformats.org/officeDocument/2006/docPropsVTypes"/>
</file>