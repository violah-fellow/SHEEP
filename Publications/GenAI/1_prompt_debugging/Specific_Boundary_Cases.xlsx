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docProps/custom.xml" ContentType="application/vnd.openxmlformats-officedocument.custom-properties+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styles.xml" ContentType="application/vnd.openxmlformats-officedocument.spreadsheetml.styles+xml"/>
  <Override PartName="/xl/workbook.xml" ContentType="application/vnd.openxmlformats-officedocument.spreadsheetml.sheet.main+xml"/>
  <Override PartName="/xl/theme/theme1.xml" ContentType="application/vnd.openxmlformats-officedocument.theme+xml"/>
  <Override PartName="/xl/sharedStrings.xml" ContentType="application/vnd.openxmlformats-officedocument.spreadsheetml.sharedString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6"/>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heet1" sheetId="1" state="visible" r:id="rId3"/>
    <sheet name="Notes" sheetId="2" state="visible" r:id="rId4"/>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<sst xmlns="http://schemas.openxmlformats.org/spreadsheetml/2006/main" count="124" uniqueCount="87">
  <si>
    <t xml:space="preserve">id</t>
  </si>
  <si>
    <t xml:space="preserve">title</t>
  </si>
  <si>
    <t xml:space="preserve">abstract</t>
  </si>
  <si>
    <t xml:space="preserve">scope</t>
  </si>
  <si>
    <t xml:space="preserve">scope_LLM</t>
  </si>
  <si>
    <t xml:space="preserve">confidence_LLM</t>
  </si>
  <si>
    <t xml:space="preserve">reasoning_LLM</t>
  </si>
  <si>
    <t xml:space="preserve">correct_scope</t>
  </si>
  <si>
    <t xml:space="preserve">pillar</t>
  </si>
  <si>
    <t xml:space="preserve">pillar_LLM</t>
  </si>
  <si>
    <t xml:space="preserve">correct_pillar</t>
  </si>
  <si>
    <t xml:space="preserve">plant_based_LLM</t>
  </si>
  <si>
    <t xml:space="preserve">fermentation_LLM</t>
  </si>
  <si>
    <t xml:space="preserve">cultivated_LLM</t>
  </si>
  <si>
    <t xml:space="preserve">Manual review notes for scope</t>
  </si>
  <si>
    <t xml:space="preserve">Manual review notes for pillar</t>
  </si>
  <si>
    <t xml:space="preserve">pub.1193443783</t>
  </si>
  <si>
    <t xml:space="preserve">Proliferation and metabolic activity of the Atlantic sturgeon cell line AOXlar7y under short-term serum-reduced conditions, and the effect of stimulation with growth factors and cytokines</t>
  </si>
  <si>
    <t xml:space="preserve">Introduction: Fish cell lines represent a powerful tool for studying the biology and toxicology of aquatic species in compliance with the 3Rs principles. In addition, they hold potential for more advanced biotechnological applications. However, fish cell cultures are mainly cultivated with fetal bovine serum. Therefore, in this study, we investigated the impact of serum reduction and the effects of six growth factors and cytokines on a sturgeon larval cell line (AOXla7y), which has been previously proven to be a valuable model for climate change and toxicology studies.
Methods: The serum reduction (from 10% to 5% and 2%) and the addition of two concentrations (10 and 50 ng/mL) of six growth factors and cytokines (FGF-2, IGF-1, LIF, IFN-γ, IL-13, and IL-15) to the 2% serum growth medium were evaluated over 6 days of cultivation. The morphology and cell density were determined using phasecontrast images after the experiment ended, while real-time label-free cell impedance (xCELLigence) was recorded throughout the cultivation period. Moreover, the end-point oxygen consumption in basal and uncoupled respiration conditions was analyzed with the Seahorse XF Cell Mito Stress Test Kit.
Results: The results demonstrated a general adaptation of the sturgeon cell line to a serum-reduced environment and the modulatory effects of growth factor and cytokine supplementation on cell growth and metabolism.
Discussion: These findings suggest that the sturgeon cell line has the potential to transition to a serumfree medium without major observed morphological modifications and with a limited reduction in proliferation. Its metabolism was differentially modulated by the signaling of growth factors and cytokines and exhibited a variable metabolic phenotype under mitochondrial stress. This study provides a characterization of the Atlantic sturgeon cell metabolism and offers a preliminary assessment for developing an animal-free and chemically defined medium.</t>
  </si>
  <si>
    <t xml:space="preserve">in</t>
  </si>
  <si>
    <t xml:space="preserve">out</t>
  </si>
  <si>
    <t xml:space="preserve">This publication focuses on fish cell line biology and culture optimization for toxicology and climate change research, not on alternative proteins for human food. The stated use case is studying aquatic species biology and developing animal-free culture media for research purposes, which falls outside the scope of alternative protein development intended as substitutes for conventional animal proteins in human food.</t>
  </si>
  <si>
    <t xml:space="preserve">CM</t>
  </si>
  <si>
    <t xml:space="preserve">NA</t>
  </si>
  <si>
    <t xml:space="preserve">I agree with the LLM’s reasoning. Aquaculture is stated as a potential product but not as a focus for this research.</t>
  </si>
  <si>
    <t xml:space="preserve">https://www.frontiersin.org/journals/toxicology/articles/10.3389/ftox.2025.1636776/full#s9</t>
  </si>
  <si>
    <t xml:space="preserve">pub.1193813897</t>
  </si>
  <si>
    <t xml:space="preserve">The Potential of Fermentation-Based Processing on Protein Modification: A Review</t>
  </si>
  <si>
    <t xml:space="preserve">Proteins are fundamental to food systems due to their structural, nutritional, and functional roles. With increasing consumer awareness of health and sustainability, the demand for protein-rich foods from diverse and eco-friendly sources is rising. Fermentation has emerged as a transformative approach for enhancing the nutritional value, functionality, and sensory appeal of protein-based foods, while also contributing to environmental and economic sustainability. This review explores the multifaceted impact of fermentation on proteins, focusing on nutritional enhancement, functional improvements, technological adaptability, and sensory optimization. It highlights how microbial fermentation can modify protein structures, reduce allergenicity, improve digestibility, and generate bioactive compounds. The diversity of protein sources, microbial strains, and fermentation parameters offers a versatile platform for tailoring food products to meet evolving consumer expectations. By critically examining current research and industrial practices, this paper underscores the importance of selecting appropriate protein substrates and microbial hosts to maximize the benefits of fermentation. The insights provided aim to guide future innovations in developing sustainable, health-promoting, and consumer-acceptable fermented protein products.</t>
  </si>
  <si>
    <t xml:space="preserve">This review focuses on fermentation as a processing method to modify and enhance plant-based proteins for human food applications, improving nutritional value, digestibility, and allergenicity. According to the boundaries, when fermentation is used to process plant proteins rather than serving as the microbial biomass protein source itself, the classification should reflect the primary protein source (plant-based) rather than the processing method. The work is clearly relevant to alternative protein development and optimization.</t>
  </si>
  <si>
    <t xml:space="preserve">CC</t>
  </si>
  <si>
    <t xml:space="preserve">PB</t>
  </si>
  <si>
    <t xml:space="preserve">I agree with the LLM. The paper only discusses using fermentation to modify plant-based proteins (not biomass or precision fermentation).</t>
  </si>
  <si>
    <t xml:space="preserve">pub.1189767013</t>
  </si>
  <si>
    <t xml:space="preserve">Keeping an eye on alginate: innovations and opportunities for sustainable production and diverse applications</t>
  </si>
  <si>
    <t xml:space="preserve">Alginate is a biocompatible, biodegradable, brown seaweed polysaccharide with diverse techno-functional properties. However, growing environmental concerns are driving the need for more sustainable alginate extraction methods. Novel methods such as ultrasound-assisted extraction, microwave-assisted extraction and subcritical water extraction among others, have attracted significant attention by improving polysaccharide yields and addressing current production bottlenecks i.e., extraction time, solvent consumption and energy demand. These technologies used individually or in combination with novel solvents (food grade solvents, ionic liquids, deep eutectic solvents), offer promising environmentally friendly and food-grade alternatives. Large-scale optimised methods utilising these innovative methods remain underexplored. In addition, pre-treatment strategies utilising green protocols could improve alginate yields and properties. This narrative review aims to examine conventional alginate processing alongside emerging technologies and solvents to enhance extraction efficiency and functional properties. It explores the advantages as well as disadvantages of these approaches such as cost and scalability. Challenges for future uses of alginates are also discussed i.e., mechanical and biological. By deepening our understanding of these properties future research could unlock innovative applications, with cultivated meat offering a novel and promising direction.</t>
  </si>
  <si>
    <t xml:space="preserve">While the abstract mentions cultivated meat as a potential future application, alginate itself is a polysaccharide functional ingredient, not a protein. The publication focuses on extraction methods and processing of alginate from brown seaweed, with protein as neither a primary nor significant focus. Alginate is a thickening/gelling agent used in food formulations, not an alternative protein source intended to substitute animal proteins. The cultivated meat mention is speculative and not the primary research focus.</t>
  </si>
  <si>
    <t xml:space="preserve">I agree with the LLM. Cultivated meat is barely mentioned in the paper. I should add a boundary condition to specify more clearly that enabling technologies are included when alternative protein production is a primary or significant stated application, but not speculative or incidental mention. But this should be excluded imo.</t>
  </si>
  <si>
    <t xml:space="preserve">Edit to prompt: specify / clarify that enabling technologies for these alternative proteins are included (maybe add as a boundary condition specific for cultivated meat?)</t>
  </si>
  <si>
    <t xml:space="preserve">https://www.sciencedirect.com/science/article/pii/S014486172500685X#s0130</t>
  </si>
  <si>
    <t xml:space="preserve">pub.1190672497</t>
  </si>
  <si>
    <t xml:space="preserve">Consumer Insights Tracker End of Year Report (Insights From April 2024 to March 2025)</t>
  </si>
  <si>
    <t xml:space="preserve">This report presents the findings from the Consumer Insights Tracker which is an online monthly tracking survey commissioned by the Food Standards Agency (FSA). The survey monitors the behaviour and attitudes of consumers aged 16+ in England, Wales and Northern Ireland in relation to food. This report presents an overview of key findings from April 2024 to March 2025. Where appropriate, longer-term trends over the full tracking period (from July 2023) are presented. Food prices remained the top prompted concern for respondents throughout the year, ranging from 86% - 88% reporting concern each month. Although worries about household food affordability declined slightly, one in five (21%) respondents reported worry about this in March 2025. The proportion reporting certain money-saving shopping behaviours such as choosing cheaper brands and buying discounted items also declined over the year. The proportion saying they had engaged in potentially risky food safety behaviours to reduce energy costs varied slightly (21% - 28%), with a peak in December 2024 (28%). Worries about food availability remained relatively stable (19% - 24%), as did overall confidence in the food supply chain (58% - 63%). Among those with some knowledge of the FSA and what it does, trust in the FSA fluctuated (56% - 65%), peaking at 65% in July 2024. Awareness of novel foods and food production techniques varied, with around seven in ten saying they had heard of lab-grown meat (72%), but only around half saying they had heard of cell-cultivated products and cell-cultivated meat (both 52%).</t>
  </si>
  <si>
    <t xml:space="preserve">This is a consumer tracking survey report focused on food prices, affordability, shopping behaviours, food safety concerns, and awareness of novel foods. While it mentions lab-grown meat and cell-cultivated products, these are only incidental topics within a broader consumer attitudes survey. The publication does not advance the development, characterisation, or understanding of alternative proteins themselves, nor does it focus on the science, technology, or processes of producing alternative proteins. It is a general consumer behaviour and awareness study, not alternative protein research.</t>
  </si>
  <si>
    <t xml:space="preserve">In scope. Socioeconomic bits being excluded again. Realised boundaries are very scientific research focussed → add one boundary to catch all socioeconomic research that explicitly means alt protein (does not have to be the major focus)</t>
  </si>
  <si>
    <t xml:space="preserve">Edit to prompt: add boundary condition for socioeconomic research that explicitly mentions alt proteins (must have researched it, does not necessarily have to be the primary focus)</t>
  </si>
  <si>
    <t xml:space="preserve">pub.1192751374</t>
  </si>
  <si>
    <t xml:space="preserve">Processing a maize germ side stream: de-oiling as key to dry fractionation and foam stability</t>
  </si>
  <si>
    <t xml:space="preserve">Maize grain processing usually starts with degerming to lower its oil content. The created maize germ-enriched fraction (MGF) represents up to 15 % of the kernel mass. Oil recovered from the MGF is valuable, but the non-oil fraction is underutilized. We separated MGF (14 % protein, 40 % starch, 18 % oil; db) into enriched fractions via dry processing, and reflect on the energy efficiency in combination with additional aqueous extraction. Dry fractionation requires mechanical pressing and oil extraction with hexane or food-safe 2-methyltetrahydrofuran, which yields cakes having residual oil contents of 0.4 w/dw% or 3.1 w/dw%, respectively. Both cakes could be milled, and air classification enriched protein in the fine fraction from 19 % to 27 % by deflecting larger starch granules. The protein yield relative to MGF was 15 %, mainly due to milling losses. CLSM revealed the protein to be in a fibrous matrix, hence it was not enriched further by electrostatic separation. Due to the moderate protein contents and yields, aqueous protein extraction was more energy efficient from de-oiled flour than from fine fractions. Extracts from hexane-processed fractions foamed better than whey protein at 0.5 mg protein/mL. Processing with 2-methyltetrahydrofuran did not enable stable foaming, which requires optimization towards lower residual oil contents.</t>
  </si>
  <si>
    <t xml:space="preserve">While this publication addresses protein from a plant source (maize), the primary focus is on processing a side stream to recover oil and optimize starch separation, with protein as an incidental component. The stated aim is to utilize an underutilized fraction through dry fractionation and oil extraction, not to develop a plant-based protein ingredient or product intended to substitute animal proteins. The protein content and yields are moderate, and the work focuses on processing efficiency and foam stability as a functional property, but lacks evidence that the protein is being developed as an alternative protein for human food applications such as meat, dairy, or egg analogues.</t>
  </si>
  <si>
    <t xml:space="preserve">Less clear it is in scope. Leaning agree with LLM.</t>
  </si>
  <si>
    <t xml:space="preserve">pub.1192827486</t>
  </si>
  <si>
    <t xml:space="preserve">Transcriptome profiles for defining avian primordial germ cell development</t>
  </si>
  <si>
    <t xml:space="preserve">Avian biology has contributed to many research areas, such as sustainable protein production, endocrinology, developmental biology, neurosciences, and immunology. Primordial germ cells, lineage-restricted stem cells, are key for the conservation of genetic diversity of bird species, as well as for studying germ cell development and producing genetic models to study avian biology. Here, we review the current knowledge of developmental and fate decision processes in avian primordial germ cells focusing on insights revealed by gene expression profiling. We summarized the characteristics and fundamental pathways required for chicken primordial cell growth. In addition, we discuss the common and disparate features of PGCs from chicken compared to other avian species. These insights are valuable for researchers in germ cell biology, reproductive biotechnology, and avian genetic conservation and indicate a need for the analysis of further bird species.</t>
  </si>
  <si>
    <t xml:space="preserve">This publication focuses on avian primordial germ cell development and gene expression profiling for reproductive biotechnology and genetic conservation purposes. While it mentions sustainable protein production in the introduction, the actual research concerns germ cell biology and developmental processes, not the development or characterization of alternative proteins for human food. The stated applications are reproductive biotechnology and genetic conservation, not food production.</t>
  </si>
  <si>
    <t xml:space="preserve">Agree with LLM, not in scope.</t>
  </si>
  <si>
    <t xml:space="preserve">pub.1191677996</t>
  </si>
  <si>
    <t xml:space="preserve">An in vitro study exploring the role of mucin in the protein-flavor binding mechanism</t>
  </si>
  <si>
    <t xml:space="preserve">In the mouth, food flavors interact with salivary proteins like mucin, which protects mucosal surfaces and influences the rate of aroma release. The role of mucin in the protein-flavor binding mechanism was evaluated in a model system in vitro using GC-MS. The number of binding sites (n) and binding constants (K) of commercial food protein isolates (PIs) and carbonyl compounds were calculated using Klotz plots. Results suggested a linear relationship between PIs and carbonyl compounds, where K increased with the flavor chain length, and n ranged from n = 0.021 to 7.194. Mucin addition to flavor-protein systems increased flavor binding up to fifteen times. At 0.01(w/v)% mucin, structural changes enhanced flavor binding. At higher mucin levels, further unfolding leads to aggregation, restricting access of the flavor molecules to the binding sites. These results confirmed the role of flavor structural characteristics and mucin on flavor binding, essential for optimal food design.</t>
  </si>
  <si>
    <t xml:space="preserve">This publication focuses on the biochemical mechanism of flavor-protein binding in a model system using commercial protein isolates and mucin. While it examines protein properties, the stated aim is understanding flavor binding mechanisms for general food design, not developing or optimizing alternative proteins as substitutes for animal products. The research does not address alternative protein development, characterization for food applications, or substitution of conventional animal proteins.</t>
  </si>
  <si>
    <t xml:space="preserve">Lean agree with LLM, not in scope.</t>
  </si>
  <si>
    <t xml:space="preserve">pub.1184344359</t>
  </si>
  <si>
    <t xml:space="preserve">Chitosan-zinc oxide thyme oil-based edible antimicrobial hydrogel coatings: application on pork and tofu sausages</t>
  </si>
  <si>
    <t xml:space="preserve">Abstract Chitosan (CS), zinc oxide (ZnO), and essential oils have been widely researched for their potential in food packaging and preservation due to their ability to extend shelf-life. This study examined the effects of CS-poly-vinyl alcohol-based (CS/PVOH) hydrogel coatings on the microbiological quality and shelf-life of pork and tofu sausages. The hydrogel coatings included ZnO grown on montmorillonite (MT) (ZnO@NaMt) and thyme oil adsorbed in organically modified MT (TO@OrgMt) nanohybrids dispersed in a CS/PVOH-based composite. The sausages were analysed for mesophilic, psychrotrophic, and lactic acid bacteria (LAB). Statistical tests were employed to assess the differences between groups. Pork sausages’ shelf-life was extended to 10 and 20 days for CS/PVOH/ZnO@NaMt, CS/PVOH/TO@OrgMt, and for pure CS, CS/PVOH coated samples, respectively. The bacteriostatic effect of CS/PVOH/ZnO@NaMt, CS/PVOH/TO@OrgMt, and CS/PVOH hydrogel coatings was observed after the 20th day. Mesophilic and psychrotrophic bacteria counts decreased, and tofu sausages’ shelf-life was also prolonged, indicating the coatings’ ability to extend shelf-life.</t>
  </si>
  <si>
    <t xml:space="preserve">This publication focuses on food packaging and preservation technology (antimicrobial hydrogel coatings) applied to conventional meat and tofu products. While tofu is plant-based, the research does not concern the development, characterisation, or optimisation of alternative proteins themselves, nor does it address protein functionality or processing for substituting animal products. The primary focus is on coating materials and shelf-life extension, making this a food packaging study rather than alternative protein research.</t>
  </si>
  <si>
    <t xml:space="preserve">Agree with LLM, not in scope. Tofu sausage is only a test substrate (and second to pork in this case), so the publication is not focussed enough on alt proteins.</t>
  </si>
  <si>
    <t xml:space="preserve">pub.1183660277</t>
  </si>
  <si>
    <t xml:space="preserve">Use of a coaxial nozzle-assisted 3D printing and ionic crosslinking to control the texture of a mycoprotein-based food product</t>
  </si>
  <si>
    <t xml:space="preserve">This work innovatively merges engineered food structures with additive manufacturing technology to tailor food for different dysphagia levels using filamentous Fungus Aspergillus oryzae biomass through a co-axial 3D food printing process. In order to 3D print samples with different textures, calcium chloride (CaCl2) and calcium gluconolactate (Gluco) were tested at different concentrations alongside three alginate concentrations. The structural and morphological analysis of the printed samples was conducted before cooking, followed by texture analysis and the measurement of cutting strength on cooked samples. Dysphagia food level classification was measured following the International Dysphagia Diet Standardisation Initiative (IDDSI) guidelines. Results revealed that Gluco minimally altered texture but affected appearance, resulting in soft samples (hardness ≈ 1.3 N) with fibrous structures, while CaCl2 increased hardness (from ≈ 1 N to 4.68 N) through alginate-ion Ca2+ interaction. All samples passed the IDDSI test, confirming suitability for dysphagic individuals. This successfully engineered personalised food with tailored texture meeting nutritional requirements.</t>
  </si>
  <si>
    <t xml:space="preserve">While the publication uses mycoprotein (Aspergillus oryzae biomass), a fermentation-derived protein, the primary focus is on food texture engineering and 3D printing technology for medical nutrition purposes (dysphagia management). The stated aim is developing personalized food for vulnerable populations with specific medical dietary needs, which falls under the exclusion criterion for products developed specifically for medical nutrition or vulnerable populations. The alternative protein aspect is incidental to the medical application.</t>
  </si>
  <si>
    <t xml:space="preserve">F</t>
  </si>
  <si>
    <t xml:space="preserve">Genuinely edge case. I tend to agree with the LLM and exclude though given the primary focus is as a medical nutrition solution / targeted at vulnerable population.</t>
  </si>
  <si>
    <t xml:space="preserve">pub.1186213546</t>
  </si>
  <si>
    <t xml:space="preserve">Impact of Vegan and Vegetarian Diets on Neurological Health: A Critical Review</t>
  </si>
  <si>
    <t xml:space="preserve">BACKGROUND/OBJECTIVES: The global shift towards vegan and vegetarian diets has garnered attention for their ethical, environmental, and potential health benefits. These diets are often rich in phytonutrients and antioxidants, which have been associated with lower levels of inflammatory markers, such as C-reactive protein (CRP) and interleukin-6 (IL-6), suggesting a potential protective effect against systemic inflammation and oxidative stress. However, despite these benefits, concerns remain regarding their impact on neurological health due to the possible deficiencies of critical nutrients such as vitamin B12, DHA, EPA, and iron. This review critically evaluates the influence of these dietary patterns on neurological outcomes, emphasizing their nutritional composition, potential deficiencies, and their interplay with inflammation and oxidative stress.
METHODS: A systematic review of the literature published between 2010 and 2023 was conducted, focusing on studies that explore the relationship between vegan and vegetarian diets and neurological health. Key nutrients such as vitamin B12, omega-3 fatty acids, iron, and zinc were analyzed alongside antinutritional factors and their effects on the nervous system.
RESULTS: Evidence suggests that vegan and vegetarian diets, when well planned, can be rich in phytonutrients and antioxidants, which have been associated with lower levels of inflammatory markers, such as C-reactive protein (CRP) and interleukin-6 (IL-6). These findings indicate a potential role in reducing systemic inflammation and oxidative stress, both of which are linked to neurodegenerative diseases. However, deficiencies in critical nutrients such as vitamin B12, DHA, EPA, and iron have been consistently associated with an increased risk of cognitive decline, mood disturbances, and neurodegenerative disorders. Additionally, the presence of antinutritional factors like phytates and oxalates may further impair nutrient absorption, necessitating careful dietary planning and supplementation.
CONCLUSIONS: While plant-based diets provide anti-inflammatory and antioxidant benefits, their neurological implications depend on nutrient adequacy. Proper planning, supplementation, and food preparation techniques are essential to mitigate risks and enhance cognitive health. Further research is needed to explore long-term neurological outcomes and optimize dietary strategies.</t>
  </si>
  <si>
    <t xml:space="preserve">This publication is a broad dietary health review comparing vegan and vegetarian diets with neurological outcomes. It does not focus on alternative protein development, characterisation, processing, or optimisation. The study examines general health and nutritional adequacy of plant-based diets rather than advancing alternative protein ingredients or products for substituting animal proteins in food.</t>
  </si>
  <si>
    <t xml:space="preserve">Agree with LLM, not in scope. Publication on diet and health outcomes, not even specifically alt proteins, just vegan / vegetarian.</t>
  </si>
  <si>
    <t xml:space="preserve">pub.1193249719</t>
  </si>
  <si>
    <t xml:space="preserve">Evaluating Scale-Up Cultivation Modes for Aspergillus oryzae Biomass Production Using VFA-Rich Effluents from Agro-Industrial Residues</t>
  </si>
  <si>
    <t xml:space="preserve">Organic-waste-derived volatile fatty acids (VFAs) are promising substrates for fungal biomass cultivation, offering a nutrient-rich medium capable of meeting microbial growth requirements. However, the growth and biomass productivity are highly influenced by the VFAs' composition and mode of operation. This study investigated the cultivation of Aspergillus oryzae fungal biomass using agro-industrial-derived VFA effluent, employing repeated-batch and fed-batch (stepwise and continuous-feeding) cultivation modes to evaluate fungal growth and biomass composition. The highest dry biomass yield of 0.41 dry biomass/gVFAsfed (g/g) was achieved in fed-batch mode with continuous feeding, where the biomass exhibited pellet morphology, facilitating ease of harvesting. The crude protein content varied according to the cultivation strategy, reaching 45-53% in continuous-feeding fed-batch mode, while it was 34-42% in stepwise fed-batch mode. Additionally, the fungal biomass contained significant levels of essential macronutrients and trace elements, including Mg, Ca, K, Mn, and Fe, which are crucial if the biomass is intended to be used in animal feed formulations. This study highlights the effects of cultivation modes on biomass composition and the potential of VFA-derived fungal biomass as a sustainable feed ingredient.</t>
  </si>
  <si>
    <t xml:space="preserve">This publication is explicitly focused on fungal biomass production for animal feed formulations, as stated in the abstract: 'crucial if the biomass is intended to be used in animal feed formulations.' The stated use case is animal feed, not human food, which is an explicit exclusion criterion regardless of apparent relevance to alternative proteins.</t>
  </si>
  <si>
    <t xml:space="preserve">Agree with LLM, not in scope. Specifically focussed on animal feed, not human food.</t>
  </si>
  <si>
    <t xml:space="preserve">Important notes:</t>
  </si>
  <si>
    <t xml:space="preserve">- I am being quite cut-throat with stated alt protein application. It cannot just be ‘and maybe in the future it could be used in cultivated meat’, the research must explicitly develop the product FOR alt proteins.</t>
  </si>
  <si>
    <t xml:space="preserve">NOTE</t>
  </si>
  <si>
    <t xml:space="preserve">I actually wonder whether the general definition of ‘substitutes for conventional animal proteins’ </t>
  </si>
  <si>
    <t xml:space="preserve">I am similarly concerned about the exclusion for foods that do not substitute animal proteins (e.g. bread, pasta, snacks)</t>
  </si>
</sst>
</file>

<file path=xl/styles.xml><?xml version="1.0" encoding="utf-8"?>
<styleSheet xmlns="http://schemas.openxmlformats.org/spreadsheetml/2006/main">
  <numFmts count="1">
    <numFmt numFmtId="164" formatCode="General"/>
  </numFmts>
  <fonts count="5">
    <font>
      <sz val="11"/>
      <color theme="1"/>
      <name val="Calibri"/>
      <family val="2"/>
      <charset val="1"/>
    </font>
    <font>
      <sz val="10"/>
      <name val="Arial"/>
      <family val="0"/>
    </font>
    <font>
      <sz val="10"/>
      <name val="Arial"/>
      <family val="0"/>
    </font>
    <font>
      <sz val="10"/>
      <name val="Arial"/>
      <family val="0"/>
    </font>
    <font>
      <b val="true"/>
      <sz val="11"/>
      <color theme="1"/>
      <name val="Calibri"/>
      <family val="2"/>
      <charset val="1"/>
    </font>
  </fonts>
  <fills count="3">
    <fill>
      <patternFill patternType="none"/>
    </fill>
    <fill>
      <patternFill patternType="gray125"/>
    </fill>
    <fill>
      <patternFill patternType="solid">
        <fgColor rgb="FFFFFF00"/>
        <bgColor rgb="FFFFFF00"/>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1">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true" indent="0" shrinkToFit="false"/>
      <protection locked="true" hidden="false"/>
    </xf>
    <xf numFmtId="164" fontId="0" fillId="0" borderId="0" xfId="0" applyFont="true" applyBorder="false" applyAlignment="true" applyProtection="false">
      <alignment horizontal="general" vertical="bottom" textRotation="0" wrapText="true" indent="0" shrinkToFit="false"/>
      <protection locked="true" hidden="false"/>
    </xf>
    <xf numFmtId="164" fontId="0" fillId="2"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2" borderId="0" xfId="0" applyFont="false" applyBorder="false" applyAlignment="false" applyProtection="false">
      <alignment horizontal="general"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true" hidden="false"/>
    </xf>
    <xf numFmtId="164" fontId="0" fillId="2" borderId="0" xfId="0" applyFont="false" applyBorder="false" applyAlignment="true" applyProtection="tru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tru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pitchFamily="0" charset="1"/>
        <a:ea typeface=""/>
        <a:cs typeface=""/>
      </a:majorFont>
      <a:minorFont>
        <a:latin typeface="Calibri" panose="020F0502020204030204" pitchFamily="0" charset="1"/>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R1048576"/>
  <sheetViews>
    <sheetView showFormulas="false" showGridLines="true" showRowColHeaders="true" showZeros="true" rightToLeft="false" tabSelected="true" showOutlineSymbols="true" defaultGridColor="true" view="normal" topLeftCell="A7" colorId="64" zoomScale="100" zoomScaleNormal="100" zoomScalePageLayoutView="100" workbookViewId="0">
      <selection pane="topLeft" activeCell="I19" activeCellId="0" sqref="I19"/>
    </sheetView>
  </sheetViews>
  <sheetFormatPr defaultColWidth="8.34375" defaultRowHeight="15" customHeight="false" zeroHeight="false" outlineLevelRow="0" outlineLevelCol="0"/>
  <cols>
    <col collapsed="false" customWidth="true" hidden="false" outlineLevel="0" max="15" min="15" style="1" width="35.61"/>
    <col collapsed="false" customWidth="true" hidden="false" outlineLevel="0" max="16" min="16" style="1" width="26.86"/>
    <col collapsed="false" customWidth="true" hidden="false" outlineLevel="0" max="17" min="17" style="0" width="24.06"/>
  </cols>
  <sheetData>
    <row r="1" customFormat="false" ht="15" hidden="false" customHeight="false" outlineLevel="0" collapsed="false">
      <c r="A1" s="0" t="s">
        <v>0</v>
      </c>
      <c r="B1" s="0" t="s">
        <v>1</v>
      </c>
      <c r="C1" s="0" t="s">
        <v>2</v>
      </c>
      <c r="D1" s="0" t="s">
        <v>3</v>
      </c>
      <c r="E1" s="0" t="s">
        <v>4</v>
      </c>
      <c r="F1" s="0" t="s">
        <v>5</v>
      </c>
      <c r="G1" s="0" t="s">
        <v>6</v>
      </c>
      <c r="H1" s="0" t="s">
        <v>7</v>
      </c>
      <c r="I1" s="0" t="s">
        <v>8</v>
      </c>
      <c r="J1" s="0" t="s">
        <v>9</v>
      </c>
      <c r="K1" s="0" t="s">
        <v>10</v>
      </c>
      <c r="L1" s="0" t="s">
        <v>11</v>
      </c>
      <c r="M1" s="0" t="s">
        <v>12</v>
      </c>
      <c r="N1" s="0" t="s">
        <v>13</v>
      </c>
      <c r="O1" s="1" t="s">
        <v>14</v>
      </c>
      <c r="P1" s="1" t="s">
        <v>15</v>
      </c>
    </row>
    <row r="2" customFormat="false" ht="45.1" hidden="false" customHeight="false" outlineLevel="0" collapsed="false">
      <c r="A2" s="0" t="s">
        <v>16</v>
      </c>
      <c r="B2" s="0" t="s">
        <v>17</v>
      </c>
      <c r="C2" s="2" t="s">
        <v>18</v>
      </c>
      <c r="D2" s="0" t="s">
        <v>19</v>
      </c>
      <c r="E2" s="0" t="s">
        <v>20</v>
      </c>
      <c r="F2" s="0" t="n">
        <v>5</v>
      </c>
      <c r="G2" s="0" t="s">
        <v>21</v>
      </c>
      <c r="H2" s="3" t="b">
        <f aca="false">FALSE()</f>
        <v>0</v>
      </c>
      <c r="I2" s="0" t="s">
        <v>22</v>
      </c>
      <c r="J2" s="0" t="s">
        <v>23</v>
      </c>
      <c r="K2" s="4" t="b">
        <f aca="false">FALSE()</f>
        <v>0</v>
      </c>
      <c r="L2" s="4" t="b">
        <f aca="false">FALSE()</f>
        <v>0</v>
      </c>
      <c r="M2" s="4" t="b">
        <f aca="false">FALSE()</f>
        <v>0</v>
      </c>
      <c r="N2" s="4" t="b">
        <f aca="false">FALSE()</f>
        <v>0</v>
      </c>
      <c r="O2" s="1" t="s">
        <v>24</v>
      </c>
      <c r="Q2" s="0" t="s">
        <v>25</v>
      </c>
    </row>
    <row r="3" customFormat="false" ht="15" hidden="false" customHeight="false" outlineLevel="0" collapsed="false">
      <c r="A3" s="0" t="s">
        <v>26</v>
      </c>
      <c r="B3" s="0" t="s">
        <v>27</v>
      </c>
      <c r="C3" s="0" t="s">
        <v>28</v>
      </c>
      <c r="D3" s="0" t="s">
        <v>19</v>
      </c>
      <c r="E3" s="0" t="s">
        <v>19</v>
      </c>
      <c r="F3" s="0" t="n">
        <v>4</v>
      </c>
      <c r="G3" s="0" t="s">
        <v>29</v>
      </c>
      <c r="H3" s="4" t="b">
        <f aca="false">TRUE()</f>
        <v>1</v>
      </c>
      <c r="I3" s="0" t="s">
        <v>30</v>
      </c>
      <c r="J3" s="0" t="s">
        <v>31</v>
      </c>
      <c r="K3" s="3" t="b">
        <f aca="false">FALSE()</f>
        <v>0</v>
      </c>
      <c r="L3" s="4" t="b">
        <f aca="false">TRUE()</f>
        <v>1</v>
      </c>
      <c r="M3" s="4" t="b">
        <f aca="false">FALSE()</f>
        <v>0</v>
      </c>
      <c r="N3" s="4" t="b">
        <f aca="false">FALSE()</f>
        <v>0</v>
      </c>
      <c r="O3" s="0"/>
      <c r="P3" s="0" t="s">
        <v>32</v>
      </c>
    </row>
    <row r="4" customFormat="false" ht="88.7" hidden="false" customHeight="false" outlineLevel="0" collapsed="false">
      <c r="A4" s="0" t="s">
        <v>33</v>
      </c>
      <c r="B4" s="0" t="s">
        <v>34</v>
      </c>
      <c r="C4" s="0" t="s">
        <v>35</v>
      </c>
      <c r="D4" s="0" t="s">
        <v>19</v>
      </c>
      <c r="E4" s="0" t="s">
        <v>20</v>
      </c>
      <c r="F4" s="5" t="n">
        <v>4</v>
      </c>
      <c r="G4" s="0" t="s">
        <v>36</v>
      </c>
      <c r="H4" s="3" t="b">
        <f aca="false">FALSE()</f>
        <v>0</v>
      </c>
      <c r="I4" s="0" t="s">
        <v>22</v>
      </c>
      <c r="J4" s="0" t="s">
        <v>23</v>
      </c>
      <c r="K4" s="3" t="b">
        <f aca="false">FALSE()</f>
        <v>0</v>
      </c>
      <c r="L4" s="4" t="b">
        <f aca="false">FALSE()</f>
        <v>0</v>
      </c>
      <c r="M4" s="4" t="b">
        <f aca="false">FALSE()</f>
        <v>0</v>
      </c>
      <c r="N4" s="4" t="b">
        <f aca="false">FALSE()</f>
        <v>0</v>
      </c>
      <c r="O4" s="1" t="s">
        <v>37</v>
      </c>
      <c r="Q4" s="1" t="s">
        <v>38</v>
      </c>
      <c r="R4" s="0" t="s">
        <v>39</v>
      </c>
    </row>
    <row r="5" customFormat="false" ht="77.8" hidden="false" customHeight="false" outlineLevel="0" collapsed="false">
      <c r="A5" s="0" t="s">
        <v>40</v>
      </c>
      <c r="B5" s="0" t="s">
        <v>41</v>
      </c>
      <c r="C5" s="0" t="s">
        <v>42</v>
      </c>
      <c r="D5" s="0" t="s">
        <v>19</v>
      </c>
      <c r="E5" s="0" t="s">
        <v>20</v>
      </c>
      <c r="F5" s="0" t="n">
        <v>5</v>
      </c>
      <c r="G5" s="0" t="s">
        <v>43</v>
      </c>
      <c r="H5" s="3" t="b">
        <f aca="false">FALSE()</f>
        <v>0</v>
      </c>
      <c r="I5" s="0" t="s">
        <v>22</v>
      </c>
      <c r="J5" s="0" t="s">
        <v>23</v>
      </c>
      <c r="K5" s="3" t="b">
        <f aca="false">FALSE()</f>
        <v>0</v>
      </c>
      <c r="L5" s="4" t="b">
        <f aca="false">FALSE()</f>
        <v>0</v>
      </c>
      <c r="M5" s="4" t="b">
        <f aca="false">FALSE()</f>
        <v>0</v>
      </c>
      <c r="N5" s="4" t="b">
        <f aca="false">FALSE()</f>
        <v>0</v>
      </c>
      <c r="O5" s="1" t="s">
        <v>44</v>
      </c>
      <c r="Q5" s="1" t="s">
        <v>45</v>
      </c>
    </row>
    <row r="6" customFormat="false" ht="23.3" hidden="false" customHeight="false" outlineLevel="0" collapsed="false">
      <c r="A6" s="0" t="s">
        <v>46</v>
      </c>
      <c r="B6" s="0" t="s">
        <v>47</v>
      </c>
      <c r="C6" s="0" t="s">
        <v>48</v>
      </c>
      <c r="D6" s="0" t="s">
        <v>19</v>
      </c>
      <c r="E6" s="0" t="s">
        <v>20</v>
      </c>
      <c r="F6" s="0" t="n">
        <v>4</v>
      </c>
      <c r="G6" s="0" t="s">
        <v>49</v>
      </c>
      <c r="H6" s="3" t="b">
        <f aca="false">FALSE()</f>
        <v>0</v>
      </c>
      <c r="I6" s="0" t="s">
        <v>31</v>
      </c>
      <c r="J6" s="0" t="s">
        <v>23</v>
      </c>
      <c r="K6" s="3" t="b">
        <f aca="false">FALSE()</f>
        <v>0</v>
      </c>
      <c r="L6" s="4" t="b">
        <f aca="false">FALSE()</f>
        <v>0</v>
      </c>
      <c r="M6" s="4" t="b">
        <f aca="false">FALSE()</f>
        <v>0</v>
      </c>
      <c r="N6" s="4" t="b">
        <f aca="false">FALSE()</f>
        <v>0</v>
      </c>
      <c r="O6" s="1" t="s">
        <v>50</v>
      </c>
      <c r="Q6" s="1"/>
    </row>
    <row r="7" customFormat="false" ht="15" hidden="false" customHeight="false" outlineLevel="0" collapsed="false">
      <c r="A7" s="0" t="s">
        <v>51</v>
      </c>
      <c r="B7" s="0" t="s">
        <v>52</v>
      </c>
      <c r="C7" s="0" t="s">
        <v>53</v>
      </c>
      <c r="D7" s="0" t="s">
        <v>19</v>
      </c>
      <c r="E7" s="0" t="s">
        <v>20</v>
      </c>
      <c r="F7" s="0" t="n">
        <v>5</v>
      </c>
      <c r="G7" s="0" t="s">
        <v>54</v>
      </c>
      <c r="H7" s="3" t="b">
        <f aca="false">FALSE()</f>
        <v>0</v>
      </c>
      <c r="I7" s="0" t="s">
        <v>22</v>
      </c>
      <c r="J7" s="0" t="s">
        <v>23</v>
      </c>
      <c r="K7" s="3" t="b">
        <f aca="false">FALSE()</f>
        <v>0</v>
      </c>
      <c r="L7" s="4" t="b">
        <f aca="false">FALSE()</f>
        <v>0</v>
      </c>
      <c r="M7" s="4" t="b">
        <f aca="false">FALSE()</f>
        <v>0</v>
      </c>
      <c r="N7" s="4" t="b">
        <f aca="false">FALSE()</f>
        <v>0</v>
      </c>
      <c r="O7" s="1" t="s">
        <v>55</v>
      </c>
      <c r="Q7" s="1"/>
    </row>
    <row r="8" customFormat="false" ht="23.3" hidden="false" customHeight="false" outlineLevel="0" collapsed="false">
      <c r="A8" s="0" t="s">
        <v>56</v>
      </c>
      <c r="B8" s="0" t="s">
        <v>57</v>
      </c>
      <c r="C8" s="0" t="s">
        <v>58</v>
      </c>
      <c r="D8" s="0" t="s">
        <v>19</v>
      </c>
      <c r="E8" s="0" t="s">
        <v>20</v>
      </c>
      <c r="F8" s="0" t="n">
        <v>5</v>
      </c>
      <c r="G8" s="0" t="s">
        <v>59</v>
      </c>
      <c r="H8" s="3" t="b">
        <f aca="false">FALSE()</f>
        <v>0</v>
      </c>
      <c r="I8" s="0" t="s">
        <v>31</v>
      </c>
      <c r="J8" s="0" t="s">
        <v>23</v>
      </c>
      <c r="K8" s="3" t="b">
        <f aca="false">FALSE()</f>
        <v>0</v>
      </c>
      <c r="L8" s="4" t="b">
        <f aca="false">FALSE()</f>
        <v>0</v>
      </c>
      <c r="M8" s="4" t="b">
        <f aca="false">FALSE()</f>
        <v>0</v>
      </c>
      <c r="N8" s="4" t="b">
        <f aca="false">FALSE()</f>
        <v>0</v>
      </c>
      <c r="O8" s="1" t="s">
        <v>60</v>
      </c>
      <c r="Q8" s="1"/>
    </row>
    <row r="9" customFormat="false" ht="45.1" hidden="false" customHeight="false" outlineLevel="0" collapsed="false">
      <c r="A9" s="0" t="s">
        <v>61</v>
      </c>
      <c r="B9" s="0" t="s">
        <v>62</v>
      </c>
      <c r="C9" s="0" t="s">
        <v>63</v>
      </c>
      <c r="D9" s="0" t="s">
        <v>19</v>
      </c>
      <c r="E9" s="0" t="s">
        <v>20</v>
      </c>
      <c r="F9" s="0" t="n">
        <v>5</v>
      </c>
      <c r="G9" s="0" t="s">
        <v>64</v>
      </c>
      <c r="H9" s="3" t="b">
        <f aca="false">FALSE()</f>
        <v>0</v>
      </c>
      <c r="I9" s="0" t="s">
        <v>31</v>
      </c>
      <c r="J9" s="0" t="s">
        <v>23</v>
      </c>
      <c r="K9" s="3" t="b">
        <f aca="false">FALSE()</f>
        <v>0</v>
      </c>
      <c r="L9" s="4" t="b">
        <f aca="false">FALSE()</f>
        <v>0</v>
      </c>
      <c r="M9" s="4" t="b">
        <f aca="false">FALSE()</f>
        <v>0</v>
      </c>
      <c r="N9" s="4" t="b">
        <f aca="false">FALSE()</f>
        <v>0</v>
      </c>
      <c r="O9" s="1" t="s">
        <v>65</v>
      </c>
    </row>
    <row r="10" customFormat="false" ht="45.1" hidden="false" customHeight="false" outlineLevel="0" collapsed="false">
      <c r="A10" s="0" t="s">
        <v>66</v>
      </c>
      <c r="B10" s="0" t="s">
        <v>67</v>
      </c>
      <c r="C10" s="0" t="s">
        <v>68</v>
      </c>
      <c r="D10" s="0" t="s">
        <v>19</v>
      </c>
      <c r="E10" s="0" t="s">
        <v>20</v>
      </c>
      <c r="F10" s="0" t="n">
        <v>2</v>
      </c>
      <c r="G10" s="0" t="s">
        <v>69</v>
      </c>
      <c r="H10" s="3" t="b">
        <f aca="false">FALSE()</f>
        <v>0</v>
      </c>
      <c r="I10" s="0" t="s">
        <v>70</v>
      </c>
      <c r="J10" s="0" t="s">
        <v>23</v>
      </c>
      <c r="K10" s="3" t="b">
        <f aca="false">FALSE()</f>
        <v>0</v>
      </c>
      <c r="L10" s="4" t="b">
        <f aca="false">FALSE()</f>
        <v>0</v>
      </c>
      <c r="M10" s="4" t="b">
        <f aca="false">FALSE()</f>
        <v>0</v>
      </c>
      <c r="N10" s="4" t="b">
        <f aca="false">FALSE()</f>
        <v>0</v>
      </c>
      <c r="O10" s="1" t="s">
        <v>71</v>
      </c>
    </row>
    <row r="11" customFormat="false" ht="45.1" hidden="false" customHeight="false" outlineLevel="0" collapsed="false">
      <c r="A11" s="0" t="s">
        <v>72</v>
      </c>
      <c r="B11" s="0" t="s">
        <v>73</v>
      </c>
      <c r="C11" s="2" t="s">
        <v>74</v>
      </c>
      <c r="D11" s="0" t="s">
        <v>19</v>
      </c>
      <c r="E11" s="0" t="s">
        <v>20</v>
      </c>
      <c r="F11" s="0" t="n">
        <v>5</v>
      </c>
      <c r="G11" s="0" t="s">
        <v>75</v>
      </c>
      <c r="H11" s="3" t="b">
        <f aca="false">FALSE()</f>
        <v>0</v>
      </c>
      <c r="I11" s="0" t="s">
        <v>31</v>
      </c>
      <c r="J11" s="0" t="s">
        <v>23</v>
      </c>
      <c r="K11" s="3" t="b">
        <f aca="false">FALSE()</f>
        <v>0</v>
      </c>
      <c r="L11" s="4" t="b">
        <f aca="false">FALSE()</f>
        <v>0</v>
      </c>
      <c r="M11" s="4" t="b">
        <f aca="false">FALSE()</f>
        <v>0</v>
      </c>
      <c r="N11" s="4" t="b">
        <f aca="false">FALSE()</f>
        <v>0</v>
      </c>
      <c r="O11" s="1" t="s">
        <v>76</v>
      </c>
    </row>
    <row r="12" customFormat="false" ht="34.2" hidden="false" customHeight="false" outlineLevel="0" collapsed="false">
      <c r="A12" s="6" t="s">
        <v>77</v>
      </c>
      <c r="B12" s="6" t="s">
        <v>78</v>
      </c>
      <c r="C12" s="6" t="s">
        <v>79</v>
      </c>
      <c r="D12" s="6" t="s">
        <v>19</v>
      </c>
      <c r="E12" s="6" t="s">
        <v>20</v>
      </c>
      <c r="F12" s="6" t="n">
        <v>5</v>
      </c>
      <c r="G12" s="6" t="s">
        <v>80</v>
      </c>
      <c r="H12" s="7" t="b">
        <f aca="false">FALSE()</f>
        <v>0</v>
      </c>
      <c r="I12" s="6" t="s">
        <v>70</v>
      </c>
      <c r="J12" s="6" t="s">
        <v>23</v>
      </c>
      <c r="K12" s="7" t="b">
        <f aca="false">FALSE()</f>
        <v>0</v>
      </c>
      <c r="L12" s="8" t="b">
        <f aca="false">FALSE()</f>
        <v>0</v>
      </c>
      <c r="M12" s="8" t="b">
        <f aca="false">FALSE()</f>
        <v>0</v>
      </c>
      <c r="N12" s="8" t="b">
        <f aca="false">FALSE()</f>
        <v>0</v>
      </c>
      <c r="O12" s="9" t="s">
        <v>81</v>
      </c>
      <c r="P12" s="9"/>
      <c r="Q12" s="9"/>
    </row>
    <row r="1048575" customFormat="false" ht="12.8" hidden="false" customHeight="false" outlineLevel="0" collapsed="false"/>
    <row r="1048576" customFormat="false" ht="12.8" hidden="false" customHeight="false" outlineLevel="0" collapsed="false"/>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1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4" activeCellId="0" sqref="A14"/>
    </sheetView>
  </sheetViews>
  <sheetFormatPr defaultColWidth="11.53515625" defaultRowHeight="12.8" customHeight="false" zeroHeight="false" outlineLevelRow="0" outlineLevelCol="0"/>
  <sheetData>
    <row r="1" customFormat="false" ht="12.8" hidden="false" customHeight="false" outlineLevel="0" collapsed="false">
      <c r="A1" s="0" t="s">
        <v>82</v>
      </c>
    </row>
    <row r="2" customFormat="false" ht="12.8" hidden="false" customHeight="false" outlineLevel="0" collapsed="false">
      <c r="A2" s="0" t="s">
        <v>83</v>
      </c>
    </row>
    <row r="11" customFormat="false" ht="13.8" hidden="false" customHeight="false" outlineLevel="0" collapsed="false">
      <c r="A11" s="10" t="s">
        <v>84</v>
      </c>
    </row>
    <row r="12" customFormat="false" ht="12.8" hidden="false" customHeight="false" outlineLevel="0" collapsed="false">
      <c r="A12" s="0" t="s">
        <v>85</v>
      </c>
    </row>
    <row r="13" customFormat="false" ht="12.8" hidden="false" customHeight="false" outlineLevel="0" collapsed="false">
      <c r="A13" s="0" t="s">
        <v>86</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Roman,Regular"&amp;12&amp;KffffffPage &amp;P</oddFooter>
  </headerFooter>
</worksheet>
</file>

<file path=docProps/app.xml><?xml version="1.0" encoding="utf-8"?>
<Properties xmlns="http://schemas.openxmlformats.org/officeDocument/2006/extended-properties" xmlns:vt="http://schemas.openxmlformats.org/officeDocument/2006/docPropsVTypes">
  <Template/>
  <TotalTime>233</TotalTime>
  <Application>LibreOffice/26.2.4.2$Windows_X86_64 LibreOffice_project/0229ac93fcf0d7cbc6376066c6f35021cef002dc</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2015-06-05T18:17:20Z</dcterms:created>
  <dc:creator>Tom Davies</dc:creator>
  <dc:description/>
  <dc:language>en-GB</dc:language>
  <cp:lastModifiedBy/>
  <dcterms:modified xsi:type="dcterms:W3CDTF">2026-06-10T22:36:56Z</dcterms:modified>
  <cp:revision>6</cp:revision>
  <dc:subject/>
  <dc:title/>
</cp:coreProperties>
</file>

<file path=docProps/custom.xml><?xml version="1.0" encoding="utf-8"?>
<Properties xmlns="http://schemas.openxmlformats.org/officeDocument/2006/custom-properties" xmlns:vt="http://schemas.openxmlformats.org/officeDocument/2006/docPropsVTypes"/>
</file>