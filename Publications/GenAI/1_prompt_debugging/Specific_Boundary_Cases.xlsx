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Notes" sheetId="2" state="visible" r:id="rId4"/>
    <sheet name="Edge Cases for Few-Sho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<sst xmlns="http://schemas.openxmlformats.org/spreadsheetml/2006/main" count="142" uniqueCount="94">
  <si>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</si>
  <si>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</si>
  <si>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</si>
  <si>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</si>
  <si>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</si>
  <si>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</si>
  <si>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</si>
  <si>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</si>
  <si>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</si>
  <si>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</si>
  <si>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</si>
  <si>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</si>
  <si>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</si>
  <si>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</si>
  <si>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Manual review notes for scope</t>
  </si>
  <si>
    <t xml:space="preserve">Manual review notes for pillar</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</si>
  <si>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</si>
  <si>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</si>
  <si>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</si>
  <si>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in</t>
  </si>
  <si>
    <t xml:space="preserve">out</t>
  </si>
  <si>
    <t xml:space="preserve">This publication focuses on fish cell line biology and culture optimization for toxicology and climate change research, not on alternative proteins for human food. The stated use case is studying aquatic species biology and developing animal-free culture media for research purposes, which falls outside the scope of alternative protein development intended as substitutes for conventional animal proteins in human food.</t>
  </si>
  <si>
    <t xml:space="preserve">CM</t>
  </si>
  <si>
    <t xml:space="preserve">NA</t>
  </si>
  <si>
    <t xml:space="preserve">I agree with the LLM’s reasoning. Aquaculture is stated as a potential product but not as a focus for this research.</t>
  </si>
  <si>
    <t xml:space="preserve">https://www.frontiersin.org/journals/toxicology/articles/10.3389/ftox.2025.1636776/full#s9</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</si>
  <si>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</si>
  <si>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</si>
  <si>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</si>
  <si>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focuses on fermentation as a processing method to modify and enhance plant-based proteins for human food applications, improving nutritional value, digestibility, and allergenicity. According to the boundaries, when fermentation is used to process plant proteins rather than serving as the microbial biomass protein source itself, the classification should reflect the primary protein source (plant-based) rather than the processing method. The work is clearly relevant to alternative protein development and optimization.</t>
  </si>
  <si>
    <t xml:space="preserve">CC</t>
  </si>
  <si>
    <t xml:space="preserve">PB</t>
  </si>
  <si>
    <t xml:space="preserve">I agree with the LLM. The paper only discusses using fermentation to modify plant-based proteins (not biomass or precision fermentation).</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</si>
  <si>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</si>
  <si>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</si>
  <si>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</si>
  <si>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While the abstract mentions cultivated meat as a potential future application, alginate itself is a polysaccharide functional ingredient, not a protein. The publication focuses on extraction methods and processing of alginate from brown seaweed, with protein as neither a primary nor significant focus. Alginate is a thickening/gelling agent used in food formulations, not an alternative protein source intended to substitute animal proteins. The cultivated meat mention is speculative and not the primary research focus.</t>
  </si>
  <si>
    <t xml:space="preserve">I agree with the LLM. Cultivated meat is barely mentioned in the paper. I should add a boundary condition to specify more clearly that enabling technologies are included when alternative protein production is a primary or significant stated application, but not speculative or incidental mention. But this should be excluded imo.</t>
  </si>
  <si>
    <t xml:space="preserve">Edit to prompt: specify / clarify that enabling technologies for these alternative proteins are included (maybe add as a boundary condition specific for cultivated meat?)</t>
  </si>
  <si>
    <t xml:space="preserve">https://www.sciencedirect.com/science/article/pii/S014486172500685X#s0130</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</si>
  <si>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</si>
  <si>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</si>
  <si>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</si>
  <si>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This is a consumer tracking survey report focused on food prices, affordability, shopping behaviours, food safety concerns, and awareness of novel foods. While it mentions lab-grown meat and cell-cultivated products, these are only incidental topics within a broader consumer attitudes survey. The publication does not advance the development, characterisation, or understanding of alternative proteins themselves, nor does it focus on the science, technology, or processes of producing alternative proteins. It is a general consumer behaviour and awareness study, not alternative protein research.</t>
  </si>
  <si>
    <t xml:space="preserve">In scope. Socioeconomic bits being excluded again. Realised boundaries are very scientific research focussed → add one boundary to catch all socioeconomic research that explicitly means alt protein (does not have to be the major focus)</t>
  </si>
  <si>
    <t xml:space="preserve">Edit to prompt: add boundary condition for socioeconomic research that explicitly mentions alt proteins (must have researched it, does not necessarily have to be the primary focus)</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</si>
  <si>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</si>
  <si>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</si>
  <si>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</si>
  <si>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While this publication addresses protein from a plant source (maize), the primary focus is on processing a side stream to recover oil and optimize starch separation, with protein as an incidental component. The stated aim is to utilize an underutilized fraction through dry fractionation and oil extraction, not to develop a plant-based protein ingredient or product intended to substitute animal proteins. The protein content and yields are moderate, and the work focuses on processing efficiency and foam stability as a functional property, but lacks evidence that the protein is being developed as an alternative protein for human food applications such as meat, dairy, or egg analogues.</t>
  </si>
  <si>
    <t xml:space="preserve">Less clear it is in scope. Leaning agree with LLM.</t>
  </si>
  <si>
    <t xml:space="preserve">pub.1192827486</t>
  </si>
  <si>
    <t xml:space="preserve">Transcriptome profiles for defining avian primordial germ cell development</t>
  </si>
  <si>
    <t xml:space="preserve">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</si>
  <si>
    <t xml:space="preserve">This publication focuses on avian primordial germ cell development and gene expression profiling for reproductive biotechnology and genetic conservation purposes. While it mentions sustainable protein production in the introduction, the actual research concerns germ cell biology and developmental processes, not the development or characterization of alternative proteins for human food. The stated applications are reproductive biotechnology and genetic conservation, not food production.</t>
  </si>
  <si>
    <t xml:space="preserve">Agree with LLM, not in scope.</t>
  </si>
  <si>
    <t xml:space="preserve">pub.1191677996</t>
  </si>
  <si>
    <t xml:space="preserve">An in vitro study exploring the role of mucin in the protein-flavor binding mechanism</t>
  </si>
  <si>
    <t xml:space="preserve">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</si>
  <si>
    <t xml:space="preserve">This publication focuses on the biochemical mechanism of flavor-protein binding in a model system using commercial protein isolates and mucin. While it examines protein properties, the stated aim is understanding flavor binding mechanisms for general food design, not developing or optimizing alternative proteins as substitutes for animal products. The research does not address alternative protein development, characterization for food applications, or substitution of conventional animal proteins.</t>
  </si>
  <si>
    <t xml:space="preserve">Lean agree with LLM, not in scope.</t>
  </si>
  <si>
    <t xml:space="preserve">pub.1184344359</t>
  </si>
  <si>
    <t xml:space="preserve">Chitosan-zinc oxide thyme oil-based edible antimicrobial hydrogel coatings: application on pork and tofu sausages</t>
  </si>
  <si>
    <t xml:space="preserve">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</si>
  <si>
    <t xml:space="preserve">This publication focuses on food packaging and preservation technology (antimicrobial hydrogel coatings) applied to conventional meat and tofu products. While tofu is plant-based, the research does not concern the development, characterisation, or optimisation of alternative proteins themselves, nor does it address protein functionality or processing for substituting animal products. The primary focus is on coating materials and shelf-life extension, making this a food packaging study rather than alternative protein research.</t>
  </si>
  <si>
    <t xml:space="preserve">Agree with LLM, not in scope. Tofu sausage is only a test substrate (and second to pork in this case), so the publication is not focussed enough on alt proteins.</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</si>
  <si>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</si>
  <si>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</si>
  <si>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</si>
  <si>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While the publication uses mycoprotein (Aspergillus oryzae biomass), a fermentation-derived protein, the primary focus is on food texture engineering and 3D printing technology for medical nutrition purposes (dysphagia management). The stated aim is developing personalized food for vulnerable populations with specific medical dietary needs, which falls under the exclusion criterion for products developed specifically for medical nutrition or vulnerable populations. The alternative protein aspect is incidental to the medical application.</t>
  </si>
  <si>
    <t xml:space="preserve">F</t>
  </si>
  <si>
    <t xml:space="preserve">Genuinely edge case. I tend to agree with the LLM and exclude though given the primary focus is as a medical nutrition solution / targeted at vulnerable population.</t>
  </si>
  <si>
    <t xml:space="preserve">pub.1186213546</t>
  </si>
  <si>
    <t xml:space="preserve">Impact of Vegan and Vegetarian Diets on Neurological Health: A Critical Review</t>
  </si>
  <si>
    <t xml:space="preserve">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</si>
  <si>
    <t xml:space="preserve">This publication is a broad dietary health review comparing vegan and vegetarian diets with neurological outcomes. It does not focus on alternative protein development, characterisation, processing, or optimisation. The study examines general health and nutritional adequacy of plant-based diets rather than advancing alternative protein ingredients or products for substituting animal proteins in food.</t>
  </si>
  <si>
    <t xml:space="preserve">Agree with LLM, not in scope. Publication on diet and health outcomes, not even specifically alt proteins, just vegan / vegetarian.</t>
  </si>
  <si>
    <t xml:space="preserve">pub.1193249719</t>
  </si>
  <si>
    <t xml:space="preserve">Evaluating Scale-Up Cultivation Modes for Aspergillus oryzae Biomass Production Using VFA-Rich Effluents from Agro-Industrial Residues</t>
  </si>
  <si>
    <t xml:space="preserve">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</si>
  <si>
    <t xml:space="preserve">This publication is explicitly focused on fungal biomass production for animal feed formulations, as stated in the abstract: 'crucial if the biomass is intended to be used in animal feed formulations.' The stated use case is animal feed, not human food, which is an explicit exclusion criterion regardless of apparent relevance to alternative proteins.</t>
  </si>
  <si>
    <t xml:space="preserve">Agree with LLM, not in scope. Specifically focussed on animal feed, not human food.</t>
  </si>
  <si>
    <t xml:space="preserve">This is a general consumer attitudes and food safety tracking survey with only incidental mention of cultivated meat as one awareness metric among many unrelated food concerns; it does not substantively research alternative proteins, their development, characterisation, or acceptance in ways that advance the field.</t>
  </si>
  <si>
    <t xml:space="preserve">In scope. I can see the issue but not sure I can fix it… More edge case.</t>
  </si>
  <si>
    <t xml:space="preserve">Important notes:</t>
  </si>
  <si>
    <t xml:space="preserve">- I am being quite cut-throat with stated alt protein application. It cannot just be ‘and maybe in the future it could be used in cultivated meat’, the research must explicitly develop the product FOR alt proteins.</t>
  </si>
  <si>
    <t xml:space="preserve">NOTE</t>
  </si>
  <si>
    <t xml:space="preserve">I actually wonder whether the general definition of ‘substitutes for conventional animal proteins’ </t>
  </si>
  <si>
    <t xml:space="preserve">I am similarly concerned about the exclusion for foods that do not substitute animal proteins (e.g. bread, pasta, snacks)</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</si>
  <si>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</si>
  <si>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</si>
  <si>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</si>
  <si>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While cultivated meat is mentioned, the publication's primary focus is consumer acceptance and willingness to eat novel foods including insects (explicitly excluded), soil-less vegetables (not alternative proteins), and cultivated meat; the substantive content concerns broad dietary acceptance rather than advancing alternative protein development, characterisation, or understanding, making it primarily a general food acceptance study rather than alternative protein research.</t>
  </si>
  <si>
    <t xml:space="preserve">Concerning that it thinks I excluded consumer acceptance?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</si>
</sst>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4">
    <fill>
      <patternFill patternType="none"/>
    </fill>
    <fill>
      <patternFill patternType="gray125"/>
    </fill>
    <fill>
      <patternFill patternType="solid">
        <fgColor rgb="FFFFFF00"/>
        <bgColor rgb="FFFFFF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18" activeCellId="0" sqref="O18"/>
    </sheetView>
  </sheetViews>
  <sheetFormatPr defaultColWidth="8.34375" defaultRowHeight="15" customHeight="false" zeroHeight="false" outlineLevelRow="0" outlineLevelCol="0"/>
  <cols>
    <col collapsed="false" customWidth="true" hidden="false" outlineLevel="0" max="15" min="15" style="1" width="35.61"/>
    <col collapsed="false" customWidth="true" hidden="false" outlineLevel="0" max="16" min="16" style="1" width="26.86"/>
    <col collapsed="false" customWidth="true" hidden="false" outlineLevel="0" max="17" min="17" style="0" width="24.06"/>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1" t="s">
        <v>14</v>
      </c>
      <c r="P1" s="1" t="s">
        <v>15</v>
      </c>
    </row>
    <row r="2" customFormat="false" ht="45.1" hidden="false" customHeight="false" outlineLevel="0" collapsed="false">
      <c r="A2" s="0" t="s">
        <v>16</v>
      </c>
      <c r="B2" s="0" t="s">
        <v>17</v>
      </c>
      <c r="C2" s="2" t="s">
        <v>18</v>
      </c>
      <c r="D2" s="0" t="s">
        <v>19</v>
      </c>
      <c r="E2" s="0" t="s">
        <v>20</v>
      </c>
      <c r="F2" s="0" t="n">
        <v>5</v>
      </c>
      <c r="G2" s="0" t="s">
        <v>21</v>
      </c>
      <c r="H2" s="3" t="b">
        <f aca="false">FALSE()</f>
        <v>0</v>
      </c>
      <c r="I2" s="0" t="s">
        <v>22</v>
      </c>
      <c r="J2" s="0" t="s">
        <v>23</v>
      </c>
      <c r="K2" s="4" t="b">
        <f aca="false">FALSE()</f>
        <v>0</v>
      </c>
      <c r="L2" s="4" t="b">
        <f aca="false">FALSE()</f>
        <v>0</v>
      </c>
      <c r="M2" s="4" t="b">
        <f aca="false">FALSE()</f>
        <v>0</v>
      </c>
      <c r="N2" s="4" t="b">
        <f aca="false">FALSE()</f>
        <v>0</v>
      </c>
      <c r="O2" s="1" t="s">
        <v>24</v>
      </c>
      <c r="Q2" s="0" t="s">
        <v>25</v>
      </c>
    </row>
    <row r="3" customFormat="false" ht="15" hidden="false" customHeight="false" outlineLevel="0" collapsed="false">
      <c r="A3" s="0" t="s">
        <v>26</v>
      </c>
      <c r="B3" s="0" t="s">
        <v>27</v>
      </c>
      <c r="C3" s="0" t="s">
        <v>28</v>
      </c>
      <c r="D3" s="0" t="s">
        <v>19</v>
      </c>
      <c r="E3" s="0" t="s">
        <v>19</v>
      </c>
      <c r="F3" s="0" t="n">
        <v>4</v>
      </c>
      <c r="G3" s="0" t="s">
        <v>29</v>
      </c>
      <c r="H3" s="4" t="b">
        <f aca="false">TRUE()</f>
        <v>1</v>
      </c>
      <c r="I3" s="0" t="s">
        <v>30</v>
      </c>
      <c r="J3" s="0" t="s">
        <v>31</v>
      </c>
      <c r="K3" s="3" t="b">
        <f aca="false">FALSE()</f>
        <v>0</v>
      </c>
      <c r="L3" s="4" t="b">
        <f aca="false">TRUE()</f>
        <v>1</v>
      </c>
      <c r="M3" s="4" t="b">
        <f aca="false">FALSE()</f>
        <v>0</v>
      </c>
      <c r="N3" s="4" t="b">
        <f aca="false">FALSE()</f>
        <v>0</v>
      </c>
      <c r="O3" s="0"/>
      <c r="P3" s="0" t="s">
        <v>32</v>
      </c>
    </row>
    <row r="4" customFormat="false" ht="88.7" hidden="false" customHeight="false" outlineLevel="0" collapsed="false">
      <c r="A4" s="0" t="s">
        <v>33</v>
      </c>
      <c r="B4" s="0" t="s">
        <v>34</v>
      </c>
      <c r="C4" s="0" t="s">
        <v>35</v>
      </c>
      <c r="D4" s="0" t="s">
        <v>19</v>
      </c>
      <c r="E4" s="0" t="s">
        <v>20</v>
      </c>
      <c r="F4" s="5" t="n">
        <v>4</v>
      </c>
      <c r="G4" s="0" t="s">
        <v>36</v>
      </c>
      <c r="H4" s="3" t="b">
        <f aca="false">FALSE()</f>
        <v>0</v>
      </c>
      <c r="I4" s="0" t="s">
        <v>22</v>
      </c>
      <c r="J4" s="0" t="s">
        <v>23</v>
      </c>
      <c r="K4" s="3" t="b">
        <f aca="false">FALSE()</f>
        <v>0</v>
      </c>
      <c r="L4" s="4" t="b">
        <f aca="false">FALSE()</f>
        <v>0</v>
      </c>
      <c r="M4" s="4" t="b">
        <f aca="false">FALSE()</f>
        <v>0</v>
      </c>
      <c r="N4" s="4" t="b">
        <f aca="false">FALSE()</f>
        <v>0</v>
      </c>
      <c r="O4" s="1" t="s">
        <v>37</v>
      </c>
      <c r="Q4" s="1" t="s">
        <v>38</v>
      </c>
      <c r="R4" s="0" t="s">
        <v>39</v>
      </c>
    </row>
    <row r="5" customFormat="false" ht="77.8" hidden="false" customHeight="false" outlineLevel="0" collapsed="false">
      <c r="A5" s="0" t="s">
        <v>40</v>
      </c>
      <c r="B5" s="0" t="s">
        <v>41</v>
      </c>
      <c r="C5" s="0" t="s">
        <v>42</v>
      </c>
      <c r="D5" s="0" t="s">
        <v>19</v>
      </c>
      <c r="E5" s="0" t="s">
        <v>20</v>
      </c>
      <c r="F5" s="0" t="n">
        <v>5</v>
      </c>
      <c r="G5" s="0" t="s">
        <v>43</v>
      </c>
      <c r="H5" s="3" t="b">
        <f aca="false">FALSE()</f>
        <v>0</v>
      </c>
      <c r="I5" s="0" t="s">
        <v>22</v>
      </c>
      <c r="J5" s="0" t="s">
        <v>23</v>
      </c>
      <c r="K5" s="3" t="b">
        <f aca="false">FALSE()</f>
        <v>0</v>
      </c>
      <c r="L5" s="4" t="b">
        <f aca="false">FALSE()</f>
        <v>0</v>
      </c>
      <c r="M5" s="4" t="b">
        <f aca="false">FALSE()</f>
        <v>0</v>
      </c>
      <c r="N5" s="4" t="b">
        <f aca="false">FALSE()</f>
        <v>0</v>
      </c>
      <c r="O5" s="1" t="s">
        <v>44</v>
      </c>
      <c r="Q5" s="1" t="s">
        <v>45</v>
      </c>
    </row>
    <row r="6" customFormat="false" ht="23.3" hidden="false" customHeight="false" outlineLevel="0" collapsed="false">
      <c r="A6" s="0" t="s">
        <v>46</v>
      </c>
      <c r="B6" s="0" t="s">
        <v>47</v>
      </c>
      <c r="C6" s="0" t="s">
        <v>48</v>
      </c>
      <c r="D6" s="0" t="s">
        <v>19</v>
      </c>
      <c r="E6" s="0" t="s">
        <v>20</v>
      </c>
      <c r="F6" s="0" t="n">
        <v>4</v>
      </c>
      <c r="G6" s="0" t="s">
        <v>49</v>
      </c>
      <c r="H6" s="3" t="b">
        <f aca="false">FALSE()</f>
        <v>0</v>
      </c>
      <c r="I6" s="0" t="s">
        <v>31</v>
      </c>
      <c r="J6" s="0" t="s">
        <v>23</v>
      </c>
      <c r="K6" s="3" t="b">
        <f aca="false">FALSE()</f>
        <v>0</v>
      </c>
      <c r="L6" s="4" t="b">
        <f aca="false">FALSE()</f>
        <v>0</v>
      </c>
      <c r="M6" s="4" t="b">
        <f aca="false">FALSE()</f>
        <v>0</v>
      </c>
      <c r="N6" s="4" t="b">
        <f aca="false">FALSE()</f>
        <v>0</v>
      </c>
      <c r="O6" s="1" t="s">
        <v>50</v>
      </c>
      <c r="Q6" s="1"/>
    </row>
    <row r="7" customFormat="false" ht="15" hidden="false" customHeight="false" outlineLevel="0" collapsed="false">
      <c r="A7" s="0" t="s">
        <v>51</v>
      </c>
      <c r="B7" s="0" t="s">
        <v>52</v>
      </c>
      <c r="C7" s="0" t="s">
        <v>53</v>
      </c>
      <c r="D7" s="0" t="s">
        <v>19</v>
      </c>
      <c r="E7" s="0" t="s">
        <v>20</v>
      </c>
      <c r="F7" s="0" t="n">
        <v>5</v>
      </c>
      <c r="G7" s="0" t="s">
        <v>54</v>
      </c>
      <c r="H7" s="3" t="b">
        <f aca="false">FALSE()</f>
        <v>0</v>
      </c>
      <c r="I7" s="0" t="s">
        <v>22</v>
      </c>
      <c r="J7" s="0" t="s">
        <v>23</v>
      </c>
      <c r="K7" s="3" t="b">
        <f aca="false">FALSE()</f>
        <v>0</v>
      </c>
      <c r="L7" s="4" t="b">
        <f aca="false">FALSE()</f>
        <v>0</v>
      </c>
      <c r="M7" s="4" t="b">
        <f aca="false">FALSE()</f>
        <v>0</v>
      </c>
      <c r="N7" s="4" t="b">
        <f aca="false">FALSE()</f>
        <v>0</v>
      </c>
      <c r="O7" s="1" t="s">
        <v>55</v>
      </c>
      <c r="Q7" s="1"/>
    </row>
    <row r="8" customFormat="false" ht="23.3" hidden="false" customHeight="false" outlineLevel="0" collapsed="false">
      <c r="A8" s="0" t="s">
        <v>56</v>
      </c>
      <c r="B8" s="0" t="s">
        <v>57</v>
      </c>
      <c r="C8" s="0" t="s">
        <v>58</v>
      </c>
      <c r="D8" s="0" t="s">
        <v>19</v>
      </c>
      <c r="E8" s="0" t="s">
        <v>20</v>
      </c>
      <c r="F8" s="0" t="n">
        <v>5</v>
      </c>
      <c r="G8" s="0" t="s">
        <v>59</v>
      </c>
      <c r="H8" s="3" t="b">
        <f aca="false">FALSE()</f>
        <v>0</v>
      </c>
      <c r="I8" s="0" t="s">
        <v>31</v>
      </c>
      <c r="J8" s="0" t="s">
        <v>23</v>
      </c>
      <c r="K8" s="3" t="b">
        <f aca="false">FALSE()</f>
        <v>0</v>
      </c>
      <c r="L8" s="4" t="b">
        <f aca="false">FALSE()</f>
        <v>0</v>
      </c>
      <c r="M8" s="4" t="b">
        <f aca="false">FALSE()</f>
        <v>0</v>
      </c>
      <c r="N8" s="4" t="b">
        <f aca="false">FALSE()</f>
        <v>0</v>
      </c>
      <c r="O8" s="1" t="s">
        <v>60</v>
      </c>
      <c r="Q8" s="1"/>
    </row>
    <row r="9" customFormat="false" ht="45.1" hidden="false" customHeight="false" outlineLevel="0" collapsed="false">
      <c r="A9" s="0" t="s">
        <v>61</v>
      </c>
      <c r="B9" s="0" t="s">
        <v>62</v>
      </c>
      <c r="C9" s="0" t="s">
        <v>63</v>
      </c>
      <c r="D9" s="0" t="s">
        <v>19</v>
      </c>
      <c r="E9" s="0" t="s">
        <v>20</v>
      </c>
      <c r="F9" s="0" t="n">
        <v>5</v>
      </c>
      <c r="G9" s="0" t="s">
        <v>64</v>
      </c>
      <c r="H9" s="3" t="b">
        <f aca="false">FALSE()</f>
        <v>0</v>
      </c>
      <c r="I9" s="0" t="s">
        <v>31</v>
      </c>
      <c r="J9" s="0" t="s">
        <v>23</v>
      </c>
      <c r="K9" s="3" t="b">
        <f aca="false">FALSE()</f>
        <v>0</v>
      </c>
      <c r="L9" s="4" t="b">
        <f aca="false">FALSE()</f>
        <v>0</v>
      </c>
      <c r="M9" s="4" t="b">
        <f aca="false">FALSE()</f>
        <v>0</v>
      </c>
      <c r="N9" s="4" t="b">
        <f aca="false">FALSE()</f>
        <v>0</v>
      </c>
      <c r="O9" s="1" t="s">
        <v>65</v>
      </c>
    </row>
    <row r="10" customFormat="false" ht="45.1" hidden="false" customHeight="false" outlineLevel="0" collapsed="false">
      <c r="A10" s="0" t="s">
        <v>66</v>
      </c>
      <c r="B10" s="0" t="s">
        <v>67</v>
      </c>
      <c r="C10" s="0" t="s">
        <v>68</v>
      </c>
      <c r="D10" s="0" t="s">
        <v>19</v>
      </c>
      <c r="E10" s="0" t="s">
        <v>20</v>
      </c>
      <c r="F10" s="0" t="n">
        <v>2</v>
      </c>
      <c r="G10" s="0" t="s">
        <v>69</v>
      </c>
      <c r="H10" s="3" t="b">
        <f aca="false">FALSE()</f>
        <v>0</v>
      </c>
      <c r="I10" s="0" t="s">
        <v>70</v>
      </c>
      <c r="J10" s="0" t="s">
        <v>23</v>
      </c>
      <c r="K10" s="3" t="b">
        <f aca="false">FALSE()</f>
        <v>0</v>
      </c>
      <c r="L10" s="4" t="b">
        <f aca="false">FALSE()</f>
        <v>0</v>
      </c>
      <c r="M10" s="4" t="b">
        <f aca="false">FALSE()</f>
        <v>0</v>
      </c>
      <c r="N10" s="4" t="b">
        <f aca="false">FALSE()</f>
        <v>0</v>
      </c>
      <c r="O10" s="1" t="s">
        <v>71</v>
      </c>
    </row>
    <row r="11" customFormat="false" ht="45.1" hidden="false" customHeight="false" outlineLevel="0" collapsed="false">
      <c r="A11" s="0" t="s">
        <v>72</v>
      </c>
      <c r="B11" s="0" t="s">
        <v>73</v>
      </c>
      <c r="C11" s="2" t="s">
        <v>74</v>
      </c>
      <c r="D11" s="0" t="s">
        <v>19</v>
      </c>
      <c r="E11" s="0" t="s">
        <v>20</v>
      </c>
      <c r="F11" s="0" t="n">
        <v>5</v>
      </c>
      <c r="G11" s="0" t="s">
        <v>75</v>
      </c>
      <c r="H11" s="3" t="b">
        <f aca="false">FALSE()</f>
        <v>0</v>
      </c>
      <c r="I11" s="0" t="s">
        <v>31</v>
      </c>
      <c r="J11" s="0" t="s">
        <v>23</v>
      </c>
      <c r="K11" s="3" t="b">
        <f aca="false">FALSE()</f>
        <v>0</v>
      </c>
      <c r="L11" s="4" t="b">
        <f aca="false">FALSE()</f>
        <v>0</v>
      </c>
      <c r="M11" s="4" t="b">
        <f aca="false">FALSE()</f>
        <v>0</v>
      </c>
      <c r="N11" s="4" t="b">
        <f aca="false">FALSE()</f>
        <v>0</v>
      </c>
      <c r="O11" s="1" t="s">
        <v>76</v>
      </c>
    </row>
    <row r="12" customFormat="false" ht="34.2" hidden="false" customHeight="false" outlineLevel="0" collapsed="false">
      <c r="A12" s="6" t="s">
        <v>77</v>
      </c>
      <c r="B12" s="6" t="s">
        <v>78</v>
      </c>
      <c r="C12" s="6" t="s">
        <v>79</v>
      </c>
      <c r="D12" s="6" t="s">
        <v>19</v>
      </c>
      <c r="E12" s="6" t="s">
        <v>20</v>
      </c>
      <c r="F12" s="6" t="n">
        <v>5</v>
      </c>
      <c r="G12" s="6" t="s">
        <v>80</v>
      </c>
      <c r="H12" s="7" t="b">
        <f aca="false">FALSE()</f>
        <v>0</v>
      </c>
      <c r="I12" s="6" t="s">
        <v>70</v>
      </c>
      <c r="J12" s="6" t="s">
        <v>23</v>
      </c>
      <c r="K12" s="7" t="b">
        <f aca="false">FALSE()</f>
        <v>0</v>
      </c>
      <c r="L12" s="8" t="b">
        <f aca="false">FALSE()</f>
        <v>0</v>
      </c>
      <c r="M12" s="8" t="b">
        <f aca="false">FALSE()</f>
        <v>0</v>
      </c>
      <c r="N12" s="8" t="b">
        <f aca="false">FALSE()</f>
        <v>0</v>
      </c>
      <c r="O12" s="9" t="s">
        <v>81</v>
      </c>
      <c r="P12" s="9"/>
      <c r="Q12" s="9"/>
    </row>
    <row r="17" customFormat="false" ht="15" hidden="false" customHeight="false" outlineLevel="0" collapsed="false">
      <c r="A17" s="0" t="s">
        <v>40</v>
      </c>
      <c r="B17" s="0" t="s">
        <v>41</v>
      </c>
      <c r="C17" s="0" t="s">
        <v>42</v>
      </c>
      <c r="D17" s="0" t="s">
        <v>19</v>
      </c>
      <c r="E17" s="0" t="s">
        <v>20</v>
      </c>
      <c r="F17" s="0" t="n">
        <v>5</v>
      </c>
      <c r="G17" s="0" t="s">
        <v>82</v>
      </c>
      <c r="H17" s="3" t="b">
        <f aca="false">FALSE()</f>
        <v>0</v>
      </c>
      <c r="I17" s="0" t="s">
        <v>22</v>
      </c>
      <c r="J17" s="0" t="s">
        <v>23</v>
      </c>
      <c r="K17" s="4" t="b">
        <f aca="false">FALSE()</f>
        <v>0</v>
      </c>
      <c r="L17" s="4" t="b">
        <f aca="false">FALSE()</f>
        <v>0</v>
      </c>
      <c r="M17" s="4" t="b">
        <f aca="false">FALSE()</f>
        <v>0</v>
      </c>
      <c r="N17" s="4" t="b">
        <f aca="false">FALSE()</f>
        <v>0</v>
      </c>
      <c r="O17" s="0" t="s">
        <v>83</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4" activeCellId="0" sqref="A14"/>
    </sheetView>
  </sheetViews>
  <sheetFormatPr defaultColWidth="11.53515625" defaultRowHeight="12.8" customHeight="false" zeroHeight="false" outlineLevelRow="0" outlineLevelCol="0"/>
  <sheetData>
    <row r="1" customFormat="false" ht="12.8" hidden="false" customHeight="false" outlineLevel="0" collapsed="false">
      <c r="A1" s="0" t="s">
        <v>84</v>
      </c>
    </row>
    <row r="2" customFormat="false" ht="12.8" hidden="false" customHeight="false" outlineLevel="0" collapsed="false">
      <c r="A2" s="0" t="s">
        <v>85</v>
      </c>
    </row>
    <row r="11" customFormat="false" ht="13.8" hidden="false" customHeight="false" outlineLevel="0" collapsed="false">
      <c r="A11" s="10" t="s">
        <v>86</v>
      </c>
    </row>
    <row r="12" customFormat="false" ht="12.8" hidden="false" customHeight="false" outlineLevel="0" collapsed="false">
      <c r="A12" s="0" t="s">
        <v>87</v>
      </c>
    </row>
    <row r="13" customFormat="false" ht="12.8" hidden="false" customHeight="false" outlineLevel="0" collapsed="false">
      <c r="A13" s="0" t="s">
        <v>88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11.53515625" defaultRowHeight="12.8" customHeight="false" zeroHeight="false" outlineLevelRow="0" outlineLevelCol="0"/>
  <sheetData>
    <row r="2" customFormat="false" ht="13.8" hidden="false" customHeight="false" outlineLevel="0" collapsed="false">
      <c r="A2" s="0" t="s">
        <v>89</v>
      </c>
      <c r="B2" s="0" t="s">
        <v>90</v>
      </c>
      <c r="C2" s="0" t="s">
        <v>91</v>
      </c>
      <c r="D2" s="0" t="s">
        <v>19</v>
      </c>
      <c r="E2" s="0" t="s">
        <v>20</v>
      </c>
      <c r="F2" s="11" t="n">
        <v>2</v>
      </c>
      <c r="G2" s="0" t="s">
        <v>92</v>
      </c>
      <c r="H2" s="3" t="b">
        <f aca="false">FALSE()</f>
        <v>0</v>
      </c>
      <c r="I2" s="0" t="s">
        <v>22</v>
      </c>
      <c r="J2" s="0" t="s">
        <v>23</v>
      </c>
      <c r="K2" s="4" t="b">
        <f aca="false">FALSE()</f>
        <v>0</v>
      </c>
      <c r="L2" s="4" t="b">
        <f aca="false">FALSE()</f>
        <v>0</v>
      </c>
      <c r="M2" s="4" t="b">
        <f aca="false">FALSE()</f>
        <v>0</v>
      </c>
      <c r="N2" s="4" t="b">
        <f aca="false">FALSE()</f>
        <v>0</v>
      </c>
      <c r="O2" s="0" t="s">
        <v>93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268</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Tom Davies</dc:creator>
  <dc:description/>
  <dc:language>en-GB</dc:language>
  <cp:lastModifiedBy/>
  <dcterms:modified xsi:type="dcterms:W3CDTF">2026-06-10T23:29:23Z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