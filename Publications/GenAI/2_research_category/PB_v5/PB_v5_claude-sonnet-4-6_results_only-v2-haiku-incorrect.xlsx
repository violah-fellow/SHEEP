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<sst xmlns="http://schemas.openxmlformats.org/spreadsheetml/2006/main" count="264" uniqueCount="154">
  <si>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</si>
  <si>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</si>
  <si>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</si>
  <si>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</si>
  <si>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</si>
  <si>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</si>
  <si>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</si>
  <si>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</si>
  <si>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</si>
  <si>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</si>
  <si>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</si>
  <si>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v2 Category Notes</t>
  </si>
  <si>
    <t xml:space="preserve">pub.1190533978</t>
  </si>
  <si>
    <t xml:space="preserve">Evaluation of the genotoxic potential and minimisation of antinutrients in edible Xuta (Jatropha curcas L.) kernels</t>
  </si>
  <si>
    <t xml:space="preserve">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</si>
  <si>
    <t xml:space="preserve">PB</t>
  </si>
  <si>
    <t xml:space="preserve">Ingredient optimisation</t>
  </si>
  <si>
    <t xml:space="preserve">Food safety &amp; quality</t>
  </si>
  <si>
    <t xml:space="preserve">The paper primarily assesses the genotoxic and mutagenic safety of Xuta kernels and measures antinutritional factors, which is a food safety assessment; secondarily, it evaluates hydrothermal processing to reduce antinutrients, touching on ingredient-level processing and characterisation.</t>
  </si>
  <si>
    <t xml:space="preserve">I agree with LLM. Primarily a food safety assessment.</t>
  </si>
  <si>
    <t xml:space="preserve">pub.1193708822</t>
  </si>
  <si>
    <t xml:space="preserve">How healthy are meat alternatives? A qualitative exploration among Dutch adults using the model of positive health</t>
  </si>
  <si>
    <t xml:space="preserve">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</si>
  <si>
    <t xml:space="preserve">Health &amp; nutrition</t>
  </si>
  <si>
    <t xml:space="preserve">Consumer &amp; market research</t>
  </si>
  <si>
    <t xml:space="preserve">The study uses qualitative interviews to explore consumer perceptions of how meat alternatives affect perceived health across multiple dimensions, making it primarily a consumer behaviour/perception study with secondary relevance to health and nutrition outcomes.</t>
  </si>
  <si>
    <t xml:space="preserve">I agree with LLM. There is no assessment of health &amp; nutrition, only how consumers perceive the healthiness of meat alternatives and how it affects their daily lives.</t>
  </si>
  <si>
    <t xml:space="preserve">pub.1191161017</t>
  </si>
  <si>
    <t xml:space="preserve">Understanding sensory and emotional drivers of plant-based fish analogues acceptance in children and adul</t>
  </si>
  <si>
    <t xml:space="preserve">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</si>
  <si>
    <t xml:space="preserve">End product formulation</t>
  </si>
  <si>
    <t xml:space="preserve">The study primarily investigates consumer acceptance, sensory drivers of liking, and emotional responses to plant-based fish analogues across age groups, which is core consumer research; the secondary focus relates to the characterisation of finished plant-based fish analogue products across different formulations.</t>
  </si>
  <si>
    <t xml:space="preserve">I agree with LLM. While this research may inform end product formulation decisions, it is entirely consumer research.</t>
  </si>
  <si>
    <t xml:space="preserve">pub.1192660347</t>
  </si>
  <si>
    <t xml:space="preserve">Cooks as collaborative creators and evaluators: An iterative sensory-driven workshop to create vegetarian dishes</t>
  </si>
  <si>
    <t xml:space="preserve">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</si>
  <si>
    <t xml:space="preserve">Other</t>
  </si>
  <si>
    <t xml:space="preserve">This is a practitioner-facing workshop case study focused on recipe development with existing plant-based ingredients and culinary training, which fits the 'Other' catch-all; the secondary consumer/market research element is present through sensory assessments and questionnaires measuring cooks' perceptions and dish liking.</t>
  </si>
  <si>
    <t xml:space="preserve">Weird one. All three labels are defensible, but I have updated end product to exclude recipe development and updated other to include case studies and other more unusual types of publication.</t>
  </si>
  <si>
    <t xml:space="preserve">pub.1193375700</t>
  </si>
  <si>
    <t xml:space="preserve">Challenges in the Plant-based Dairy Alternatives Market: A Case Study of Ripened Rennet Cheese Alternatives in the Context of Sustainable Development Policy Principles</t>
  </si>
  <si>
    <t xml:space="preserve">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</si>
  <si>
    <t xml:space="preserve">Impact assessments</t>
  </si>
  <si>
    <t xml:space="preserve">This is a critical review and policy analysis piece examining whether plant-based dairy alternatives align with sustainable development goals, without a specific quantitative assessment methodology (LCA, TEA, etc.), making it primarily an opinion/perspective piece with secondary relevance to impact assessments.</t>
  </si>
  <si>
    <t xml:space="preserve">I agree with LLM. Policy focussed and therefore impact assessments.</t>
  </si>
  <si>
    <t xml:space="preserve">pub.1193472711</t>
  </si>
  <si>
    <t xml:space="preserve">Rheological analysis of swelling food soils for optimized cleaning in plant-based food production</t>
  </si>
  <si>
    <t xml:space="preserve">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</si>
  <si>
    <t xml:space="preserve">The paper develops a rheological methodology for optimizing cleaning protocols in plant-based food production lines, which is focused on manufacturing hygiene/cleaning practices rather than food safety of the product itself or any of the specific alternative protein research categories.</t>
  </si>
  <si>
    <t xml:space="preserve">Should be other. Prompt updated to promote Other selection and improve wording and examples for generic cleaning and equipment maintenance.</t>
  </si>
  <si>
    <t xml:space="preserve">pub.1192912327</t>
  </si>
  <si>
    <t xml:space="preserve">An update on fermented plant-based dairy alternatives: Advances towards consumer acceptability and modern diets</t>
  </si>
  <si>
    <t xml:space="preserve">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</si>
  <si>
    <t xml:space="preserve">This is a broad review article covering multiple aspects of fermented plant-based dairy alternatives including fermentation technology, sensory/rheological properties, health effects, and consumer perception, without a single primary experimental or analytical focus that fits a specific category; consumer acceptability and perception is a notable secondary theme addressed.</t>
  </si>
  <si>
    <t xml:space="preserve">Broad review. Should be Other</t>
  </si>
  <si>
    <t xml:space="preserve">pub.1187179468</t>
  </si>
  <si>
    <t xml:space="preserve">Historicizing the marketing of plant-based meat substitutes: a multimodal analysis of Sanitas Nut Food Company advertisements, 1896-1901</t>
  </si>
  <si>
    <t xml:space="preserve">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</si>
  <si>
    <t xml:space="preserve">The paper analyzes historical marketing strategies and rhetorical/multimodal approaches used in plant-based meat substitute advertisements, making consumer and market research its primary focus, with broader commentary on food culture and dietary knowledge placing it partly in the 'Other' category.</t>
  </si>
  <si>
    <t xml:space="preserve">I agree with LLM. Looks at historic advertising to inform marketing, so comes under consumer &amp; market research.</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</si>
  <si>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</si>
  <si>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</si>
  <si>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</si>
  <si>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The paper's primary focus is measuring glycation and oxidation products (health-relevant chemical markers including AGEs, lipid and protein oxidation products) in plant-based vs. pork balls through heating and simulated digestion, with physiological relevance as the endpoint; the ball formulations are secondary to this analytical goal.</t>
  </si>
  <si>
    <t xml:space="preserve">Should be Health. Prompt updated to make any publication reporting health-relevant outcomes be health &amp; nutrition, leaving end product formulation to be focused on functional, sensory, and nutritional qualities only, but not measured health impacts (in vitro or in vivo).</t>
  </si>
  <si>
    <t xml:space="preserve">pub.1189576105</t>
  </si>
  <si>
    <t xml:space="preserve">Functional and nutritional properties of fava bean ingredients processed by extrusion</t>
  </si>
  <si>
    <t xml:space="preserve">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</si>
  <si>
    <t xml:space="preserve">Texturization methods</t>
  </si>
  <si>
    <t xml:space="preserve">The study directly investigates how twin-screw extrusion at various SME levels modifies the functional and nutritional properties of individual fava bean ingredients (flour, starch, protein concentrates), making ingredient-level characterisation and optimisation the primary focus, with extrusion processing as the key methodological tool applied to individual ingredients.</t>
  </si>
  <si>
    <t xml:space="preserve">I agree with LLM. Extrusion is being used to modify plant protein ingredients (like water solubility, emulsifying properities), not to modify textural or structural endpoints (like bite, chewiness).</t>
  </si>
  <si>
    <t xml:space="preserve">pub.1186333542</t>
  </si>
  <si>
    <t xml:space="preserve">Sustainable valorization of almond and peanut plant-based milk cakes: The use of terpenoid mixtures as ready-to-use solvents to enhance supercritical CO2 extraction</t>
  </si>
  <si>
    <t xml:space="preserve">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</si>
  <si>
    <t xml:space="preserve">The paper focuses on improving fractionation and extraction of lipid and protein fractions from almond and peanut milk cakes using supercritical CO2 with terpenoid modifiers, which is ingredient-level processing and functionalisation; secondary relevance to end product formulation as the extracts are characterised for food, cosmetic, and pharmaceutical applications.</t>
  </si>
  <si>
    <t xml:space="preserve">Borderline. I am leaning ingredient optimisation because it researches a method for extracting plant-based food ingredients. I think it was labelled Other as the most obvious link to AP is waste valorisation, but this is more contextual / provides a sustainability reason for the research rather than actually what the research itself does.</t>
  </si>
  <si>
    <t xml:space="preserve">pub.1187663980</t>
  </si>
  <si>
    <t xml:space="preserve">High-moisture extrusion enhances soy protein quality based on in vitro protein digestibility and amino acid scores</t>
  </si>
  <si>
    <t xml:space="preserve">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</si>
  <si>
    <t xml:space="preserve">The study investigates how high-moisture extrusion process conditions affect the protein quality (in vitro digestibility, amino acid scores) and physical properties of soy protein ingredients (SPC and SPI), making ingredient-level characterisation the primary focus, with texturisation methods (HME) as the processing approach under investigation.</t>
  </si>
  <si>
    <t xml:space="preserve">Spent a while thinking about this and in vitro digestibility should definitely be ingredient optimisation, not health &amp; nutrition, and past labels are inconsistent between the two.</t>
  </si>
  <si>
    <t xml:space="preserve">pub.1189927278</t>
  </si>
  <si>
    <t xml:space="preserve">The effect of fortification on in vitro iron and zinc bioavailability in plant-based meat alternatives</t>
  </si>
  <si>
    <t xml:space="preserve">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</si>
  <si>
    <t xml:space="preserve">The study directly investigates mineral content and bioavailability in fortified plant-based meat products (finished formulations), using Caco-2 cell assays and in vitro digestion to assess nutritional outcomes of fortification strategies applied to a finished product.</t>
  </si>
  <si>
    <t xml:space="preserve">I agree with LLM. End product formulation specifically includes ‘nutritional assessment and fortification’. However, health &amp; nutrition should be second because cell-based mineral uptake is a physiological endpoint.</t>
  </si>
  <si>
    <t xml:space="preserve">pub.1186993694</t>
  </si>
  <si>
    <t xml:space="preserve">Risks, resilience and sustainability of plant-based protein chains in Europe: a stakeholder analysis</t>
  </si>
  <si>
    <t xml:space="preserve">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</si>
  <si>
    <t xml:space="preserve">The paper conducts a structured stakeholder analysis assessing perceptions of risk, resilience, and sustainability across plant-based protein chains in Europe, which aligns with Impact Assessments; the survey-based methodology capturing consumer, farmer, and policymaker views also overlaps with Consumer &amp; Market Research.</t>
  </si>
  <si>
    <t xml:space="preserve">Should be impact but my impact definition was limited to quantitative or structured assessments and I think the stakeholder focus drew it to consumer research. Have edited impact definition to also mention supply chain resilience and food security as impacts.</t>
  </si>
  <si>
    <t xml:space="preserve">pub.1185246385</t>
  </si>
  <si>
    <t xml:space="preserve">From forest to fork: a systematic review of mushroom-based meat analogues</t>
  </si>
  <si>
    <t xml:space="preserve">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</si>
  <si>
    <t xml:space="preserve">This systematic review focuses on mushroom incorporation into finished meat analogue products, examining their physical, organoleptic, amino acid, and fibre properties at the product level, with secondary relevance to ingredient-level optimisation of mushrooms as a protein and fibre ingredient.</t>
  </si>
  <si>
    <t xml:space="preserve">Should be end product. Sonnet got it right. Not sure I can do much else to the prompt.</t>
  </si>
  <si>
    <t xml:space="preserve">pub.1188024088</t>
  </si>
  <si>
    <t xml:space="preserve">Protective Effect of Lactic Acid Bacteria Isolated from Ripened Foods Against Listeria monocytogenes in Plant-Based Fermented Dry-Cured Sausages</t>
  </si>
  <si>
    <t xml:space="preserve">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</si>
  <si>
    <t xml:space="preserve">Strain development</t>
  </si>
  <si>
    <t xml:space="preserve">The paper's primary focus is assessing the safety of a plant-based sausage analog against Listeria monocytogenes contamination using biocontrol LAB starters, with strain screening as a secondary contribution.</t>
  </si>
  <si>
    <t xml:space="preserve">Should be food safety first, then strain development. Sonnet got this right.</t>
  </si>
  <si>
    <t xml:space="preserve">pub.1184990844</t>
  </si>
  <si>
    <t xml:space="preserve">Foaming properties and olfactory profile of fermented chickpea aquafaba and its application in vegan chocolate mousse</t>
  </si>
  <si>
    <t xml:space="preserve">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</si>
  <si>
    <t xml:space="preserve">The paper primarily investigates fermentation as a processing method to improve the functional (foaming) and sensory (aroma) properties of aquafaba as an ingredient, with secondary application in a finished vegan chocolate mousse product.</t>
  </si>
  <si>
    <t xml:space="preserve">I agree with Sonnet. Ingredient optimisation primary – core contribution is improving aquafaba as an ingredient through fermentation. End product formulation is secondary as it is demonstrative and not the primary subject of the study.</t>
  </si>
  <si>
    <t xml:space="preserve">pub.1193027836</t>
  </si>
  <si>
    <t xml:space="preserve">The Necessary Transition Towards Healthier Diets: An Assessment of Replacing Meat and Refined Wheat Flour with a Mixture of Different Plant-Based Foods</t>
  </si>
  <si>
    <t xml:space="preserve">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</si>
  <si>
    <t xml:space="preserve">This is a perspective/commentary piece arguing for dietary and policy change using environmental and health motivations as context, without conducting specific quantitative assessments or experimental investigations that would fit a more specific category.</t>
  </si>
  <si>
    <t xml:space="preserve">Other is probably correct. It’s a more generalist / opinion publication arguing for a dietary change in response to sustainability concerns, but doesn’t seem to do a systematic review of literature or data. More of an opinion piece.</t>
  </si>
  <si>
    <t xml:space="preserve">pub.1195195931</t>
  </si>
  <si>
    <t xml:space="preserve">Navigating the shift toward sustainable diets: the use of protein blends in dairy alternatives</t>
  </si>
  <si>
    <t xml:space="preserve">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</si>
  <si>
    <t xml:space="preserve">The paper focuses on formulating dairy alternative products using protein blends to improve nutritional profile and sensory characteristics, with health and sustainability outcomes as motivating context.</t>
  </si>
  <si>
    <t xml:space="preserve">Sonnet was correct. Boundary definition is clear enough, just need to use Sonnet,</t>
  </si>
  <si>
    <t xml:space="preserve">pub.1187762379</t>
  </si>
  <si>
    <t xml:space="preserve">Plant-Based Alternatives to Meat Products</t>
  </si>
  <si>
    <t xml:space="preserve">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</si>
  <si>
    <t xml:space="preserve">This is a broad review article covering numerous aspects of plant-based meat alternatives including functional properties, texturization, nutrition, sustainability, supply chain, and market adoption, making it best classified as Other, with End Product Formulation as the closest secondary focus given its emphasis on formulation and quality attributes of finished meat analogue products.</t>
  </si>
  <si>
    <t xml:space="preserve">Should be Other. Sonnet at least got it as secondary. Prompt v3 and v4 have already been updated to give more clarity over Other and need testing.</t>
  </si>
  <si>
    <t xml:space="preserve">pub.1187441388</t>
  </si>
  <si>
    <t xml:space="preserve">Exploring the Nutritional Profile and Cost of Plant-Based Milk Alternatives Compared with Dairy Milk in the UK with Consideration of Environmental Impact Data</t>
  </si>
  <si>
    <t xml:space="preserve">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</si>
  <si>
    <t xml:space="preserve">The study systematically collects and compares nutritional profiles, costs, and environmental data of commercial plant-based milk alternatives versus dairy milk across UK supermarkets, functioning primarily as a market survey and nutritional benchmarking study, with health and nutrition implications as the secondary focus.</t>
  </si>
  <si>
    <t xml:space="preserve">Agree with LLM. Comparison and characterisation of finished plant-based milks against dairy milks to inform product formulation. It’s not consumer research because there are no perceptions, behaviours, or purchasing intent. It could be health &amp; nutrition given the nutrition focus but that is a fine secondary.</t>
  </si>
  <si>
    <t xml:space="preserve">pub.1184116966</t>
  </si>
  <si>
    <t xml:space="preserve">Modeling Vitamin D Fortification Scenarios for the Australian Population</t>
  </si>
  <si>
    <t xml:space="preserve">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</si>
  <si>
    <t xml:space="preserve">The paper models population-level vitamin D intake outcomes under different fortification scenarios, with the primary endpoint being dietary adequacy and safety (a health/nutrition outcome), while the structured scenario-based policy modeling also resembles an impact assessment framework.</t>
  </si>
  <si>
    <t xml:space="preserve">Coming from v5 assessment – in here for the label change only.</t>
  </si>
  <si>
    <t xml:space="preserve">Haiku v2 was correct</t>
  </si>
  <si>
    <t xml:space="preserve">Haiku v2 was incorrect</t>
  </si>
  <si>
    <t xml:space="preserve">WOOOOOOOO</t>
  </si>
  <si>
    <t xml:space="preserve">Almost all correct :)</t>
  </si>
  <si>
    <t xml:space="preserve">Run on the full dataset to confirm.</t>
  </si>
  <si>
    <t xml:space="preserve">BUT I should apply the correct labels</t>
  </si>
  <si>
    <t xml:space="preserve">n</t>
  </si>
  <si>
    <t xml:space="preserve">top2_correct</t>
  </si>
  <si>
    <t xml:space="preserve">primary_acc</t>
  </si>
  <si>
    <t xml:space="preserve">top2_acc</t>
  </si>
  <si>
    <t xml:space="preserve">100%</t>
  </si>
  <si>
    <t xml:space="preserve">50%</t>
  </si>
  <si>
    <t xml:space="preserve">25%</t>
  </si>
  <si>
    <t xml:space="preserve">75%</t>
  </si>
  <si>
    <t xml:space="preserve">0%</t>
  </si>
  <si>
    <t xml:space="preserve">88%</t>
  </si>
  <si>
    <t xml:space="preserve">metric</t>
  </si>
  <si>
    <t xml:space="preserve">value</t>
  </si>
  <si>
    <t xml:space="preserve">top1_accuracy</t>
  </si>
  <si>
    <t xml:space="preserve">57%</t>
  </si>
  <si>
    <t xml:space="preserve">top2_accuracy</t>
  </si>
  <si>
    <t xml:space="preserve">90%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</si>
</sst>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8" activeCellId="0" sqref="E28"/>
    </sheetView>
  </sheetViews>
  <sheetFormatPr defaultColWidth="8.34375" defaultRowHeight="15" customHeight="false" zeroHeight="false" outlineLevelRow="0" outlineLevelCol="0"/>
  <cols>
    <col collapsed="false" customWidth="true" hidden="false" outlineLevel="0" max="12" min="12" style="1" width="24.33"/>
    <col collapsed="false" customWidth="true" hidden="false" outlineLevel="0" max="13" min="13" style="1" width="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1" t="s">
        <v>10</v>
      </c>
      <c r="Q1" s="1" t="s">
        <v>11</v>
      </c>
    </row>
    <row r="2" customFormat="false" ht="15" hidden="false" customHeight="false" outlineLevel="0" collapsed="false">
      <c r="A2" s="1" t="s">
        <v>12</v>
      </c>
      <c r="B2" s="1" t="s">
        <v>13</v>
      </c>
      <c r="C2" s="1" t="s">
        <v>14</v>
      </c>
      <c r="D2" s="1" t="s">
        <v>15</v>
      </c>
      <c r="E2" s="1" t="s">
        <v>16</v>
      </c>
      <c r="F2" s="2" t="s">
        <v>17</v>
      </c>
      <c r="G2" s="1" t="s">
        <v>16</v>
      </c>
      <c r="H2" s="1" t="s">
        <v>18</v>
      </c>
      <c r="I2" s="1" t="b">
        <f aca="false">FALSE()</f>
        <v>0</v>
      </c>
      <c r="J2" s="1" t="b">
        <f aca="false">TRUE()</f>
        <v>1</v>
      </c>
      <c r="L2" s="2" t="s">
        <v>17</v>
      </c>
      <c r="Q2" s="1" t="s">
        <v>19</v>
      </c>
    </row>
    <row r="3" customFormat="false" ht="15" hidden="false" customHeight="false" outlineLevel="0" collapsed="false">
      <c r="A3" s="1" t="s">
        <v>20</v>
      </c>
      <c r="B3" s="1" t="s">
        <v>21</v>
      </c>
      <c r="C3" s="1" t="s">
        <v>22</v>
      </c>
      <c r="D3" s="1" t="s">
        <v>15</v>
      </c>
      <c r="E3" s="1" t="s">
        <v>23</v>
      </c>
      <c r="F3" s="2" t="s">
        <v>24</v>
      </c>
      <c r="G3" s="1" t="s">
        <v>23</v>
      </c>
      <c r="H3" s="1" t="s">
        <v>25</v>
      </c>
      <c r="I3" s="1" t="b">
        <f aca="false">FALSE()</f>
        <v>0</v>
      </c>
      <c r="J3" s="1" t="b">
        <f aca="false">TRUE()</f>
        <v>1</v>
      </c>
      <c r="L3" s="2" t="s">
        <v>24</v>
      </c>
      <c r="Q3" s="1" t="s">
        <v>26</v>
      </c>
    </row>
    <row r="4" customFormat="false" ht="15" hidden="false" customHeight="false" outlineLevel="0" collapsed="false">
      <c r="A4" s="1" t="s">
        <v>27</v>
      </c>
      <c r="B4" s="1" t="s">
        <v>28</v>
      </c>
      <c r="C4" s="1" t="s">
        <v>29</v>
      </c>
      <c r="D4" s="1" t="s">
        <v>15</v>
      </c>
      <c r="E4" s="1" t="s">
        <v>30</v>
      </c>
      <c r="F4" s="2" t="s">
        <v>24</v>
      </c>
      <c r="G4" s="1" t="s">
        <v>30</v>
      </c>
      <c r="H4" s="1" t="s">
        <v>31</v>
      </c>
      <c r="I4" s="1" t="b">
        <f aca="false">FALSE()</f>
        <v>0</v>
      </c>
      <c r="J4" s="1" t="b">
        <f aca="false">TRUE()</f>
        <v>1</v>
      </c>
      <c r="L4" s="2" t="s">
        <v>24</v>
      </c>
      <c r="Q4" s="1" t="s">
        <v>32</v>
      </c>
    </row>
    <row r="5" customFormat="false" ht="15" hidden="false" customHeight="false" outlineLevel="0" collapsed="false">
      <c r="A5" s="1" t="s">
        <v>33</v>
      </c>
      <c r="B5" s="1" t="s">
        <v>34</v>
      </c>
      <c r="C5" s="1" t="s">
        <v>35</v>
      </c>
      <c r="D5" s="1" t="s">
        <v>15</v>
      </c>
      <c r="E5" s="1" t="s">
        <v>36</v>
      </c>
      <c r="F5" s="2" t="s">
        <v>36</v>
      </c>
      <c r="G5" s="1" t="s">
        <v>24</v>
      </c>
      <c r="H5" s="1" t="s">
        <v>37</v>
      </c>
      <c r="I5" s="1" t="b">
        <f aca="false">TRUE()</f>
        <v>1</v>
      </c>
      <c r="J5" s="1" t="b">
        <f aca="false">TRUE()</f>
        <v>1</v>
      </c>
      <c r="L5" s="3"/>
      <c r="Q5" s="1" t="s">
        <v>38</v>
      </c>
    </row>
    <row r="6" customFormat="false" ht="15" hidden="false" customHeight="false" outlineLevel="0" collapsed="false">
      <c r="A6" s="1" t="s">
        <v>39</v>
      </c>
      <c r="B6" s="1" t="s">
        <v>40</v>
      </c>
      <c r="C6" s="1" t="s">
        <v>41</v>
      </c>
      <c r="D6" s="1" t="s">
        <v>15</v>
      </c>
      <c r="E6" s="1" t="s">
        <v>36</v>
      </c>
      <c r="F6" s="2" t="s">
        <v>36</v>
      </c>
      <c r="G6" s="1" t="s">
        <v>42</v>
      </c>
      <c r="H6" s="1" t="s">
        <v>43</v>
      </c>
      <c r="I6" s="1" t="b">
        <f aca="false">TRUE()</f>
        <v>1</v>
      </c>
      <c r="J6" s="1" t="b">
        <f aca="false">TRUE()</f>
        <v>1</v>
      </c>
      <c r="L6" s="3"/>
      <c r="Q6" s="1" t="s">
        <v>44</v>
      </c>
    </row>
    <row r="7" customFormat="false" ht="23.3" hidden="false" customHeight="false" outlineLevel="0" collapsed="false">
      <c r="A7" s="1" t="s">
        <v>45</v>
      </c>
      <c r="B7" s="1" t="s">
        <v>46</v>
      </c>
      <c r="C7" s="4" t="s">
        <v>47</v>
      </c>
      <c r="D7" s="1" t="s">
        <v>15</v>
      </c>
      <c r="E7" s="1" t="s">
        <v>36</v>
      </c>
      <c r="F7" s="2" t="s">
        <v>36</v>
      </c>
      <c r="G7" s="1" t="s">
        <v>17</v>
      </c>
      <c r="H7" s="1" t="s">
        <v>48</v>
      </c>
      <c r="I7" s="1" t="b">
        <f aca="false">TRUE()</f>
        <v>1</v>
      </c>
      <c r="J7" s="1" t="b">
        <f aca="false">TRUE()</f>
        <v>1</v>
      </c>
      <c r="L7" s="3"/>
      <c r="Q7" s="1" t="s">
        <v>49</v>
      </c>
    </row>
    <row r="8" customFormat="false" ht="15" hidden="false" customHeight="false" outlineLevel="0" collapsed="false">
      <c r="A8" s="1" t="s">
        <v>50</v>
      </c>
      <c r="B8" s="1" t="s">
        <v>51</v>
      </c>
      <c r="C8" s="1" t="s">
        <v>52</v>
      </c>
      <c r="D8" s="1" t="s">
        <v>15</v>
      </c>
      <c r="E8" s="1" t="s">
        <v>36</v>
      </c>
      <c r="F8" s="2" t="s">
        <v>36</v>
      </c>
      <c r="G8" s="1" t="s">
        <v>24</v>
      </c>
      <c r="H8" s="1" t="s">
        <v>53</v>
      </c>
      <c r="I8" s="1" t="b">
        <f aca="false">TRUE()</f>
        <v>1</v>
      </c>
      <c r="J8" s="1" t="b">
        <f aca="false">TRUE()</f>
        <v>1</v>
      </c>
      <c r="L8" s="3"/>
      <c r="Q8" s="1" t="s">
        <v>54</v>
      </c>
    </row>
    <row r="9" customFormat="false" ht="15" hidden="false" customHeight="false" outlineLevel="0" collapsed="false">
      <c r="A9" s="1" t="s">
        <v>55</v>
      </c>
      <c r="B9" s="1" t="s">
        <v>56</v>
      </c>
      <c r="C9" s="1" t="s">
        <v>57</v>
      </c>
      <c r="D9" s="1" t="s">
        <v>15</v>
      </c>
      <c r="E9" s="1" t="s">
        <v>36</v>
      </c>
      <c r="F9" s="2" t="s">
        <v>24</v>
      </c>
      <c r="G9" s="1" t="s">
        <v>36</v>
      </c>
      <c r="H9" s="1" t="s">
        <v>58</v>
      </c>
      <c r="I9" s="1" t="b">
        <f aca="false">FALSE()</f>
        <v>0</v>
      </c>
      <c r="J9" s="1" t="b">
        <f aca="false">TRUE()</f>
        <v>1</v>
      </c>
      <c r="L9" s="2" t="s">
        <v>24</v>
      </c>
      <c r="Q9" s="1" t="s">
        <v>59</v>
      </c>
    </row>
    <row r="10" customFormat="false" ht="15" hidden="false" customHeight="false" outlineLevel="0" collapsed="false">
      <c r="A10" s="1" t="s">
        <v>60</v>
      </c>
      <c r="B10" s="1" t="s">
        <v>61</v>
      </c>
      <c r="C10" s="1" t="s">
        <v>62</v>
      </c>
      <c r="D10" s="1" t="s">
        <v>15</v>
      </c>
      <c r="E10" s="1" t="s">
        <v>23</v>
      </c>
      <c r="F10" s="2" t="s">
        <v>23</v>
      </c>
      <c r="G10" s="1" t="s">
        <v>30</v>
      </c>
      <c r="H10" s="1" t="s">
        <v>63</v>
      </c>
      <c r="I10" s="1" t="b">
        <f aca="false">TRUE()</f>
        <v>1</v>
      </c>
      <c r="J10" s="1" t="b">
        <f aca="false">TRUE()</f>
        <v>1</v>
      </c>
      <c r="L10" s="3"/>
      <c r="Q10" s="1" t="s">
        <v>64</v>
      </c>
    </row>
    <row r="11" customFormat="false" ht="15" hidden="false" customHeight="false" outlineLevel="0" collapsed="false">
      <c r="A11" s="1" t="s">
        <v>65</v>
      </c>
      <c r="B11" s="1" t="s">
        <v>66</v>
      </c>
      <c r="C11" s="1" t="s">
        <v>67</v>
      </c>
      <c r="D11" s="1" t="s">
        <v>15</v>
      </c>
      <c r="E11" s="1" t="s">
        <v>68</v>
      </c>
      <c r="F11" s="2" t="s">
        <v>16</v>
      </c>
      <c r="G11" s="1" t="s">
        <v>68</v>
      </c>
      <c r="H11" s="1" t="s">
        <v>69</v>
      </c>
      <c r="I11" s="1" t="b">
        <f aca="false">FALSE()</f>
        <v>0</v>
      </c>
      <c r="J11" s="1" t="b">
        <f aca="false">TRUE()</f>
        <v>1</v>
      </c>
      <c r="L11" s="2" t="s">
        <v>16</v>
      </c>
      <c r="Q11" s="1" t="s">
        <v>70</v>
      </c>
    </row>
    <row r="12" customFormat="false" ht="15" hidden="false" customHeight="false" outlineLevel="0" collapsed="false">
      <c r="A12" s="1" t="s">
        <v>71</v>
      </c>
      <c r="B12" s="1" t="s">
        <v>72</v>
      </c>
      <c r="C12" s="1" t="s">
        <v>73</v>
      </c>
      <c r="D12" s="1" t="s">
        <v>15</v>
      </c>
      <c r="E12" s="1" t="s">
        <v>36</v>
      </c>
      <c r="F12" s="2" t="s">
        <v>16</v>
      </c>
      <c r="G12" s="1" t="s">
        <v>30</v>
      </c>
      <c r="H12" s="1" t="s">
        <v>74</v>
      </c>
      <c r="I12" s="1" t="b">
        <f aca="false">FALSE()</f>
        <v>0</v>
      </c>
      <c r="J12" s="1" t="b">
        <f aca="false">FALSE()</f>
        <v>0</v>
      </c>
      <c r="L12" s="2" t="s">
        <v>16</v>
      </c>
      <c r="Q12" s="1" t="s">
        <v>75</v>
      </c>
    </row>
    <row r="13" customFormat="false" ht="15" hidden="false" customHeight="false" outlineLevel="0" collapsed="false">
      <c r="A13" s="1" t="s">
        <v>76</v>
      </c>
      <c r="B13" s="1" t="s">
        <v>77</v>
      </c>
      <c r="C13" s="1" t="s">
        <v>78</v>
      </c>
      <c r="D13" s="1" t="s">
        <v>15</v>
      </c>
      <c r="E13" s="1" t="s">
        <v>23</v>
      </c>
      <c r="F13" s="2" t="s">
        <v>16</v>
      </c>
      <c r="G13" s="1" t="s">
        <v>68</v>
      </c>
      <c r="H13" s="1" t="s">
        <v>79</v>
      </c>
      <c r="I13" s="1" t="b">
        <f aca="false">FALSE()</f>
        <v>0</v>
      </c>
      <c r="J13" s="1" t="b">
        <f aca="false">FALSE()</f>
        <v>0</v>
      </c>
      <c r="L13" s="3" t="s">
        <v>16</v>
      </c>
      <c r="Q13" s="1" t="s">
        <v>80</v>
      </c>
    </row>
    <row r="14" customFormat="false" ht="15" hidden="false" customHeight="false" outlineLevel="0" collapsed="false">
      <c r="A14" s="1" t="s">
        <v>81</v>
      </c>
      <c r="B14" s="1" t="s">
        <v>82</v>
      </c>
      <c r="C14" s="1" t="s">
        <v>83</v>
      </c>
      <c r="D14" s="1" t="s">
        <v>15</v>
      </c>
      <c r="E14" s="1" t="s">
        <v>23</v>
      </c>
      <c r="F14" s="2" t="s">
        <v>30</v>
      </c>
      <c r="G14" s="1" t="s">
        <v>23</v>
      </c>
      <c r="H14" s="1" t="s">
        <v>84</v>
      </c>
      <c r="I14" s="1" t="b">
        <f aca="false">FALSE()</f>
        <v>0</v>
      </c>
      <c r="J14" s="1" t="b">
        <f aca="false">TRUE()</f>
        <v>1</v>
      </c>
      <c r="L14" s="2" t="s">
        <v>30</v>
      </c>
      <c r="Q14" s="1" t="s">
        <v>85</v>
      </c>
    </row>
    <row r="15" customFormat="false" ht="15" hidden="false" customHeight="false" outlineLevel="0" collapsed="false">
      <c r="A15" s="1" t="s">
        <v>86</v>
      </c>
      <c r="B15" s="1" t="s">
        <v>87</v>
      </c>
      <c r="C15" s="1" t="s">
        <v>88</v>
      </c>
      <c r="D15" s="1" t="s">
        <v>15</v>
      </c>
      <c r="E15" s="1" t="s">
        <v>42</v>
      </c>
      <c r="F15" s="2" t="s">
        <v>42</v>
      </c>
      <c r="G15" s="1" t="s">
        <v>24</v>
      </c>
      <c r="H15" s="1" t="s">
        <v>89</v>
      </c>
      <c r="I15" s="1" t="b">
        <f aca="false">TRUE()</f>
        <v>1</v>
      </c>
      <c r="J15" s="1" t="b">
        <f aca="false">TRUE()</f>
        <v>1</v>
      </c>
      <c r="L15" s="3"/>
      <c r="Q15" s="1" t="s">
        <v>90</v>
      </c>
    </row>
    <row r="16" customFormat="false" ht="15" hidden="false" customHeight="false" outlineLevel="0" collapsed="false">
      <c r="A16" s="1" t="s">
        <v>91</v>
      </c>
      <c r="B16" s="1" t="s">
        <v>92</v>
      </c>
      <c r="C16" s="1" t="s">
        <v>93</v>
      </c>
      <c r="D16" s="1" t="s">
        <v>15</v>
      </c>
      <c r="E16" s="1" t="s">
        <v>30</v>
      </c>
      <c r="F16" s="2" t="s">
        <v>30</v>
      </c>
      <c r="G16" s="1" t="s">
        <v>16</v>
      </c>
      <c r="H16" s="1" t="s">
        <v>94</v>
      </c>
      <c r="I16" s="1" t="b">
        <f aca="false">TRUE()</f>
        <v>1</v>
      </c>
      <c r="J16" s="1" t="b">
        <f aca="false">TRUE()</f>
        <v>1</v>
      </c>
      <c r="L16" s="3"/>
      <c r="Q16" s="1" t="s">
        <v>95</v>
      </c>
    </row>
    <row r="17" customFormat="false" ht="15" hidden="false" customHeight="false" outlineLevel="0" collapsed="false">
      <c r="A17" s="1" t="s">
        <v>96</v>
      </c>
      <c r="B17" s="1" t="s">
        <v>97</v>
      </c>
      <c r="C17" s="1" t="s">
        <v>98</v>
      </c>
      <c r="D17" s="1" t="s">
        <v>15</v>
      </c>
      <c r="E17" s="1" t="s">
        <v>17</v>
      </c>
      <c r="F17" s="2" t="s">
        <v>17</v>
      </c>
      <c r="G17" s="1" t="s">
        <v>99</v>
      </c>
      <c r="H17" s="1" t="s">
        <v>100</v>
      </c>
      <c r="I17" s="1" t="b">
        <f aca="false">TRUE()</f>
        <v>1</v>
      </c>
      <c r="J17" s="1" t="b">
        <f aca="false">TRUE()</f>
        <v>1</v>
      </c>
      <c r="L17" s="3"/>
      <c r="Q17" s="1" t="s">
        <v>101</v>
      </c>
    </row>
    <row r="18" customFormat="false" ht="15" hidden="false" customHeight="false" outlineLevel="0" collapsed="false">
      <c r="A18" s="1" t="s">
        <v>102</v>
      </c>
      <c r="B18" s="1" t="s">
        <v>103</v>
      </c>
      <c r="C18" s="1" t="s">
        <v>104</v>
      </c>
      <c r="D18" s="1" t="s">
        <v>15</v>
      </c>
      <c r="E18" s="1" t="s">
        <v>30</v>
      </c>
      <c r="F18" s="2" t="s">
        <v>16</v>
      </c>
      <c r="G18" s="1" t="s">
        <v>30</v>
      </c>
      <c r="H18" s="1" t="s">
        <v>105</v>
      </c>
      <c r="I18" s="1" t="b">
        <f aca="false">FALSE()</f>
        <v>0</v>
      </c>
      <c r="J18" s="1" t="b">
        <f aca="false">TRUE()</f>
        <v>1</v>
      </c>
      <c r="L18" s="3" t="s">
        <v>16</v>
      </c>
      <c r="Q18" s="1" t="s">
        <v>106</v>
      </c>
    </row>
    <row r="19" customFormat="false" ht="15" hidden="false" customHeight="false" outlineLevel="0" collapsed="false">
      <c r="A19" s="1" t="s">
        <v>107</v>
      </c>
      <c r="B19" s="1" t="s">
        <v>108</v>
      </c>
      <c r="C19" s="1" t="s">
        <v>109</v>
      </c>
      <c r="D19" s="1" t="s">
        <v>15</v>
      </c>
      <c r="E19" s="1" t="s">
        <v>36</v>
      </c>
      <c r="F19" s="2" t="s">
        <v>36</v>
      </c>
      <c r="G19" s="1" t="s">
        <v>42</v>
      </c>
      <c r="H19" s="1" t="s">
        <v>110</v>
      </c>
      <c r="I19" s="1" t="b">
        <f aca="false">TRUE()</f>
        <v>1</v>
      </c>
      <c r="J19" s="1" t="b">
        <f aca="false">TRUE()</f>
        <v>1</v>
      </c>
      <c r="L19" s="3"/>
      <c r="Q19" s="1" t="s">
        <v>111</v>
      </c>
    </row>
    <row r="20" customFormat="false" ht="15" hidden="false" customHeight="false" outlineLevel="0" collapsed="false">
      <c r="A20" s="1" t="s">
        <v>112</v>
      </c>
      <c r="B20" s="1" t="s">
        <v>113</v>
      </c>
      <c r="C20" s="1" t="s">
        <v>114</v>
      </c>
      <c r="D20" s="1" t="s">
        <v>15</v>
      </c>
      <c r="E20" s="1" t="s">
        <v>30</v>
      </c>
      <c r="F20" s="2" t="s">
        <v>30</v>
      </c>
      <c r="G20" s="1" t="s">
        <v>23</v>
      </c>
      <c r="H20" s="1" t="s">
        <v>115</v>
      </c>
      <c r="I20" s="1" t="b">
        <f aca="false">TRUE()</f>
        <v>1</v>
      </c>
      <c r="J20" s="1" t="b">
        <f aca="false">TRUE()</f>
        <v>1</v>
      </c>
      <c r="L20" s="3"/>
      <c r="Q20" s="1" t="s">
        <v>116</v>
      </c>
    </row>
    <row r="21" customFormat="false" ht="15" hidden="false" customHeight="false" outlineLevel="0" collapsed="false">
      <c r="A21" s="1" t="s">
        <v>117</v>
      </c>
      <c r="B21" s="1" t="s">
        <v>118</v>
      </c>
      <c r="C21" s="1" t="s">
        <v>119</v>
      </c>
      <c r="D21" s="1" t="s">
        <v>15</v>
      </c>
      <c r="E21" s="1" t="s">
        <v>36</v>
      </c>
      <c r="F21" s="2" t="s">
        <v>36</v>
      </c>
      <c r="G21" s="1" t="s">
        <v>30</v>
      </c>
      <c r="H21" s="1" t="s">
        <v>120</v>
      </c>
      <c r="I21" s="1" t="b">
        <f aca="false">TRUE()</f>
        <v>1</v>
      </c>
      <c r="J21" s="1" t="b">
        <f aca="false">TRUE()</f>
        <v>1</v>
      </c>
      <c r="L21" s="3"/>
      <c r="Q21" s="1" t="s">
        <v>121</v>
      </c>
    </row>
    <row r="22" customFormat="false" ht="56" hidden="false" customHeight="false" outlineLevel="0" collapsed="false">
      <c r="A22" s="1" t="s">
        <v>122</v>
      </c>
      <c r="B22" s="1" t="s">
        <v>123</v>
      </c>
      <c r="C22" s="4" t="s">
        <v>124</v>
      </c>
      <c r="D22" s="1" t="s">
        <v>15</v>
      </c>
      <c r="E22" s="1" t="s">
        <v>24</v>
      </c>
      <c r="F22" s="5" t="s">
        <v>24</v>
      </c>
      <c r="G22" s="1" t="s">
        <v>23</v>
      </c>
      <c r="H22" s="1" t="s">
        <v>125</v>
      </c>
      <c r="I22" s="1" t="b">
        <f aca="false">TRUE()</f>
        <v>1</v>
      </c>
      <c r="J22" s="1" t="b">
        <f aca="false">TRUE()</f>
        <v>1</v>
      </c>
      <c r="L22" s="2" t="s">
        <v>30</v>
      </c>
      <c r="Q22" s="1" t="s">
        <v>126</v>
      </c>
    </row>
    <row r="23" customFormat="false" ht="56" hidden="false" customHeight="false" outlineLevel="0" collapsed="false">
      <c r="A23" s="0" t="s">
        <v>127</v>
      </c>
      <c r="B23" s="0" t="s">
        <v>128</v>
      </c>
      <c r="C23" s="6" t="s">
        <v>129</v>
      </c>
      <c r="D23" s="0" t="s">
        <v>15</v>
      </c>
      <c r="E23" s="0" t="s">
        <v>30</v>
      </c>
      <c r="F23" s="0" t="s">
        <v>23</v>
      </c>
      <c r="G23" s="0" t="s">
        <v>42</v>
      </c>
      <c r="H23" s="0" t="s">
        <v>130</v>
      </c>
      <c r="I23" s="7" t="b">
        <f aca="false">FALSE()</f>
        <v>0</v>
      </c>
      <c r="J23" s="8" t="b">
        <f aca="false">FALSE()</f>
        <v>0</v>
      </c>
      <c r="L23" s="0" t="s">
        <v>23</v>
      </c>
      <c r="M23" s="0" t="s">
        <v>131</v>
      </c>
    </row>
    <row r="24" customFormat="false" ht="15" hidden="false" customHeight="false" outlineLevel="0" collapsed="false">
      <c r="M24" s="2" t="s">
        <v>132</v>
      </c>
    </row>
    <row r="25" customFormat="false" ht="15" hidden="false" customHeight="false" outlineLevel="0" collapsed="false">
      <c r="M25" s="3" t="s">
        <v>133</v>
      </c>
    </row>
    <row r="26" customFormat="false" ht="15" hidden="false" customHeight="false" outlineLevel="0" collapsed="false">
      <c r="E26" s="1" t="s">
        <v>134</v>
      </c>
    </row>
    <row r="27" customFormat="false" ht="15" hidden="false" customHeight="false" outlineLevel="0" collapsed="false">
      <c r="E27" s="1" t="s">
        <v>135</v>
      </c>
    </row>
    <row r="28" customFormat="false" ht="15" hidden="false" customHeight="false" outlineLevel="0" collapsed="false">
      <c r="E28" s="1" t="s">
        <v>136</v>
      </c>
    </row>
    <row r="29" customFormat="false" ht="15" hidden="false" customHeight="false" outlineLevel="0" collapsed="false">
      <c r="E29" s="1"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138</v>
      </c>
      <c r="C1" s="1" t="s">
        <v>8</v>
      </c>
      <c r="D1" s="1" t="s">
        <v>139</v>
      </c>
      <c r="E1" s="1" t="s">
        <v>140</v>
      </c>
      <c r="F1" s="1" t="s">
        <v>141</v>
      </c>
    </row>
    <row r="2" customFormat="false" ht="15" hidden="false" customHeight="false" outlineLevel="0" collapsed="false">
      <c r="A2" s="1" t="s">
        <v>24</v>
      </c>
      <c r="B2" s="1" t="n">
        <v>1</v>
      </c>
      <c r="C2" s="1" t="n">
        <v>1</v>
      </c>
      <c r="D2" s="1" t="n">
        <v>1</v>
      </c>
      <c r="E2" s="1" t="s">
        <v>142</v>
      </c>
      <c r="F2" s="1" t="s">
        <v>142</v>
      </c>
    </row>
    <row r="3" customFormat="false" ht="15" hidden="false" customHeight="false" outlineLevel="0" collapsed="false">
      <c r="A3" s="1" t="s">
        <v>30</v>
      </c>
      <c r="B3" s="1" t="n">
        <v>4</v>
      </c>
      <c r="C3" s="1" t="n">
        <v>2</v>
      </c>
      <c r="D3" s="1" t="n">
        <v>4</v>
      </c>
      <c r="E3" s="1" t="s">
        <v>143</v>
      </c>
      <c r="F3" s="1" t="s">
        <v>142</v>
      </c>
    </row>
    <row r="4" customFormat="false" ht="15" hidden="false" customHeight="false" outlineLevel="0" collapsed="false">
      <c r="A4" s="1" t="s">
        <v>17</v>
      </c>
      <c r="B4" s="1" t="n">
        <v>1</v>
      </c>
      <c r="C4" s="1" t="n">
        <v>1</v>
      </c>
      <c r="D4" s="1" t="n">
        <v>1</v>
      </c>
      <c r="E4" s="1" t="s">
        <v>142</v>
      </c>
      <c r="F4" s="1" t="s">
        <v>142</v>
      </c>
    </row>
    <row r="5" customFormat="false" ht="15" hidden="false" customHeight="false" outlineLevel="0" collapsed="false">
      <c r="A5" s="1" t="s">
        <v>23</v>
      </c>
      <c r="B5" s="1" t="n">
        <v>4</v>
      </c>
      <c r="C5" s="1" t="n">
        <v>1</v>
      </c>
      <c r="D5" s="1" t="n">
        <v>3</v>
      </c>
      <c r="E5" s="1" t="s">
        <v>144</v>
      </c>
      <c r="F5" s="1" t="s">
        <v>145</v>
      </c>
    </row>
    <row r="6" customFormat="false" ht="15" hidden="false" customHeight="false" outlineLevel="0" collapsed="false">
      <c r="A6" s="1" t="s">
        <v>42</v>
      </c>
      <c r="B6" s="1" t="n">
        <v>1</v>
      </c>
      <c r="C6" s="1" t="n">
        <v>1</v>
      </c>
      <c r="D6" s="1" t="n">
        <v>1</v>
      </c>
      <c r="E6" s="1" t="s">
        <v>142</v>
      </c>
      <c r="F6" s="1" t="s">
        <v>142</v>
      </c>
    </row>
    <row r="7" customFormat="false" ht="15" hidden="false" customHeight="false" outlineLevel="0" collapsed="false">
      <c r="A7" s="1" t="s">
        <v>16</v>
      </c>
      <c r="B7" s="1" t="n">
        <v>1</v>
      </c>
      <c r="C7" s="1" t="n">
        <v>0</v>
      </c>
      <c r="D7" s="1" t="n">
        <v>1</v>
      </c>
      <c r="E7" s="1" t="s">
        <v>146</v>
      </c>
      <c r="F7" s="1" t="s">
        <v>142</v>
      </c>
    </row>
    <row r="8" customFormat="false" ht="15" hidden="false" customHeight="false" outlineLevel="0" collapsed="false">
      <c r="A8" s="1" t="s">
        <v>36</v>
      </c>
      <c r="B8" s="1" t="n">
        <v>8</v>
      </c>
      <c r="C8" s="1" t="n">
        <v>6</v>
      </c>
      <c r="D8" s="1" t="n">
        <v>7</v>
      </c>
      <c r="E8" s="1" t="s">
        <v>145</v>
      </c>
      <c r="F8" s="1" t="s">
        <v>147</v>
      </c>
    </row>
    <row r="9" customFormat="false" ht="15" hidden="false" customHeight="false" outlineLevel="0" collapsed="false">
      <c r="A9" s="1" t="s">
        <v>68</v>
      </c>
      <c r="B9" s="1" t="n">
        <v>1</v>
      </c>
      <c r="C9" s="1" t="n">
        <v>0</v>
      </c>
      <c r="D9" s="1" t="n">
        <v>1</v>
      </c>
      <c r="E9" s="1" t="s">
        <v>146</v>
      </c>
      <c r="F9" s="1"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148</v>
      </c>
      <c r="B1" s="1" t="s">
        <v>149</v>
      </c>
      <c r="C1" s="1" t="s">
        <v>138</v>
      </c>
    </row>
    <row r="2" customFormat="false" ht="15" hidden="false" customHeight="false" outlineLevel="0" collapsed="false">
      <c r="A2" s="1" t="s">
        <v>150</v>
      </c>
      <c r="B2" s="1" t="s">
        <v>151</v>
      </c>
      <c r="C2" s="1" t="n">
        <v>21</v>
      </c>
    </row>
    <row r="3" customFormat="false" ht="15" hidden="false" customHeight="false" outlineLevel="0" collapsed="false">
      <c r="A3" s="1" t="s">
        <v>152</v>
      </c>
      <c r="B3" s="1" t="s">
        <v>153</v>
      </c>
      <c r="C3" s="1" t="n">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2026-06-23T11:35:10Z</dcterms:created>
  <dc:creator>openpyxl</dc:creator>
  <dc:description/>
  <dc:language>en-GB</dc:language>
  <cp:lastModifiedBy/>
  <dcterms:modified xsi:type="dcterms:W3CDTF">2026-06-23T13:08:43Z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