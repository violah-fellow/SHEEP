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lts" sheetId="1" state="visible" r:id="rId3"/>
    <sheet name="by_category" sheetId="2" state="visible" r:id="rId4"/>
    <sheet name="summary"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<sst xmlns="http://schemas.openxmlformats.org/spreadsheetml/2006/main" count="855" uniqueCount="436">
  <si>
    <t xml:space="preserve">id</t>
  </si>
  <si>
    <t xml:space="preserve">title</t>
  </si>
  <si>
    <t xml:space="preserve">abstract</t>
  </si>
  <si>
    <t xml:space="preserve">pillar</t>
  </si>
  <si>
    <t xml:space="preserve">research_category</t>
  </si>
  <si>
    <t xml:space="preserve">primary_LLM</t>
  </si>
  <si>
    <t xml:space="preserve">secondary_LLM</t>
  </si>
  <si>
    <t xml:space="preserve">reasoning_LLM</t>
  </si>
  <si>
    <t xml:space="preserve">primary_correct</t>
  </si>
  <si>
    <t xml:space="preserve">either_correct</t>
  </si>
  <si>
    <t xml:space="preserve">pub.1189507914</t>
  </si>
  <si>
    <t xml:space="preserve">Rotated Fourier transform (RFT) enables the quantification of anisotropic structure in high-moisture plant-protein extrudates</t>
  </si>
  <si>
    <t xml:space="preserve">When producing plant-protein-based meat analogues via high moisture extrusion (HME), the structure of extrudates is determined by complex interactions between ingredient composition and processing conditions. Insights into the structuring process can be gained by imaging samples using MRI or confocal microscopy. However, existing software for analysing these images provide limited options for quantitatively analysing both structure and anisotropy. Here, we present a novel image processing method, Rotated Fourier Transform (RFT), that enables the quantification of anisotropic structures of extrudates. RFT provides a single, spatial dependent measure of structural anisotropy, namely the weighted order parameter (WOP). RFT uses Fourier transforms to obtain the dominant angles representing the structural orientation detected within the image. By calculating an amplitude per angle as the weighing factor, noise is effectively filtered and improved signal-to-noise ratios can be obtained. In particular, we applied RFT to quantify structural anisotropy of soy protein concentrate HME samples. We employed magnetic resonance imaging (MRI) at micrometer resolution to show that samples prepared at neutral pH feature higher structural anisotropy than samples prepared at acidic pH. Using confocal laser scanning microscopy (CLSM) at sub-micrometer resolution, we imaged samples from the skin to the core region along the cooling die and show that the anisotropy increases towards the skin. We note that RFT is a generic method applicable to any image displaying anisotropic features. Thus, RFT is a powerful tool for the comprehensive quantification of food structures and beyond.</t>
  </si>
  <si>
    <t xml:space="preserve">PB</t>
  </si>
  <si>
    <t xml:space="preserve">Texturization methods</t>
  </si>
  <si>
    <t xml:space="preserve">Ingredient optimisation</t>
  </si>
  <si>
    <t xml:space="preserve">The paper develops a novel image analysis method (RFT) to quantify anisotropic structure in high-moisture extrudates of soy protein concentrate, directly investigating the structuring process during HME to understand how processing conditions affect final product texture and structure.</t>
  </si>
  <si>
    <t xml:space="preserve">pub.1190533978</t>
  </si>
  <si>
    <t xml:space="preserve">Evaluation of the genotoxic potential and minimisation of antinutrients in edible Xuta (Jatropha curcas L.) kernels</t>
  </si>
  <si>
    <t xml:space="preserve">Plant-based protein sources are increasingly considered as sustainable alternatives to animal-derived proteins. The edible Jatropha curcas L. (Xuta) is a new crop whose seed kernels are rich in high-quality proteins and fat; however, they contain antinutrients such as trypsin inhibitors, phytic acid and lectins. Hydrothermal treatment has been shown to significantly reduce these antinutritional factors, leading to the recent approval of Xuta kernels for human consumption by the European Food Safety Authority (EFSA). Despite this, current scientific information is limited, for example, data on the potential genotoxicity of Xuta kernels. In this study, aqueous extracts from three Xuta cultivars were assessed for mutagenicity using the bacterial reverse mutation assay and genotoxicity using the Comet assay with human hepatocellular carcinoma cells. Additionally, key antinutritional factors such as lectin activity, trypsin inhibitor activity, and phytic acid content were determined. Hydrothermal treatment significantly reduced antinutritional factors, with lectin activity being completely absent. The results show that the Xuta cultivars tested have no mutagenic or genotoxic potential and are suitable for human consumption after hydrothermal treatment. These findings support the introduction of Xuta kernels as an alternative protein source. Future research should focus on technofunctional properties and applications of Xuta proteins.</t>
  </si>
  <si>
    <t xml:space="preserve">Food safety &amp; quality</t>
  </si>
  <si>
    <t xml:space="preserve">The paper primarily conducts mutagenicity and genotoxicity safety assessments of Xuta kernels alongside antinutrient quantification, which is a food safety evaluation; secondarily, it characterises antinutritional factors and the effect of hydrothermal processing on ingredient quality, fitting ingredient optimisation.</t>
  </si>
  <si>
    <t xml:space="preserve">pub.1190595792</t>
  </si>
  <si>
    <t xml:space="preserve">Understanding young consumers’ motivations for purchasing plant-based burgers: insights from the means-end chain theory</t>
  </si>
  <si>
    <t xml:space="preserve">By applying the means-end chains (MEC) theory, the purpose of this paper is to provide new insights related to the motivations behind consumer purchase intention of plant-based burgers (PBBs). We presented six pictures of PBBs showing the front and back of the product packages to 62 Italian burger consumers and asked them to rank their preferred product of purchase. This stage was followed by a soft laddering interviewing technique (“Why is this element important for you?") to elicit the most important attributes, consequences, and values associated with the selected product. Socio-demographic and attitudinal variables were asked to segment the sample into sub-groups. Our findings showed heterogeneity in the drivers leading consumers to purchase PBBs. Specifically, differences based on individual traits (gender and meat attachment level) and product characteristics (meat-like burgers vs. non-meat-like burgers) were identified. In addition, some similarities across consumer segments emerged, which confirm that both non-sensory attributes (e.g., nutritional information) and expected sensory characteristics (e.g., product appearance) are important elements to the market success of plant-based meat alternatives. Interestingly, environmental motives emerged only for specific consumer groups. Finally, to ensure the market success of PBBs, culinary professionals and marketing strategies should consider different consumer segments based on demographic and attitudinal variables to meet consumers’ specific needs. This study contributes to the literature on consumer motivation to include plant-based products by directly asking consumers to elicit the most important product attributes, consequences, and values linked to such products. Implications for the gastronomy sector and policymakers are provided.</t>
  </si>
  <si>
    <t xml:space="preserve">Consumer &amp; market research</t>
  </si>
  <si>
    <t xml:space="preserve">Health &amp; nutrition</t>
  </si>
  <si>
    <t xml:space="preserve">The paper directly investigates consumer purchase motivations, attitudes, and segmentation for plant-based burgers using means-end chain theory and laddering interviews, which is core consumer behaviour research; health/nutrition is secondary as nutritional attributes emerged as key purchase drivers discussed in the findings.</t>
  </si>
  <si>
    <t xml:space="preserve">pub.1191797885</t>
  </si>
  <si>
    <t xml:space="preserve">Optimizing mung bean and soybean hydrolysis for the generation of bioactive peptides of potential functional food applications</t>
  </si>
  <si>
    <t xml:space="preserve">This study investigates the enzymatic hydrolysis of soybean (Glycine max L.) and mung bean (Vigna radiata) proteins using bromelain, ficin, papain, and pepsin to improve digestibility and functional properties. We hypothesized that mung bean's less compact structure would yield higher degree of hydrolysis (DH) and bioactive peptides compared to soybean, enhancing antioxidant capacity for functional foods. Mung bean showed significantly higher proteolysis, with a maximum DH of 46.5 ± 2.1 % (p ≤ 0.05) using 10 % bromelain for 12 h, versus soybean's 26.9 ± 1.5 % (p ≤ 0.05). Bromelain and ficin outperformed papain and pepsin, producing up to 62.3 ± 3.2 % oligopeptides and 32.4 g/100 g free amino acids in mung bean. Mung bean hydrolysates exhibited superior antioxidant activity, reaching 78.4 ± 2.5 % DPPH scavenging (p ≤ 0.05), compared to soybean's 58.9 ± 2.0 % (p ≤ 0.05), due to increased 200-1000 Da peptides. Optimal conditions (10 % enzyme, 12 h) improved solubility and bioactivity, highlighting mung bean's potential and bromelain's efficacy for sustainable food applications, warranting further protease research.</t>
  </si>
  <si>
    <t xml:space="preserve">The paper directly investigates enzymatic hydrolysis of isolated plant proteins to improve digestibility, functional properties, and antioxidant bioactivity at the ingredient level, which fits Ingredient Optimisation; the bioactive peptide characterisation and antioxidant outcomes also touch on health-relevant properties, making Health &amp; Nutrition the secondary category.</t>
  </si>
  <si>
    <t xml:space="preserve">pub.1184808456</t>
  </si>
  <si>
    <t xml:space="preserve">Optimizing high-moisture meat analogue textures through Artificial Intelligence: The effect of sorbitol in soy protein concentrate blends</t>
  </si>
  <si>
    <t xml:space="preserve">This study explored the effects of sorbitol on the textural properties of soy protein concentrate-based high-moisture meat analogues (SPC-HMMA) using a novel approach that combines artificial intelligence (AI) and genetic algorithms (GA) to replicate the textures of chicken and beef, aiming to develop customized meat analogues with tailored textural properties. This method allows for the simultaneous adjustment of multiple parameters, effectively capturing the complex non-linear interactions between ingredients and processing conditions during extrusion. SPC with varying sorbitol concentrations and moisture levels was extruded under optimized screw speeds and temperatures. Texture profile analysis (TPA) revealed that hardness values decreased from 3893 ± 308 g at 0% sorbitol to 421 ± 54 g at 20% sorbitol while cutting strength values ranged from 5951 ± 544 g crosswise at 0% sorbitol to 1754 ± 134 g at 20% sorbitol. Moisture content played a significant role in the textural properties of the SPC-HMMA with lower moisture yielding harder and chewier analogues. Scanning electron microscopy (SEM) revealed alterations in the microstructure while FTIR spectroscopy and deconvolution analysis indicated significant alterations in protein secondary structure. Cooking yield increased from 142.56 ± 1.5% to 168.54 ± 2.12%, water absorption capacity increased from 329.41 ± 5.16% to 464.67 ± 5.28%, while oil absorption capacity decreased from 120.84 ± 1.89% to 93.39 ± 1.82% with increasing sorbitol levels.</t>
  </si>
  <si>
    <t xml:space="preserve">End product formulation</t>
  </si>
  <si>
    <t xml:space="preserve">The paper's primary contribution is a novel AI/genetic algorithm-driven extrusion process optimization to achieve specific textures in high-moisture meat analogues, with sorbitol as an ingredient variable studied in the context of improving final product texture rather than as an isolated ingredient study.</t>
  </si>
  <si>
    <t xml:space="preserve">pub.1187440697</t>
  </si>
  <si>
    <t xml:space="preserve">Butter aroma compounds in plant-based milk alternatives through fermentation: screening of potential starter cultures and enhanced production in oat milk with Lactococcus cremoris</t>
  </si>
  <si>
    <t xml:space="preserve">Acetoin and diacetyl are aromatic compounds that confer creamy and butter aroma to products such as yogurt and cheese. As such, they can also impart desired sensory properties to plant-based products such as dairy analogues. These compounds are produced by lactic acid bacteria, but few strains can produce amounts high enough to be considered relevant strains for its use as fermentation starters. Therefore, in this study we aimed to identify a great acetoin and diacetyl bacteria producer using different reported methods. We identified the Lactococcus cremoris strain CNTA 939 as a great producer of these compounds and optimized its production in synthetic medium and in plant-based milk alternatives. In the latter, it was detected that the availability of free amino acids is crucial for allowing good fermentation performance by strain CNTA 939, and it was demonstrated that relevant acetoin and diacetyl titers (115 and 8 mg/L, respectively) can be achieved without adding external supplements.</t>
  </si>
  <si>
    <t xml:space="preserve">Strain development</t>
  </si>
  <si>
    <t xml:space="preserve">The paper screens and optimises a microbial strain (Lactococcus cremoris) for fermentation-derived aroma compound production in plant-based milk, with secondary relevance to ingredient-level optimisation of oat milk fermentation performance.</t>
  </si>
  <si>
    <t xml:space="preserve">pub.1191928083</t>
  </si>
  <si>
    <t xml:space="preserve">Valorizing Press Cakes as Ingredients in Textured Vegetable Proteins: Processing, Structure, and Texture</t>
  </si>
  <si>
    <t xml:space="preserve">In this study, press cakes (PCs)-the by-products from almond, coconut, flaxseed, pumpkin seed, rapeseed, and sunflower oil production-were used to create textured vegetable proteins (TVPs) that offer both nutritional and sustainability benefits. Several technological and textural properties were measured to evaluate the potential of the PCs for use as ingredients in meat alternatives. After raw material characterization, 15 PC flours were mixed with pea protein isolate at three levels (25%, 45%, and 50-100% PC, depending on composition) and low-moisture extruded in a pilot-scale co-rotating twin-screw extruder (11% feed water content, 150°C barrel temperature, 10.18 kg/h throughput). Extrusion response parameters were recorded. The structure and texture of the resulting extrudates were analyzed by light microscopy, fracture test, and texture profile analysis. Finally, the PC-TVPs were compared to reference products and meat. Oil and protein content are the most important factors influencing processing and TVP properties because they reduce shear forces and cross-linking. The decrease in protein network stability seen as PC content increases results in denser TVPs with smaller pores and thicker lamellae. These TVPs-especially those made with sunflower seed, flaxseed, and pumpkin seed PCs-are more chewy and less spongy than higher protein TVPs, making the texture more meat-like. Press cakes possess the techno-functional properties to (partially) replace protein isolates or concentrates in TVP production, thereby improving the nutritional profile, texture, and sustainability of meat alternatives. PRACTICAL APPLICATIONS: Technological insights gained from this study will facilitate the production of TVPs from press cakes in new plant-based products. Drawing on the results of this study, producers will be able to choose press cake ingredients and concentrations to achieve the desired textural properties while diversifying their raw materials. Starting from the specified extrusion and formulation conditions indicated here, future research can further optimize processes and TVP properties.</t>
  </si>
  <si>
    <t xml:space="preserve">The paper directly investigates low-moisture extrusion processing of press cake flours to produce textured vegetable proteins, with the primary focus on how ingredient composition affects extrusion response, structure, and texture of the final extrudates, while also characterising the press cake ingredients' techno-functional properties as inputs.</t>
  </si>
  <si>
    <t xml:space="preserve">pub.1193708822</t>
  </si>
  <si>
    <t xml:space="preserve">How healthy are meat alternatives? A qualitative exploration among Dutch adults using the model of positive health</t>
  </si>
  <si>
    <t xml:space="preserve">The global population is rapidly increasing, with the United Nations projecting 9.8 billion people by 2050 (1) . This growth places mounting pressure on both the environment and the global food system. Shifting dietary habits—particularly reducing the intake of environmentally intensive animal products in favour of plant-based alternatives—can help mitigate this impact (2) . However, changing meat consumption behaviour is complex, influenced not only by physical needs but also by psychological, cultural, emotional, and moral factors (3) . This study aimed to explore how meat alternatives influence the perceived health of young vegetarian adults, using the Positive Health model, which includes six dimensions: bodily functions, mental well-being, meaningfulness, quality of life, participation, and daily functioning (4-5) .  A phenomenological qualitative design was employed, using semi-structured interviews to examine the perceived health effects of meat alternatives among young vegetarians.  Participants (N=12) were aged 18–30 and had adopted a vegetarian diet after age 15. The study followed COREQ guidelines, ensuring transparency in recruitment, data collection, and analysis. The interviews were transcribed verbatim . The transcripts were analysed in ATLAS.ti using a thematic analysis approach.  Findings reveal that meat alternatives influence multiple dimensions of positive health, particularly through their convenience, taste, and ethical alignment. For example, participants reported enhanced enjoyment of life due to the improved taste and availability of meat alternatives, with one participant noting they are now “little moments of happiness.” Mental well-being was often indirectly affected; several participants mentioned reduced stress in social settings due to the ease of finding vegetarian options. The dimension of meaningfulness was strongly tied to ethical and sustainability considerations, where one participant emphasised reducing their ecological footprint, while another participant expressed satisfaction in “not eating animals”, linking a dietary choice to their own ethical principles. Themes such as upbringing and motivations for dietary change also emerged, highlighting how early experiences or parenting roles shape dietary decisions. Notably, convenience surfaced as a cross-cutting concept influencing mental well-being, participation, and daily functioning—underscoring the interconnectedness of perceived health domains. This study offers a novel, holistic perspective on the role of meat alternatives in perceived health, extending beyond nutritional value to psychological and social dimensions. By framing health more broadly through the Positive Health model, this research underscores the potential of meat alternatives to support sustainable dietary transitions and encourages greater awareness of their multidimensional impact.</t>
  </si>
  <si>
    <t xml:space="preserve">The study uses qualitative interviews to explore consumer perceptions of how meat alternatives affect perceived health across multiple dimensions, making it primarily a consumer behaviour/perception study with secondary relevance to health outcomes.</t>
  </si>
  <si>
    <t xml:space="preserve">pub.1191161017</t>
  </si>
  <si>
    <t xml:space="preserve">Understanding sensory and emotional drivers of plant-based fish analogues acceptance in children and adul</t>
  </si>
  <si>
    <t xml:space="preserve">Children play a crucial role in the transition to a sustainable diet, but research on their perception of plant-based alternatives remains scarce. This study aimed to investigate the sensory drivers of liking and consumer perceptions of plant-based breaded fish among children (9-11 years; n=98) and adults (n=104). Participants evaluated five plant-based analogues and two animal-based samples for liking (9-point scale), sensory properties using Check-All-That-Apply method, and emotional responses. Despite higher liking for animal-based samples (Adults: 6.5 - 7.3; Children: 7.1 - 7.5), analogue samples were accepted by both age groups (Adults: 4.9 - 5.9; Children: 5.1 - 6.1). Age-related differences were observed: adults preferred the wheat protein-based sample, while children preferred the rice flake-based one. Plant-based samples were associated with sensory attributes, such as unappealing appearance, off-flavour, legume and spicy odour and flavour, bitter taste and pasty and gummy filling, which negatively impacted liking, particularly among children. Emotional responses influenced acceptance in both age groups, with positive emotions linked to animal-based products and negative emotions to plant-based ones. However, the wheat protein sample evoked curiosity and surprise in adults, contributing to its liking. In contrast, children's preference for the rice-based sample was driven by familiarity and sensory similarity to traditional products, with emotions providing no additional insights beyond liking. These findings underscore the importance of age-specific preferences and emotional responses in promoting plant-based foods, with the potential for targeted products to engage both children and adults in sustainable eating. No effect of food neophobia was found on acceptance in either group.</t>
  </si>
  <si>
    <t xml:space="preserve">The study primarily investigates consumer acceptance, sensory drivers of liking, and emotional responses to plant-based fish analogues across age groups, which is core consumer research; the secondary focus relates to the characterisation of finished plant-based product formulations differing in protein ingredient (wheat protein vs. rice flake-based).</t>
  </si>
  <si>
    <t xml:space="preserve">pub.1191786314</t>
  </si>
  <si>
    <t xml:space="preserve">Analyses of phenotypic and genomic based genetic diversity highlight useful trait variation for the improvement of grain and protein yield of pea (Pisum sativum L.) grown in Norway</t>
  </si>
  <si>
    <t xml:space="preserve">Pea (Pisum sativum L.) plays a central role for achieving the goal of increased self-sufficiency of plant-based protein for food and feed in Norway. This study characterized 36 pea genotypes of mainly Nordic and eastern European origin grown in a multi-environment field trial in Norway for various agronomic traits including grain and protein yield. The same accessions were also genotyped with a single nucleotide polymorphism (SNP) chip array to investigate the genetic diversity both at the phenotypic and genomic levels. Variance component (VC) analyses found that genotype (G) and genotype by year by location (G × Y × L) interaction VC were the main sources of variation for all the considered traits, with G × Y × L being strongly affected by the different climatic conditions which characterized the two test years. A further dissection of the genotype by environment interactions (GEI) through Additive Main effects and Multiplicative Interaction (AMMI), highlighted pea cultivars which outperformed the reference Norwegian variety Ingrid both in term of yield, protein content and protein yield. Measurements of genetic distance based on phenotypic and genomic data were significantly correlated and distinguished the material in three main clusters which were partially associated with their geographic origin. Overall, this work identified pea genotypes which can be successfully grown in Norway and used as source of genetic diversity for future breeding efforts targeting the Norwegian environment.</t>
  </si>
  <si>
    <t xml:space="preserve">Crop development</t>
  </si>
  <si>
    <t xml:space="preserve">Impact assessments</t>
  </si>
  <si>
    <t xml:space="preserve">The study directly investigates phenotypic and genomic diversity of pea genotypes for grain and protein yield improvement through multi-environment field trials and breeding-relevant analyses, which is core crop development work; the secondary category is a weak fit but Impact Assessments is closest given the multi-environment evaluation framework, though Other would also be reasonable.</t>
  </si>
  <si>
    <t xml:space="preserve">pub.1192660347</t>
  </si>
  <si>
    <t xml:space="preserve">Cooks as collaborative creators and evaluators: An iterative sensory-driven workshop to create vegetarian dishes</t>
  </si>
  <si>
    <t xml:space="preserve">Among the obstacles to substituting animal-based food products with more sustainable plant-based alternatives at home and in food service is the lack of familiarity and creativity among consumers and culinary professionals. This case study describes and discusses the designing of a two-day hands-on workshop for eighteen cooks from Örebro Municipality, Sweden. In a collaborative design process, participants experimented with eight vegetable ingredients (legumes, grains and plant-based meat alternatives) and different cooking techniques (e.g. baking, grilling and frying) to create thirteen novel or adapted vegetarian dishes. The workshop incorporated sensory assessments of the plain ingredients, the cooked ingredients and the final dishes, empowering cooks as both creators and evaluators and generating valuable data for future recipe development. The resulting dishes, ranging from light to hearty and simple to complex, indicated no correlation between the number of components and overall liking, challenging the common perception that vegetarian dishes require more effort, ingredients or complexity. A follow-up questionnaire and group interview provided insights into the workshop’s impact and potential improvements. The case of this workshop sparks broader discussions about how to create dishes by taking ingredients as a starting point, and how methods from sensory science can be used to improve the flavour of vegetarian meals. It also raises questions about how researchers can design more horizontal and collaborative interactions with other actors of society – such as, in this case, cooks working in public meal services.</t>
  </si>
  <si>
    <t xml:space="preserve">Other</t>
  </si>
  <si>
    <t xml:space="preserve">This is a practitioner-facing workshop case study focused on recipe development with existing plant-based ingredients and culinary training, which fits the 'Other' catch-all; the secondary consumer/market research element is present through sensory assessments and questionnaires measuring cooks' perceptions and dish liking.</t>
  </si>
  <si>
    <t xml:space="preserve">pub.1190878090</t>
  </si>
  <si>
    <t xml:space="preserve">The consumption of milk and milk alternatives among young people in Germany: a comparative analysis of consumer groups</t>
  </si>
  <si>
    <t xml:space="preserve">Our food system is a key driver of current environmental issues such as climate change and biodiversity loss, with meat and dairy production creating excessive amounts of greenhouse gases. To counteract these issues, a transition to more plant-based food practices, such as consuming milk alternatives instead of cow's milk, could be helpful. Hence, we examined the consumption of cow's milk and plant-based milk alternatives and the intention to consume 'animal-free milk' among young people in Germany (ages 18-26 years; N = 667). Additionally, we compared the socio-demographics, dietary habits, food choice motives, attitudes toward milk and milk alternatives, personal norms, and social norms of young consumers of cow's milk (n = 211), plant-based milk alternatives (n = 73), and both (n = 368). We found that the young people in our study still consume cow's milk more frequently than plant-based milk alternatives. All consumer groups differed significantly in the collected variables, with the largest effect observed for attitudes toward cow's milk and plant-based milk alternatives. Plant-based milk alternative consumers had significantly more negative attitudes toward cow's milk and significantly more positive attitudes toward plant-based milk alternatives compared to cow's milk consumers. All consumer groups were interested in trying animal-free milk but were less interested in buying it regularly. On average, the young people in our study were willing to pay €1.53 for 1 l of animal-free milk, which corresponds to the upper price segment of cow's milk and the regular price segment of plant-based milk alternatives in Germany. Our findings offer preliminary insights for further research and marketing of milk alternatives and for understanding interest in animal-free milk regarding a potential market launch in Germany.</t>
  </si>
  <si>
    <t xml:space="preserve">The paper directly investigates consumer behaviour, purchasing intent, attitudes, social norms, and willingness to pay for milk alternatives among young German consumers, making it a clear consumer and market research study; environmental impact is mentioned only as motivational context, not as a primary analytical focus, so Other would be the secondary, but Impact Assessments is not relevant — the secondary is better captured as Other given no other specific category applies.</t>
  </si>
  <si>
    <t xml:space="preserve">pub.1193375700</t>
  </si>
  <si>
    <t xml:space="preserve">Challenges in the Plant-based Dairy Alternatives Market: A Case Study of Ripened Rennet Cheese Alternatives in the Context of Sustainable Development Policy Principles</t>
  </si>
  <si>
    <t xml:space="preserve">Objective: To determine whether the production and consumption of plant-based dairy alternatives (PBDAs) aligns with sustainable development policy and to identify challenges on the path to achieving Sustainable Development Goals (SDGs). Research Design &amp; Methods: A review and critical analysis of the literature, official documents, reports, food labels, and legal regulations. Synthesis and logical reasoning methods are also employed. Findings: Contradictions have been identified between the principles of sustainable development policy and the directions the current PBDAs market is taking vis-à-vis ripened rennet cheese substitutes. The low nutritional value of PBDAs, inefficient resource utilisation in the production of non-nutritive foods, and challenges arising from the need to sustainably feed a growing population may all hinder the achievement of SDGs. Implications / Recommendations: The challenges identified can be a subject of research into consumer acceptance of plant-based alternatives. Further development is required to increase the adequacy and economic availability of PBDAs. Contribution: The article sheds new light on the development of the PBDAs market in the context of the convergence of this trend with the principles of sustainable development policy.</t>
  </si>
  <si>
    <t xml:space="preserve">This is a critical review and policy analysis piece examining whether plant-based dairy alternatives align with sustainable development goals, without a specific quantitative assessment methodology (LCA, TEA, etc.), making it primarily an opinion/perspective piece with secondary relevance to impact assessments.</t>
  </si>
  <si>
    <t xml:space="preserve">pub.1192904978</t>
  </si>
  <si>
    <t xml:space="preserve">Challenges in Processing Plant Proteins Using Electrospinning</t>
  </si>
  <si>
    <t xml:space="preserve">ABSTRACT The rising demand for sustainable, plant‐based proteins has accelerated the development of advanced processing technologies to enhance their functionality and applicability. Among these, electrohydrodynamic (EHD) techniques—particularly electrospinning have emerged as promising tools for structuring plant proteins into nanofibers with tailored physicochemical properties. This review provides a comprehensive overview of electrospinning as applied to plant proteins, focusing on its principles, challenges, and recent advancements. The unique structural complexities of plant proteins, such as limited solubility, low chain entanglement, and globular conformations, hinder their direct electrospinnability. To address these limitations, several strategies have been explored, including the use of solvents to unfold protein structures, incorporation of carrier polymers to enhance molecular entanglements, addition of surfactants to lower surface tension, and various denaturation methods ranging from thermal and pH treatments to green technologies like high hydrostatic pressure and ultrasound. Furthermore, synergistic approaches combining these techniques have demonstrated improved fiber formation and morphology. Despite promising laboratory‐scale results, significant challenges remain regarding the scalability, reproducibility, and mechanical performance of electrospun plant protein fibers. Future research ought to focus on optimizing formulations and process parameters to enable large‐scale production and expand their use in food, packaging, and biomedical applications.</t>
  </si>
  <si>
    <t xml:space="preserve">The paper reviews electrospinning as a processing technology for structuring plant proteins into nanofibers, focusing on process innovations and challenges for fiber formation, which is a texturization method; ingredient-level modifications (solubility, denaturation, carrier polymers) are discussed as strategies to enable electrospinnability, making ingredient optimisation the secondary focus.</t>
  </si>
  <si>
    <t xml:space="preserve">pub.1191049304</t>
  </si>
  <si>
    <t xml:space="preserve">Plant-based protein supplements as emerging sources of metal exposure: A risk assessment study</t>
  </si>
  <si>
    <t xml:space="preserve">The growing demand for plant-based diets has prompted the food industry to develop nutritional supplements, particularly plant-based protein supplements (PS), designed to meet the needs of vegans and vegetarians. While these supplements offer essential nutrients, they may also contain potentially toxic elements (PTEs) that pose health risks. This study assessed the metal content of 56 plant-based PS samples from European sources using Inductively Coupled Plasma Optical Emission Spectrometry (ICP-OES). Dietary exposure to these elements was evaluated across three consumption scenarios, considering established reference intake values (AI/TDI/TWI/UL) and the Margin of Exposure (MOE) for lead (Pb). The analysis identified plant-based PS as significant sources of essential elements, including sodium (9101.66 mg/kg), potassium (5784.91 mg/kg), calcium (2201.45 mg/kg), molybdenum (1.63 mg/kg), manganese (25.14 mg/kg), copper (11.59 mg/kg), iron (132.58 mg/kg), zinc (62.56 mg/kg), chromium (0.45 mg/kg), and cobalt (0.11 mg/kg). However, these products also contained PTEs such as lead (0.07 mg/kg), cadmium (0.09 mg/kg), aluminum (18.39 mg/kg), nickel (1.19 mg/kg), strontium (5.67 mg/kg), barium (1.86 mg/kg), boron (4.59 mg/kg), and vanadium (0.05 mg/kg). At the recommended consumption level of 30 g/day, exposure to both essential and PTEs did not exceed reference intake limits. However, this dose accounted for 75 % of the Adequate Intake (AI) for molybdenum. Excessive consumption (100 g/day) raised concerns about exceeding the AI for copper (105.40 %) and magnesium (105.90 %) in women, as well as molybdenum (250.16 %) and iron (120.53 %) for men and postmenopausal women. These findings underscore the dual role of plant-based PS as valuable sources of essential nutrients and potential vectors for PTEs.</t>
  </si>
  <si>
    <t xml:space="preserve">The paper conducts a toxicological and chemical safety assessment of plant-based protein supplements by measuring potentially toxic elements and evaluating dietary exposure risks, which is a direct food safety investigation; the health risk/exposure assessment component provides a secondary health and nutrition angle.</t>
  </si>
  <si>
    <t xml:space="preserve">pub.1193472711</t>
  </si>
  <si>
    <t xml:space="preserve">Rheological analysis of swelling food soils for optimized cleaning in plant-based food production</t>
  </si>
  <si>
    <t xml:space="preserve">Abstract The ongoing shift towards replacing traditional animal-based foods with plant-based alternatives presents several technical challenges. In particular, there is a change in swelling properties of soils and cleaning behavior of production lines. Increased quantities of water, chemicals, and heat are often used to ensure food safety. A comparison of changes in mechanical properties of different food soils combined with cleaning liquids enables cleaning to be tailored to specific products while saving resources. Consequently, a rheological methodology for analysis of swelling soil layers immerged in cleaning liquids was improved with regard to efficiency of measurements, the adjustment of moisture content in the soil layer, and the insight into the time dependence of swelling. With the CP method, the measuring period on the rheometer could be reduced to approx. one tenth. Drying soil layers in a climate chamber allows for reproducible soil layers and moisture content adjustment, enabling analysis of soil layers with different drying degrees. Due to compression-related effects, the time dependency of the swelling can only be understood to a limited extent through measurements in the immersed state after different swelling times. Nevertheless, the improved method offers the potential to select suitable cleaning liquids and cleaning cycle.
Graphical abstract</t>
  </si>
  <si>
    <t xml:space="preserve">The paper develops a rheological methodology for optimizing cleaning protocols in food production lines, which is focused on equipment cleaning and manufacturing hygiene rather than food safety per se or any of the specific alternative protein research categories.</t>
  </si>
  <si>
    <t xml:space="preserve">pub.1191189050</t>
  </si>
  <si>
    <t xml:space="preserve">Maximize the synergistic interactions among microbial consortia and plant-based matrices to design fermented cereal-pulse-based beverages</t>
  </si>
  <si>
    <t xml:space="preserve">The dynamic interplay between compositional matrices and bioprocessing techniques drives innovation in the design of plant-based dairy substitutes. In this regard, this study aimed to develop novel fermented cereal-pulse-based beverages using four alternative yoghurt lactic acid bacteria starters. Following initial screening, we constructed three binary, three ternary, and one quaternary consortium, keeping Lacticaseibacillus paracasei as the base strain due to its superior functional attributes, and conducted a fermentation at 30 °C for 20 h. Incorporating mixed starter cultures significantly improved the fermentation efficiency. Most fermented beverages showed efficient release of microbial metabolites, peptides, and amino acids achieving a thick and creamy yoghurt-like consistency as noted for control dairy yoghurt. Although phenolic metabolism largely depended on the starter composition, fermentation generated a diverse array of phenolic compounds with enhanced antioxidant potential. Among the formulated consortia, the binary composed of Lc. paracasei and Leuconostoc citreum or of Lc. paracasei and Levilactobacillus brevis revealed distinct nutritional advantages through anti-nutrients reduction and digestibility improvement. This analysis confirmed that substrate-starter interactions enhanced the aroma complexity. Consumer preference favored beverages in which Lc. paracasei was combined with Levilactobacillus namurensis or with Leuc. citreum and L. namurensis, that clustered with the raw beverage control in the sensory analysis. Our findings highlighted the potential of tailored microbial consortia to provide nutritious and sustainable functional alternatives to dairy yoghurt.</t>
  </si>
  <si>
    <t xml:space="preserve">The study screens and optimises novel lactic acid bacteria starter consortia for fermenting plant-based cereal-pulse matrices, with fermentation used as a processing method to modulate beverage characteristics, while the finished fermented beverages are also characterised for nutritional, sensory, and functional properties.</t>
  </si>
  <si>
    <t xml:space="preserve">pub.1185483589</t>
  </si>
  <si>
    <t xml:space="preserve">Soluble chickpea and lentil powders: a solution for elderly consumers interested in enriching their meals with protein</t>
  </si>
  <si>
    <t xml:space="preserve">Protein intake in the elderly is often inadequate; one solution is to enrich meals with sustainable proteins. This can be difficult, especially when aiming to retain the product's sensory appeal. In this study, we investigated the use of a novel soluble pulse powder derived from pre-cooked and dried chickpea or lentil grains. The composition, rheological, and sensory properties of chickpea and lentil powders were studied as potential ingredients for enriching protein and fibre purees. Two types of powder were initially selected: whole powder and sieved powder (containing particles &lt;354 μm). The composition of these powders varied in terms of the fibre and protein content. The viscosity of the purees increased linearly with powder addition, depending on whether it was the whole or sieved powder, which contained only particles with a diameter of less than 354 μm. Compared with the control puree, the addition of 7.5% sieved pulse powder did not affect consumer preference and transformed the purees into a source of protein and high-fibre food. Therefore, 7.5% sieved powder was selected to study the perceptions of the elderly consumers. The liking of, and willingness to eat purees enriched with chickpea powder was not significantly different from that of the control puree, but was significantly higher than purees with lentil powder. A significant increase in the perception of healthiness was observed with enriched purees. Elderly individuals who were protein-concerned and non-neophobic had a favourable reaction to the soluble pulse product. Therefore, chickpea powder could be an easy and sustainable option for improving and increasing protein and pulse intake in elderly individuals.</t>
  </si>
  <si>
    <t xml:space="preserve">The study develops and characterises pulse powder-enriched purees as finished food products (composition, rheology, sensory properties) and evaluates elderly consumer acceptance, liking, and willingness to eat these enriched products.</t>
  </si>
  <si>
    <t xml:space="preserve">pub.1194955255</t>
  </si>
  <si>
    <t xml:space="preserve">Tempeh powder production from different substrates: carbon footprint, land-use change, economic feasibility and eco-efficiency</t>
  </si>
  <si>
    <t xml:space="preserve">Purpose The carbon footprint, land use and economic feasibility have been quantified for tempeh production using four alternative substrates (fava bean, chickpea, quinoa and lentil) and traditional tempeh (made from soybean) as a benchmark. The purpose of this study is to compare the environmental and economic results of tempeh made from fava bean, chickpea, quinoa and lentil against the traditionally produced tempeh and explore the eco-efficient tempeh variant.   Design/methodology/approach Life Cycle Assessment (LCA) and Life Cycle Cost Analysis (LCC) have been applied as tools for evaluating the environmental and economic impacts associated with a product or process, respectively. For impact assessment, we have employed ReCiPe 2016 v1.1, which is integrated in the PC-tool GaBi v10.6.2.9 (developed by Sphera Solutions GmbH, Germany).   Findings Carbon footprint analysis revealed that lentil-based tempeh has the lowest value (1.599 kg CO2 eq.) per kg product, while fava bean-based product has the lowest value (4.379 kg CO2 eq.) per kg protein in the product. From an eco-efficiency perspective, chickpea-based tempeh powder was identified as the most eco-efficient per kg of product.   Originality/value The study also showed that defining a product as more sustainable highly depends on the functional unit on which the ecological and economic impacts are calculated. The results also show that a product could be environmentally friendly but not economically profitable. Therefore, the eco-efficiency method could support in decision-making.</t>
  </si>
  <si>
    <t xml:space="preserve">The paper's primary methodological contribution is a structured LCA and Life Cycle Cost Analysis (LCC) quantifying carbon footprint, land use, and economic feasibility of tempeh production from alternative substrates, with eco-efficiency analysis as the integrating framework.</t>
  </si>
  <si>
    <t xml:space="preserve">pub.1188291190</t>
  </si>
  <si>
    <t xml:space="preserve">The Role of Plant-Based Beverages in Nutrition: An Expert Opinion</t>
  </si>
  <si>
    <t xml:space="preserve">The market of plant-based food, including plant-based beverages, is one of the fastest-growing food sectors within the food industry and a subject of major research in the area of new product development. Plant-based beverages are a diverse group of non-dairy beverages with varying nutritional value, depending on the raw material sources and additional substances used in their production. A wide range of plant beverages makes it possible to choose products tailored to individual consumer preferences and needs as a part of sustainable dietary patterns. Increased consumer awareness of the environmental and health implications of proper nutrition, interest in plant-based diets, climate, and natural resource protection, as well as ethical concerns about animal welfare and the negative environmental impact of animal production, have led some consumers to seek a more balanced diet based on varied plant-based products, including beverages. Considering the highly diversified nutritional value of plant-based beverages, their availability, convenience, accessibility to consumers, ethical and environmental concerns, increasing health concerns as well as growing popularity of plant-based beverages as potential cow-milk alternatives, the Group of Experts in medicine and nutritional sciences presents the opinion on the nutritional value, health benefits and concerns of the available plant-based beverages. The opinion was based on a critical review of the current scientific literature, as well as on the experts' experience. This knowledge can be used to make the right choices to improve the nutritional status and health of the consumers from different groups. Since the nutritional profiles of plant-based beverages vary across different plant-based drink varieties and they do not have standards of identity, in our opinion, there is a need for action to standardize nutrient fortification regarding the type and amount of added ingredients to ensure the safety of consumers and avoid potential over- or under-fortification of plant-based beverages.</t>
  </si>
  <si>
    <t xml:space="preserve">This is an expert opinion/commentary piece based on a critical literature review covering nutritional value, health benefits, and concerns of plant-based beverages broadly, without a specific primary experimental or analytical contribution that fits a single defined category.</t>
  </si>
  <si>
    <t xml:space="preserve">pub.1192912327</t>
  </si>
  <si>
    <t xml:space="preserve">An update on fermented plant-based dairy alternatives: Advances towards consumer acceptability and modern diets</t>
  </si>
  <si>
    <t xml:space="preserve">Plant-based dairy alternatives (PBDA) represent a significant portion of the consumption of plant-based products, mainly to replace or complement the diet in relation to dairy milk, due to their health properties, the absence of lactose, environmental impacts, and consumer preference. These products have attracted a wide range of consumers, as they can be derived from different plant sources such as soy, rice, almonds, oats, cashews, and many others, offering different options for different needs and preferences. With the significant increase in the consumption of products that replace animal sources, other important concerns arise, mainly regarding the nutritional deficiency that each vegetable product offers, in addition to undesirable properties regarding adaptation to new foods. Fermentation technology is an attractive alternative as it can mitigate these sensory attributes that are present in plant-based products, as well as ensure greater food safety and health benefits of fermented products. Therefore, this review article will focus on the consumption of plant-based beverages as possible alternatives to dairy products. The consumer perception of PBDA will also be addressed, along with the differences between the fermentation of dairy milk and plant-based beverages, the challenges in the development of PBDA regarding rheological and sensory properties, and the health effects of the consumption of these fermented products.</t>
  </si>
  <si>
    <t xml:space="preserve">This is a broad review article covering multiple aspects of fermented plant-based dairy alternatives including fermentation technology, sensory/rheological properties, health effects, and consumer perception, without a single primary experimental or analytical focus that maps cleanly to one specific category.</t>
  </si>
  <si>
    <t xml:space="preserve">pub.1193872722</t>
  </si>
  <si>
    <t xml:space="preserve">Exploring the Genetic Diversity of Pulse Crops for Improving Seed Quality for Human Consumption</t>
  </si>
  <si>
    <t xml:space="preserve">Abstract Pulse crops already serve as staple foods in many parts of the world but will serve an even greater role in the transition from animal-based to plant-based diets that are needed to mitigate environmental impacts contributing to climate change. Despite domestication practices on pulse crops over millennia, many detrimental seed-quality factors persist, such as antinutritional factors and cooking defects, which can limit their use in human consumption. Pulse crops are vulnerable to insect and microorganism attacks when growing in the field, which can reduce both seed quality and yield. Therefore, breeding new cultivars without these detrimental traits can facilitate the shift towards plant-based diets improving sustainability and food security on a global scale. The genetic diversity present in landraces and crop wild relatives of pulse crops can serve as a valuable resource for identifying the underlying causes of these non-desired traits. Tapping into this diversity is possible with the use of germplasm collections for pre-breeding purposes. This case covers what germplasm collections are and what role genebanks play for providing material for breeding, how pre-breeding can help breeders to define target traits and make informed decisions, and what molecular techniques are available for breeding new improved cultivars once markers for the traits have been identified. Soybean is the dominant pulse crop today on the global market and there is a need for diversification of breeding and cultivation of pulses. The focus of this case is on three pulse crops with high potential for increased cultivation and use in food in Europe: pea, lupin and faba bean.  Information © The Authors 2025.</t>
  </si>
  <si>
    <t xml:space="preserve">The paper directly focuses on breeding new pulse crop cultivars (pea, lupin, faba bean) by exploiting genetic diversity in germplasm collections and wild relatives to improve seed quality traits, which is core Crop Development; the broad review scope covering germplasm, pre-breeding, molecular techniques, and sustainability context makes Other the secondary category.</t>
  </si>
  <si>
    <t xml:space="preserve">pub.1193662387</t>
  </si>
  <si>
    <t xml:space="preserve">The role of participatory movements and organizations in plant-based food diffusion</t>
  </si>
  <si>
    <t xml:space="preserve">Purpose The discourse concerning the incentives for protein transition also encompasses movements and organizations; thus, more attention should be given to the role played by initiatives promoted by associations and movements of consumers, producers and activists for achieving protein transition. This paper explores the role of participatory movements in reducing meat consumption to understand how they operate, how they are reshaping the problem of accessibility to protein alternatives and how their activities can be integrated into institutional policy frameworks.   Design/methodology/approach After defining a sample, following the principles of theoretical sampling, we performed a web-based analysis to gather information about 31 organizations and movements and their initiatives. The research design follows the main principles of grounded theory.   Findings The paper describes how initiatives operate and interact with people to improve awareness of protein transition and highlight future directions for policymakers.   Originality/value The focus on the role of participatory initiatives in supporting protein transition and sustainable food choices is relatively new.</t>
  </si>
  <si>
    <t xml:space="preserve">The paper investigates consumer and activist organizations' roles in driving plant-based food adoption and protein transition, which aligns with consumer behaviour and market research, while its broader policy and movement focus places secondary content in the 'Other' category as a commentary/perspective piece on institutional frameworks.</t>
  </si>
  <si>
    <t xml:space="preserve">pub.1185997380</t>
  </si>
  <si>
    <t xml:space="preserve">Does label information reflect product properties? A Swiss case study of plant-based milk alternatives</t>
  </si>
  <si>
    <t xml:space="preserve">Front-of-pack labels are recognised as an important tool in guiding consumers towards healthier product choices. However, an overwhelming variety of labels can also lead to misleading label information. This is particularly the case for newer product categories, such as plant-based milk alternatives, where strict marketing regulations are lacking. To improve the consumer friendliness of front-of-pack labels, more in-depth label information is needed. The first aim of this study was therefore to investigate the number and types of front-of-pack labels for plant-based milk alternatives in the Swiss market. Second, we aimed to better understand whether label information reflects product properties. Therefore, we investigated the congruence between the label information of a product and its nutritional, compositional, and price properties. To this end, we conducted a comprehensive online market inventory to collect information from product packaging. For all products, the Nutri-Score for plant-based milk alternatives was calculated using the Rayner-Score method. Principal component analysis was used to analyse correlations between label information and product properties (i.e. nutrition, composition, price). A total of 327 labels were identified among the 66 plant-based milk alternatives, reflecting a high degree of heterogeneity. Nutrition labels (34 %) (i.e. ’kcal per 100 ml’, ‘no added sugar’, or ‘Nutri-Score’) and diet labels (29 %) (i.e. ‘vegan’ or ‘plant-based’) were used more often than sustainability labels (11 %) (i.e. ‘organic’, ‘climate footprint’, or ‘fairtrade’). Moreover, we found that products with ‘Nutri-Score’ or ‘climate footprint’ labels were more expensive. We conclude that ‘high protein’, ‘low fat’, and ‘low price’ labels reflect the nutritional value or price of the product. However, the ‘no added sugar’ label could potentially mislead consumers, as products with this label had a similar sugar content to products without this label. We also found that the lower the nutritional quality of a product, the less often the Nutri-Score was illustrated on the products. This study identified strategies that could improve the consumer friendliness of labels for plant-based milk alternatives. This might contribute to stricter labelling policies and more effective labelling in the future.</t>
  </si>
  <si>
    <t xml:space="preserve">The study investigates front-of-pack labelling practices and their congruence with actual product properties in the Swiss plant-based milk market, which is fundamentally consumer-facing market research; the secondary focus on misleading labels and nutritional quality accuracy touches on food safety and regulatory quality concerns.</t>
  </si>
  <si>
    <t xml:space="preserve">pub.1187179468</t>
  </si>
  <si>
    <t xml:space="preserve">Historicizing the marketing of plant-based meat substitutes: a multimodal analysis of Sanitas Nut Food Company advertisements, 1896-1901</t>
  </si>
  <si>
    <t xml:space="preserve">This paper historicizes the contemporary meat substitutes trend by analyzing advertisements from the Sanitas Nut Food Company, founded by Dr John Harvey Kellogg, during its first five years of operation (1896-1901). Using visual social semiotics, it explores the rhetorical and multimodal strategies used in the advertisements, finding that Sanitas marketed its meat substitute products by drawing upon four meat myths—normal, natural, necessary, and nice—often using shockvertising to promote dietary change. However, by focusing on meat’s taste, flavor, appearance, and nutritional benefits, Sanitas unintentionally perpetuated meat’s superiority, undermining the significance of meat substitutes in their own right. Today, the persistence of similar strategies, though adapted to reflect contemporary societal values, highlights the need for marketing that prioritizes consumer education and animal agriculture issues. These findings emphasize the enduring influence of certain ways of shaping “eating knowledge” around meat and our material interactions with food.</t>
  </si>
  <si>
    <t xml:space="preserve">The paper directly investigates marketing and advertising strategies for plant-based meat substitutes through historical and semiotic analysis of advertisements, making Consumer &amp; Market Research the clear primary category, with no strong fit for any other specific category.</t>
  </si>
  <si>
    <t xml:space="preserve">pub.1192826494</t>
  </si>
  <si>
    <t xml:space="preserve">Functional properties of autochthonous lactic acid bacteria starter cultures for plant-based food fermentation</t>
  </si>
  <si>
    <t xml:space="preserve">Lactic acid bacteria (LAB) that are autochthonous to the raw material are commonly recognised as the most suitable bacteria for starter cultures for fermentation. In this study, 172 LAB isolated from cereals and pulses were genetically characterised, and 37 of these were whole genome sequenced. Twenty-four LAB were selected for technological characterization. Screening assays were set up to determine the ability of these isolates to produce exopolysaccharides and hydrolyse proteins, reduce phytic acid, and ferment various carbohydrate substrates. The ability to grow and acidify was tested in flour-like media and flour slurries. Chromatographic methods were applied to quantify carbohydrates and organic acids before and after fermentation. The 24 isolates belonging to 8 different species of LAB exhibited a diverse combination of important functional and technological properties. Isolates with the ability to rapidly reduce pH, proliferate at a high rate, produce large amounts of organic acids and metabolise citrate were found among the 24 candidates. The isolates displayed different combinations of carbohydrate fermentation ability, proteolytic activity, phytase activity, and formation of mucoid and threading colonies. Several isolates exhibited one or more desirable traits, with one expressing all the desired properties tested here; Lpb. paraplantarum JP51. These results provide insights into the potential of these isolates for developing autochthonous starter cultures.</t>
  </si>
  <si>
    <t xml:space="preserve">The paper screens and characterises autochthonous LAB isolates from cereals and pulses for functional and technological properties relevant to fermentation starter culture development, which is core strain development; secondary relevance to ingredient optimisation as the fermentation properties assessed (proteolysis, phytate reduction, acidification) relate to improving plant-based ingredient quality.</t>
  </si>
  <si>
    <t xml:space="preserve">pub.1193123540</t>
  </si>
  <si>
    <t xml:space="preserve">Intercropping traditional pea varieties with faba bean produces grain yields similar to pure stands of modern varieties in organic agriculture</t>
  </si>
  <si>
    <t xml:space="preserve">Although being a historical farming practise, little research has been performed on intercropping pea with faba bean, and no study has previously tested traditional varieties in this species combination. To evaluate the influence of variety and seeding ratio on grain yield in pea-faba bean intercropping, a field experiment was conducted over three years (2021–2023) under organic management in southern Sweden. The experiment included a set of three faba bean varieties, and nine traditional and one modern pea variety. Total yield (sum of both species) of the intercrops with traditional pea varieties varied from around 0.44 to 4.9 t ha−1 across all years and treatments, and several of the intercrop combinations were as productive as pure stands of modern varieties (both species). When compared in intercropping, some traditional pea varieties produced higher pea yield than the modern variety. There was a big difference among pea varieties in their competitiveness toward the intercropped faba bean. By using traditional varieties, it was possible to find matching maturity times and segregating seed sizes between the two species. Intercropping did generally not influence time to pod maturity or seed size. Traditional pea varieties suffered from severe lodging in pure stands and gained improved standing ability when intercropped with faba bean. This study has shown that intercropping pea with faba bean can facilitate the production of traditional pea varieties that lack proper standing ability on their own; however, different varieties require different seeding ratios for optimal performance.</t>
  </si>
  <si>
    <t xml:space="preserve">The study directly investigates the performance of traditional and modern pea varieties intercropped with faba bean under organic management, focusing on grain yield, competitiveness, maturity, and standing ability — core crop development research; Impact Assessments is a weak secondary as the study implicitly evaluates agronomic system-level productivity, though Other could also apply.</t>
  </si>
  <si>
    <t xml:space="preserve">pub.1185641135</t>
  </si>
  <si>
    <t xml:space="preserve">Impact of Supercritical CO2 Treatment on Lupin Flour and Lupin Protein Isolates</t>
  </si>
  <si>
    <t xml:space="preserve">Global population growth is putting pressure on the food supply, necessitating the exploration of new, alternative, and sustainable protein sources. Lupin, an underutilized legume in human nutrition, has the potential to play a significant role in addressing this challenge. However, its incorporation into the human diet requires thorough investigation, including exploring and optimizing functionalization processes to maximize its potential. This study aimed to optimize the parameters (pressure, time, and CO2 flow) for extracting anti-technological factors (ATFs) from lupin using supercritical CO2 (SC-CO2) and to evaluate the effects of this extraction on both the flour and the protein isolate derived from it. Optimization revealed that the optimal SC-CO2 conditions were a CO2 flow rate of 4 kg/h at 400 bar for 93 min. Under these conditions, significant changes were observed in the flour composition, including a reduction in oil, polyphenols, and moisture content, along with an increase in ash content. Improved color parameters were also noted. These variations were attributed to the removal of oil and phenolic compounds during processing. Furthermore, this research demonstrated that SC-CO2 treatment improved lupin protein isolate (LPI) purity (93.81 ± 0.31% vs. 87.42 ± 0.48%), significantly reduced oil content (8.31 ± 0.09% vs. 14.31 ± 0.32%), and enhanced color parameters. The SC-CO2 procedure also resulted in a higher protein extraction yield (56.95 ± 0.45% vs. 53.29 ± 2.37%). However, the total extraction yield (g LPI/100 g of flour) was not affected by SC-CO2 treatment, remaining at 24.30 ± 0.97% for the control sample and 24.21 ± 0.26% for the treated sample. The extracted oil (2.71 ± 0.11 g/100 g of flour), a co-product of the SC-CO2 step, exhibited a fatty acid profile characterized by high levels of unsaturated fatty acids (62.8 ± 0.74 g/100 g oil), oleic acid (27.76 ± 0.77 g/100 g oil), linoleic acid (25.98 ± 0.73 g/100 g oil), and α-linolenic acid (5.32 ± 0.16 g/100 g oil), as well as a balanced ratio of essential fatty acids (n-6/n-3 = 4.89). The treatment had minimal to no effect on amino acid content or chemical score, and the protein was characterized by high amounts of essential amino acids (334 ± 3.12 and 328 ± 1.05 mg/g protein in LPI-control and LPI-SF, respectively). These findings demonstrate that both the LPI and the oil extracted using SC-CO2 possess high nutritional quality and are suitable for human food applications.</t>
  </si>
  <si>
    <t xml:space="preserve">The study directly investigates and optimises a supercritical CO2 processing method applied to lupin flour and protein isolates to improve ingredient purity, yield, and quality, with lupin characterised as an underutilised legume — fitting Ingredient Optimisation primarily, with a secondary nod to Crop Development given the focus on an underutilised protein crop.</t>
  </si>
  <si>
    <t xml:space="preserve">pub.1186482404</t>
  </si>
  <si>
    <t xml:space="preserve">High-moisture extruded pea balls exhibit lower (glyc)oxidative stability than pork balls following barbecuing and simulated gastrointestinal digestion</t>
  </si>
  <si>
    <t xml:space="preserve">The (glyc)oxidation of model meat and plant-based balls during barbeque heating and subsequent simulated gastrointestinal digestion was investigated. For this purpose, balls were formulated with pork, or high-moisture extruded (HME) pea isolate, to which three types of carbohydrates (glucose, sucrose or starch) and/or a herbal mixture were added. Heated protein products were evaluated before and after digestion for the various (glyc)oxidation products, including α-oxoaldehydes (glyoxal, methylglyoxal, 3-deoxyglucosone), lipid oxidation products (4-hydroxy-2-nonenal, hexanal, propanal, thiobarbituric acid reactive substances), protein oxidation products (protein carbonyl compound), and advanced glycation endproducts (Nε-(carboxymethyl)lysine, Nε-(carboxyethyl)-lysine, pentosidine, Nd-(5-hydro-5-methyl-4-imidazolon-2-yl)-ornithine, argpyrimidine). Overall, digested pea balls contained similar or significantly higher levels of various (glyc)oxidation products compared to their pork counterparts. These differences could be related to several factors, including the initial (glyc)oxidative status of the raw materials, the addition of carbohydrates, and the progression of (glyc)oxidative reactions during heating and gastrointestinal digestion. Herbs only marginally affected these reactions.</t>
  </si>
  <si>
    <t xml:space="preserve">The paper's primary focus is measuring glycation and oxidation products (health-relevant chemical markers including AGEs, lipid and protein oxidation products) in plant-based vs. pork balls through heating and simulated digestion, with physiological relevance as the endpoint; the ball formulations are secondary to this analytical goal.</t>
  </si>
  <si>
    <t xml:space="preserve">pub.1194107207</t>
  </si>
  <si>
    <t xml:space="preserve">A comparative analysis of the water and carbon footprints of hybrid, plant-based, and animal-based burgers</t>
  </si>
  <si>
    <t xml:space="preserve">Abstract  Food production represents a complex sustainability challenge, including climate change and freshwater scarcity. In order to promote the incorporation of sustainable prepared protein dishes into the agrifood market, this study aims to assess the environmental performance of three different burgers: a beef burger, a plant-based burger (soy, beans, and rice), and a hybrid burger (50–50 composition) by comparing the water use and the CO 2 emissions relative to their nutritional value. The environmental indicators used to perform the current study were the water footprint, the carbon footprint (CF), and their respective nutritional productivity indexes (considering fats, proteins, and carbohydrates). The water needed to produce the beef burger was 1.8 times greater than the quantity needed to produce the hybrid burger, and 21 times greater in the case of the plant-based one. In turn, regarding the CF, the beef burger emitted approximately 2 times more kgCO 2 e along the supply chain when compared with the hybrid burger, and 13 times more than the plant-based one. However, because the meat burger comes from cattle raised on grasslands, the greenhouse gas emissions are likely lower than those from other, less sustainable forms of beef production. The plant-based burger was, therefore, more sustainable in terms of water use and carbon emissions relative to the nutrition productivity index than the meat and hybrid options.</t>
  </si>
  <si>
    <t xml:space="preserve">The paper's primary methodological contribution is a structured quantitative assessment of water footprints and carbon footprints for three burger types, with nutritional productivity indexes, which is a classic comparative environmental impact assessment; end product formulation is secondary as the study involves characterising finished burger products across different compositions.</t>
  </si>
  <si>
    <t xml:space="preserve">pub.1193133167</t>
  </si>
  <si>
    <t xml:space="preserve">Bacterial and fungal community composition in dairy products and plant-based dairy alternatives using high throughput sequencing</t>
  </si>
  <si>
    <t xml:space="preserve">The increasing consumer demand for plant-based dairy alternatives has enhanced scientific interest in understanding their microbiological characteristics, particularly in comparison to traditional fermented dairy products. This study investigated the microbiological status of commercial dairy and plant-based fermented cheese and kefir products, using classical and molecular (High Throughput Sequencing - HTS) approaches. Classical microbiological analysis revealed a noteworthy dominance of yeasts and lactic acid bacteria (LAB) in all samples tested, with yeasts prevailing in most cases and LAB co-dominating particularly in plant-based cheeses and kefirs. Notably, Enterococcus were more prominent in plant-based products, while Enterobacteriaceae and coliforms were detected exclusively in some plant-based samples, highlighting the need for a more precise fermentation control. High throughput 16S rRNA gene sequencing revealed a relatively low bacterial diversity in dairy samples, with Streptococcus and Lactococcus dominating. In contrast, plant-based products exhibited greater diversity, including beneficial families (e.g., Lactobacillaceae) or genera (e.g., Leuconostoc) and occasional spoilage-associated taxa (Raoultella, Pseudomonas). Fungal analysis showed high variability across samples, with Penicillium dominating aged cheese, Debaryomyces and Malassezia being common in both dairy and plant-based products. However, potential environmental and/or potential pathogenic fungi (e.g., Cladosporium, Neorysiphe) were detected in some plant-based products, reflecting raw material origin and/or insufficient processing controls. Overall, dairy products exhibited consistent, fermentation-driven microbiota, while plant-based samples showed higher microbial complexity, including both functional and potentially undesirable microorganisms. The findings emphasize the unique microbial characteristics of each product type, underscoring the need for targeted microbial management and the selection of appropriate starter culture in plant-based fermentations to ensure both safety and functional benefits, supporting innovation and quality control in the growing dairy alternative sector. This research contributes valuable knowledge for producers, regulators, and other stakeholders, as well as health-conscious consumers navigating the evolving plant-based dairy landscape, providing in parallel a noteworthy technological and scientific background, so that help the industry to provide innovative, safe and high-quality plant-based dairy products to the international commerce.</t>
  </si>
  <si>
    <t xml:space="preserve">The paper directly investigates microbial community composition (bacteria and fungi) in plant-based dairy alternatives versus dairy products using HTS, with a primary focus on safety-relevant taxa (pathogens, coliforms, spoilage organisms), making Food Safety &amp; Quality the primary category, while its conclusions on starter culture selection for fermentation control align secondarily with Strain Development.</t>
  </si>
  <si>
    <t xml:space="preserve">pub.1196487893</t>
  </si>
  <si>
    <t xml:space="preserve">The Role of the Nutri-Score and Eco-Score in Shaping Consumers’ Sensory Expectations and Purchase Intention: An Eye-Tracking Study on Animal- and Plant-Based Foods</t>
  </si>
  <si>
    <t xml:space="preserve">Front-of-pack (FOP) labeling schemes could be adopted to provide consumers with timely and credible information and to promote healthy and sustainable food consumption. In addition, when defining healthy and sustainable food behaviors, international authorities agree that reducing meat consumption could benefit both human health and the planet. Given the increasing interest in plant-based meat alternatives (PBMAs) and FOP labels, this study investigates how interpretative FOP labels – the Nutri-score (NS) and Eco-score (ES) – impact consumers' sensory expectations and purchase intention of a meat product and its plant-based counterpart. Using eye-tracking data, we analyzed whether and to what extent attention to these labels affects participants’ behaviors (n=76). In addition, to explore differences across consumer segments, we divided our sample based on the Meat Attachment Questionnaire (MAQ) to classify subjects according to their bond towards meat consumption. Results showed that attention to the NS or ES did not impact participants with higher MAQ scores (i.e., with a more positive bond toward meat consumption); however, sensory expectations of both the meat and plant-based product were influenced by consumer visual attention for participants with a lower meat attachment level (i.e., with lower MAQ scores). Specifically, we found a positive relationship between the attention paid to the positive ES of the plant-based product and its expected liking, and a positive interaction between the attention paid to the negative NS of the animal product and its expected liking. Finally, we discuss the results to provide insights for future research and implications for both food industries and policymakers.</t>
  </si>
  <si>
    <t xml:space="preserve">The study directly investigates consumer purchase intention, sensory expectations, and visual attention to front-of-pack labels using eye-tracking and consumer segmentation, which is core consumer behaviour research; health and nutrition is secondary as the Nutri-Score and dietary guidance around meat reduction provide the health framing, though it is not the primary experimental focus.</t>
  </si>
  <si>
    <t xml:space="preserve">pub.1191205854</t>
  </si>
  <si>
    <t xml:space="preserve">Climate change and the antinutrient–antioxidant puzzle in common bean seeds</t>
  </si>
  <si>
    <t xml:space="preserve">Non-proteinaceous and proteinaceous antinutrients in common bean (Phaseolus vulgaris L.) seeds can negatively affect human nutrition by reducing mineral bioavailability and impairing protein digestibility during digestion, respectively. However, many of these compounds also possess strong antioxidant properties that can help protect the plant from oxidative stress. While strategies to reduce antinutrient levels have been proposed to enhance the nutritional value of beans, less attention has been given to their potential protective functions, particularly under abiotic stress conditions. In the context of ongoing global climate change - marked by more frequent and prolonged drought and heat stress - there is a significant research gap concerning the influence of these environmental stresses on the accumulation and function of seed antinutrients in common beans. This perspective paper reviews current knowledge on the production of antioxidative antinutrients in response to abiotic stress and highlights the dual role of these compounds. It also outlines key research directions needed to better understand how climate-induced stress may alter antinutrient levels, and the implications this may have for both human nutrition and plant resilience. © 2025 The Author(s). Journal of the Science of Food and Agriculture published by John Wiley &amp; Sons Ltd on behalf of Society of Chemical Industry.</t>
  </si>
  <si>
    <t xml:space="preserve">The paper focuses on how climate-induced abiotic stresses affect antinutrient accumulation in common bean seeds and the implications for plant resilience and human nutrition, which aligns primarily with crop development concerns and secondarily with nutritional outcomes.</t>
  </si>
  <si>
    <t xml:space="preserve">pub.1194902449</t>
  </si>
  <si>
    <t xml:space="preserve">A Systematic Review of Food Safety Risks in Plant and Seaweeds as Emerging Alernative Protein Sources</t>
  </si>
  <si>
    <t xml:space="preserve">Alternative plant and seaweed protein sources other than soy and pea have gained significant interest as sustainable replacements of animal proteins in the last decades. However, despite a large food safety literature base, there are concerns about their food safety risks. The current study aims to synthesize the existing knowledge and gaps on safety risks associated with brewers' spent grain (BSG), grapes, hazelnuts, potatoes, pumpkins, and seaweed. A systematic review between 2003 and 2023 was conducted in the PubMed database to identify microbial, chemical, mycotoxins, heavy metals, and allergenic risks in the key commodities. The records obtained were exported into an online reference management platform, screened by inclusion and exclusion search strings, and the duplicates were removed. Finally, two reviewers assessed the eligibility of the full-text articles. The findings demonstrated that 9127 papers were identified, and 1639 of them were left for eligibility assessment. The reviewers finally included 144 articles. Amongst the commodities, the most safety studies were on grapes, with 55 papers, followed by potatoes (n=38), seaweed (n=21), hazelnuts (n=19), pumpkin (n=9), and BSG (n=2), respectively. Based on the risk type, heavy metals were the most studied ones, with 49 papers, followed by mycotoxins (n=31), microbial risks (n=23), chemical contaminants (n=21), and allergenic risks (n=20), respectively. To meet the growing need for plant and seaweed proteins, their food safety aspects should be extensively studied to deliver safe, healthy, and affordable substitutes based on robust safety standards.</t>
  </si>
  <si>
    <t xml:space="preserve">The paper is a systematic review directly focused on microbial, chemical, mycotoxin, heavy metal, and allergenic safety risks of emerging plant and seaweed protein sources, making Food Safety &amp; Quality the clear primary category; the systematic review methodology with structured synthesis of evidence across multiple commodities aligns secondarily with Impact Assessments.</t>
  </si>
  <si>
    <t xml:space="preserve">pub.1195928067</t>
  </si>
  <si>
    <t xml:space="preserve">Comparative evaluation of LAB proteolytic activities in soy-based dairy alternatives and bovine milk for selecting plant-based food starter strains</t>
  </si>
  <si>
    <t xml:space="preserve">The green transition in food production has intensified the search for novel starter cultures to produce plant-based dairy alternatives (PBDAs) that match dairy products in quality, taste, and texture. Traditional dairy starters have shown clear limitations in these matrices, particularly in nitrogen metabolism and proteolysis. This study aimed to screen and characterize lactic acid bacteria (LAB) with proteolytic traits better suited for plant-based food fermentations. Diverse LAB strains from different genera were screened in a soy-based drink (SBD), identifying 14 different clades of cell envelope proteinases (CEPs). Representative strains were then comparatively profiled in bovine milk and SBD, revealing that Clade I proteases have three distinct phenotypes, with proteases that are active predominantly in milk, predominantly in SBD, or in both matrices. Sequence and three-dimensional structure analyses identified amino acid differences in the Fn2 domain that may modulate substrate specificity. Soy-specific proteases were observed to have a tandem deletion in the pro-peptide and mutation at H763 in the active enzyme. Additionally, proteomics analysis revealed that these proteases target the disordered regions of soy proteins as the primary sources of peptides. The soy proteins dehydrin (K7LEQ5) and a late embryogenesis abundant protein (I1L957), which have highly disordered structures similar to caseins, were found to be susceptible to these proteases. Comparative peptide profiling showed that Lactococcus proteinases generated highly varied peptide sequences with consistent peptide lengths, whereas prtS gene-coded proteinases produced more uniform peptide sets, which highlights key functional difference between these two groups of traditional dairy starters. Overall, our findings indicate that Clade I proteases can be beneficial for hybrid dairy fermentation and plant-based fermentation, while Clade IV are highly conserved and ubiquitous in plant-adapted Leuconostoc spp. Although further investigation of these proteases is needed, these findings help fill a gap in comprehensive studies of the proteolytic capacity across different food matrices and provide detailed criteria for selecting suitable starter strains for plant-based foods.</t>
  </si>
  <si>
    <t xml:space="preserve">The paper directly screens and characterises LAB strains for their proteolytic suitability in plant-based fermentation, which is core strain development work; the secondary focus on proteolysis and peptide profiling of soy proteins relates to ingredient-level characterisation.</t>
  </si>
  <si>
    <t xml:space="preserve">pub.1196410047</t>
  </si>
  <si>
    <t xml:space="preserve">Genome-wide association study (GWAS) identifies genetic loci and candidate genes for variation in protein and oil content in Sesamum indicum L.</t>
  </si>
  <si>
    <t xml:space="preserve">Sesame (Sesamum indicum L.) is an ancient diploid oilseed crop valued for its high oil content, quality protein, unsaturated fatty acids, and antioxidants. The emerging research focuses on the utilization of vegetable proteins in the development of novel products and the formulation of functional foods. Developing sesame genotypes with higher protein and oil content is a current area of focus for improving sesame quality traits, as preferred by the sesame seed oil industry and consumers. Despite previous genome-wide association studies (GWAS) on various agronomic and biochemical traits in sesame, the genetic basis of protein content and fat remains limited. Therefore, this study was designed to identify candidate genes and quantitative trait loci (QTLs) regulating the target traits using 401 sesame accessions grown in three environments (2018WH, 2018LQ, and 2022WH). The protein and oil content in the sesame population varied significantly. The protein content ranged from 15.06% to 26.45%, while the oil content was between 41.68% and 60.15%. Furthermore, the white seeds had a higher oil content, while the black seeds had a higher protein content, indicating an association between seed colour and oil and protein content. GWAS results revealed that 632 and 269 QTLs were selected as significant genetic regions for protein and oil content, respectively. Of these significant QTLs, we identified 10 and 22 stable QTLs for protein and oil content, respectively. A total of 17 candidate genes related to protein and oil content were identified within 32 stable quantitative trait loci (QTLs). Interestingly, two variant sites, SNP13:10093594 and InDel13:10935497, related to protein content, were identified in the gene sequences of SINPZ1300586 and SINPZ1300694. Four SNPs, SNP1:22608987, SNP4:13355820, SNP8:21686488, and SNP11:142842, for oil content were found correspond to the genes SINPZ0102106, SINPZ0401222, SINPZ0801731, and SINPZ1100015, respectively. The findings provide light on the genetic basis of protein and oil characteristics. These genes and QTLs can aid the molecular breeding and genetic engineering of innovative sesame germplasm, with improved potential for protein and oil content, as well as desired quality attributes.</t>
  </si>
  <si>
    <t xml:space="preserve">The study uses GWAS to identify genetic loci and candidate genes controlling protein and oil content in sesame, directly supporting molecular breeding efforts to develop improved sesame genotypes — a core crop development activity; ingredient optimisation is secondary as the protein and oil quality traits identified have downstream relevance for ingredient applications.</t>
  </si>
  <si>
    <t xml:space="preserve">pub.1189525700</t>
  </si>
  <si>
    <t xml:space="preserve">Ecodesign of a Legume-Based Vegan Burger: A Holistic Case Study Focusing on Ingredient Sourcing and Packaging Material</t>
  </si>
  <si>
    <t xml:space="preserve">The growing need for healthy and sustainable food alternatives has led to a rapid increase in vegan burgers on the market. Specifically, plant-based burgers using legumes as a protein substitute are amongst the most widespread choices for consumers. While these products can offer environmental benefits over traditional meat-based options, further optimization in both ecological and economic aspects can be achieved. This study conducted a life cycle assessment (LCA) and life cycle costing (LCC) analysis to evaluate and optimize the environmental and economic life cycle of a legume-based vegan burger. LCA was performed in accordance with the recommendations of the ISO 14040 and 14044 series, and ReCiPe 2016 Hierarchist served as the impact assessment methodology. For this purpose, a base case scenario, relying on imported raw materials and conventional packaging for a legume-based vegan burger, was established to serve as the comparison benchmark, and various alternative scenarios were examined, focusing on minimizing the distance between cultivation and processing areas for key legume ingredients and improving packaging materials. The results indicate that reducing transportation distances for raw ingredients and using bio-polyethylene packaging significantly enhance sustainability. Specifically, the legume-based vegan burger of the base case scenario had a carbon footprint of 1.30 kg CO2 eq. and a total life cycle cost of EUR 2.43 per two pieces. In contrast, the optimized scenario, which incorporated shorter transportation distances and bio-polyethylene packaging, achieved a carbon footprint of 0.51 kg CO2 eq. and a reduced cost of EUR 2.37. The findings of the present work highlight the potential for further environmental and economic improvements in vegan burger production through logistics optimization and selection of climate-friendly packaging solutions, thus contributing to sustainable development.</t>
  </si>
  <si>
    <t xml:space="preserve">The paper's primary methodological contribution is a structured LCA and LCC analysis of a legume-based vegan burger evaluating environmental and economic impacts across scenarios, with secondary relevance to end product formulation through the optimization of ingredient sourcing and packaging for a finished burger product.</t>
  </si>
  <si>
    <t xml:space="preserve">pub.1186992630</t>
  </si>
  <si>
    <t xml:space="preserve">Selection of Bacillus spp. as fermentation cultures for production of plant-based cheese analogues</t>
  </si>
  <si>
    <t xml:space="preserve">Bacillus species are beneficial fermentation microbes that exhibit useful technological traits including the expression of extracellular amylolytic and proteolytic enzymes and antimicrobial lipopeptides. In this study, strains of Bacillus spp. were screened through genome analysis and the effect of fermentation of plant-based cheese analogues with the acidification cultures Lactococcus lactis, Lactococcus cremoris and Leuconostoc mesenteroides, and the adjunct culture Lentilactobacillus. buchneri plus Bacillus spp. was investigated. Based on genome analyses of 9 strains of Bacillus spp., B. velezensis FUA2155, B. amyloliquefaciens FUA2153, and B. subtilis FUA2114 that harbor genes encoding for amylases and proteases and lipopeptide synthases were selected for fermentation of plant cheese. Bacillus strains exhibited metabolic activity during bean germination but were inactive after acidification of the cheese matrix. The strains prolonged the mould-free storage time of plant-based cheese analogues and enhanced proteolysis. Of the three strains, only B. velezensis FUA2155 contributed to accumulation of taste-active glutamate. Lt. buchneri accelerated the inactivation of Ln. mesenteroides and enhanced the prevention against fungal contaminants in plant-based cheese analogues with bacilli at the ripening condition rH of 0.78. Taken together, this study provides evidence that the use of proteolytic strains of Bacillus in combination with the acidification cultures Lc. lactis and Lc. cremoris associated with Ln. mesenteroides and adjunct culture Lt. buchneri improved the quality of fermented plant-based cheese analogues.</t>
  </si>
  <si>
    <t xml:space="preserve">The paper screens and selects Bacillus spp. strains through genome analysis and evaluates their fermentation performance as microbial cultures to improve plant-based cheese analogues, making strain screening and bioprocess optimisation the primary focus, with product quality outcomes as secondary.</t>
  </si>
  <si>
    <t xml:space="preserve">pub.1188758376</t>
  </si>
  <si>
    <t xml:space="preserve">Identification, in silico evaluation and in vitro assays of allergens from Sinapis arvensis (charlock mustard) and Brassica napus (rapeseed)</t>
  </si>
  <si>
    <t xml:space="preserve">Currently, the allergenic proteins of some mustards, such as charlock mustard (Sinapis arvensis) and rapeseed (Brassica napus), have not been fully characterised at the protein level. The most widely used mustard varieties in food industry are white mustard (Sinapis alba) and Indian (Brassica juncea) mustard. Sinapis arvensis is a highly invasive weed that is not intentionally cultivated or used as a food ingredient. It can cause accidental contamination of harvested grain. Brassica napus, which is used in food and feed, has recently been approved as a Novel food (EU Regulation 2015/2283). The aim of this work was to identify the allergenic proteins of Sinapis arvensis and Brassica napus by in-gel tryptic digestion coupled with high-resolution mass spectrometry, and to compare them with the known allergens of Sinapis alba (Sin a 1 and Sin a 2) and Brassica juncea (Bra j 1). Allergenicity was assessed by in silico analysis and in vitro immunoblotting experiments using sera from individuals allergic to mustard and rapeseed. The major proteins identified were 11S globulins and 2S albumins. In addition, in silico analysis showed more than 80 % of sequence identity between the different mustard species, allowing for the comparison of known and previously uncharacterised allergenic proteins. These results were confirmed by in vitro immunoblotting tests. These findings highlighted the importance of a multiple approach strategy combining in silico, in vitro, and clinical data to assess the allergenic potential of alternative and novel proteins.</t>
  </si>
  <si>
    <t xml:space="preserve">The paper directly investigates and characterises allergenic proteins in Sinapis arvensis and Brassica napus using in silico and in vitro assays, making food allergenicity assessment its primary focus; ingredient-level protein characterisation is secondary.</t>
  </si>
  <si>
    <t xml:space="preserve">pub.1187949241</t>
  </si>
  <si>
    <t xml:space="preserve">Dietary effects of plant-based meat analog and animal meat on serum metabolism, gut microbiota, and hepatic metabolic pathway in mice</t>
  </si>
  <si>
    <t xml:space="preserve">The rising health concerns about red meat have led to increased interest in plant-based diets. High-moisture extrusion processing (HMEP) is a key method for producing plant-based meat analogs (PBMAs), but its health effects are not fully understood due to its extensive thermal and mechanical processing. This study evaluated the health impacts of PBMAs derived from HMEP compared to conventional animal meats through short-term intervention trials. Mice were fed high-fat diets (HFDs) containing soy protein isolate-based meat analog prepared from HMEP (SMA), chicken breast (C), or pork loin (P). Effects on body weight gain suppression, lipid metabolic consequences, gut microbiota composition, and hepatic metabolic pathway in mice were determined. Results indicated that HFD-SMA intake mitigated obesity, improved blood glucose and lipid profiles, and reduced hepatic fat accumulation compared to HFD-C and HFD-P intake. Gut microbiota analysis revealed comparable structures between HFD-SMA and HFD-C groups, with increased anti-obesity bacteria and decreased obesity-inducing bacteria. Liver gene expression analysis highlighted the activation of the peroxisome proliferator-activated receptor alpha (PPARα) signaling pathway in HFD-SMA-fed mice. These findings suggested that SMA consumption had beneficial effects on lipid metabolism and gut microbiota compared to animal meat consumption, particularly pork, in HFD-fed mice.</t>
  </si>
  <si>
    <t xml:space="preserve">The study's primary endpoints are physiological outcomes (body weight, lipid profiles, gut microbiota, hepatic gene expression) measured in vivo in mice, making it a health and nutrition study; secondarily, it specifically investigates HMEP-produced plant-based meat analogs, giving texturization methods contextual relevance.</t>
  </si>
  <si>
    <t xml:space="preserve">pub.1196369115</t>
  </si>
  <si>
    <t xml:space="preserve">Transport engineering as a strategy to realize rapeseed's potential as a protein‐rich food</t>
  </si>
  <si>
    <t xml:space="preserve">Rapeseed is the world's second-largest oilseed crop, and the low-value press cake that remains after oil extraction contains 30-40% protein with an excellent amino acid composition; however, it is unexploited as food owing to its content of anti-nutritional glucosinolates. The potential of rapeseed press cake as source of plant-based protein for human consumption faces a food and a farming challenge. We suggest using molecular breeding based on transport engineering of glucosinolate transporters to prevent the accumulation of glucosinolates, specifically in the seed, as a strategy that can enable the raw, unprocessed rapeseed press cake to be used as food (and improved feed), and potentially also improve the crop's inherent pest and disease resistance. © 2025 The Author(s). Pest Management Science published by John Wiley &amp; Sons Ltd on behalf of Society of Chemical Industry.</t>
  </si>
  <si>
    <t xml:space="preserve">The paper proposes molecular breeding via transport engineering to reduce glucosinolates specifically in rapeseed seeds, directly targeting crop-level genetic modification to improve protein usability, with secondary relevance to ingredient optimisation of the resulting press cake for food applications.</t>
  </si>
  <si>
    <t xml:space="preserve">pub.1195467699</t>
  </si>
  <si>
    <t xml:space="preserve">The effect of methylcellulose on in vivo aroma release and perception of plant-based meat analogues</t>
  </si>
  <si>
    <t xml:space="preserve">This study examined how methylcellulose concentration affects in vivo aroma release and perception of plant-based meat analogue (PBMA) patties. Patties were prepared from rehydrated textured pea protein with 1, 2, or 4 % w/w methylcellulose and spiked with menthone, model beef flavour, or left unflavoured. Hardness, chewiness, and dryness increased with methylcellulose concentration, while juiciness, fattiness, saltiness, umami, and beef flavour decreased (Rate-All-That-Apply; n = 63; duplicate). Bolus surface area from which aroma compounds were released during mastication was not significantly affected by methylcellulose concentration. In vivo release of six aroma compounds was quantitated using Proton Transfer Reaction-Mass Spectrometry and simultaneously peppermint, beef, or beany aroma intensity was assessed using Time-Intensity (TI) profiling (n = 12; triplicate). The area under the TI-curve or maximum intensity of peppermint, beef, or beany aroma intensity significantly decreased with increasing methylcellulose concentration. However, in vivo aroma release was not significantly affected by methylcellulose concentration. We conclude that perceptual texture-aroma interactions rather than changes in in vivo aroma release cause the decrease in aroma intensity with increasing methylcellulose concentration observed in this study.</t>
  </si>
  <si>
    <t xml:space="preserve">The study investigates how varying methylcellulose concentration affects sensory perception and aroma release in finished plant-based meat analogue patties, making end product formulation the primary focus, with ingredient optimisation secondary as methylcellulose's functional role as a hydrocolloid ingredient is being characterised.</t>
  </si>
  <si>
    <t xml:space="preserve">pub.1184007274</t>
  </si>
  <si>
    <t xml:space="preserve">Use of Penicillium roqueforti in plant-based veined-blue cheese: A source of mycotoxin hazards?</t>
  </si>
  <si>
    <t xml:space="preserve">While the consumer demand for plant-based cheese is increasingly growing, there is insufficient knowledge to allow anticipating potential hazards related to mycotoxins in these new products and notably in plant-based blue veined cheese inoculated with Penicillium roqueforti. Actually plant-based matrices, characterized by a higher C/N ratio than dairy milk, are likely to promote the yield of mycotoxins by P. roqueforti. This study aims to provide first scientific insights to fulfill this gap of knowledge. As a first step, the capacity of 15 P. roqueforti strains belonging to the Roquefort and Non-Roquefort populations to yield mycotoxins was assessed. The medium used allowed to evidence a significant higher production of roquefortine C and a lower yield of andrastin A by strains of the Non-Roquefort group compared to those of the Roquefort one. In a second step a microbiological challenge testing approach was implemented using five matrices of plant (almond, cashew and soy) and animal (cow and sheep) origin. Results suggested that animal matrices were more prone to contamination with andrastin A while cashew and soy matrices promoted the yield of roquefortine C and mycophenolic acid, and in a less extent of fumigaclavin A. Besides, while warning on the mycotoxin risk associated with some plant matrices, our results also evidenced that the risk was strongly dependent on choice of the combination P. roqueforti strain/matrix.</t>
  </si>
  <si>
    <t xml:space="preserve">The paper directly investigates mycotoxin production hazards from Penicillium roqueforti strains across different plant-based and animal-based cheese matrices, making food safety assessment the primary focus, with secondary relevance to end product formulation as it evaluates finished plant-based blue cheese products.</t>
  </si>
  <si>
    <t xml:space="preserve">pub.1192502901</t>
  </si>
  <si>
    <t xml:space="preserve">Heat resistance of bacterial spores isolated from plant-based matrices: Consequences for food safety and quality</t>
  </si>
  <si>
    <t xml:space="preserve">Plant-based drinks are processed using methods like Ultra High Temperature treatment to guarantee their safety and quality by targeting heat resistant endospores of aerobic and anaerobic spore-formers. However, the spore heat resistance of bacterial isolates obtained from relatively new plant-based ingredients is yet to be determined. This study aims to benchmark the heat resistance of spores isolated from these ingredients to available inactivation data. D-values were collected from literature for spores of Bacillus cereus, B. subtilis, B. licheniformis, Geobacillus stearothermophilus, Paenibacillus spp., Clostridium spp., and other spore-forming species encountered in plant-based ingredients. Based on the temperature needed to reach a decimal reduction time (D-value) of 1 min, spores of G. stearothermophilus showed the highest heat resistance, followed by C. sporogenes, B. subtilis (high heat resistant subgroup), C. perfringens, Paenibacillus (high heat resistant subgroup), proteolytic C. botulinum, B. licheniformis, B. subtilis (low heat resistant subgroup), B. cereus, Paenibacillus (low heat resistant subgroup), and non-proteolytic C. botulinum. For a total of 96 strains isolated from plant-based ingredients, spores were heated for 30 min at 100 or 105 °C to screen for their heat resistances. For a selection of these isolates, in-depth heat inactivation experiments were carried out in phosphate buffered saline (pH 7.4) and the outcomes were benchmarked against the retrieved literature data. Experimental log10D-values of analyzed spores from plant-based ingredients fell within the 95 % prediction intervals of meta-analysis data, indicating that the overall spore heat resistance aligns with published data for similar species. This study supports the design of effective thermal processing strategies for plant-based dairy alternatives, which is essential for ensuring safety and stability of this growing and sustainable food category.</t>
  </si>
  <si>
    <t xml:space="preserve">The paper directly investigates microbial heat resistance of bacterial spores from plant-based ingredients through experimental inactivation studies and benchmarking, with the primary focus on food safety assessment for thermal processing of plant-based dairy alternatives; ingredient optimisation is secondary as the findings inform processing strategies for plant-based ingredients.</t>
  </si>
  <si>
    <t xml:space="preserve">pub.1189576105</t>
  </si>
  <si>
    <t xml:space="preserve">Functional and nutritional properties of fava bean ingredients processed by extrusion</t>
  </si>
  <si>
    <t xml:space="preserve">This study investigates the functional and nutritional properties of fava bean ingredients (flour, starch and protein concentrates) processed by twin-screw extrusion at various specific mechanical energy (SME) levels (100-3300 kJ/kg). The impact of incorporating flaxseed powders (20-70 %) to enrich polyunsaturated fatty acids is also examined. The extrudates exhibit varied bulk densities (50-1500 kg/m3), lightness (L* 75-87) and cell wall morphologies. The analyses include water solubility, pasting and emulsifying properties, protein hydrolysis degree and trypsin inhibitor activity. Results show that starch-rich extruded ingredients exhibit increased water solubility and reduced pasting properties due to starch depolymerization, while protein-rich ingredients are less affected. Emulsions containing extruded ingredients exhibit larger droplet sizes (d[4,3] = 13-200 μm) compared to those with non-extruded ones (d[4,3] = 4-13 μm), probably due to reduced protein solubility and adsorption. Higher extrusion intensity decreases pasting and emulsifying properties but increases water solubility; higher protein content reduces functional properties. In vitro protein hydrolysis, evaluated using the INFOGEST method, ranges from 66 % to 84 % and was unaffected by extrusion. All extruded ingredients exhibit low trypsin inhibitor activity levels (&lt; 5 mg/g). Flaxseed incorporation does not alter nutritional properties. Extrusion at low SME (&lt; 500 kJ/kg) effectively structures protein ingredients while optimizing their functional and nutritional properties.</t>
  </si>
  <si>
    <t xml:space="preserve">The study directly investigates how twin-screw extrusion at varying SME levels modifies the functional and nutritional properties of individual fava bean ingredients (flour, starch, protein concentrates), making ingredient-level characterisation and optimisation the primary focus, with extrusion processing as the key methodological tool applied to individual ingredients.</t>
  </si>
  <si>
    <t xml:space="preserve">pub.1194926394</t>
  </si>
  <si>
    <t xml:space="preserve">Structure design in food 3D printing – Anisotropy formation and spatial distribution of fibrous structures using combined dual and coaxial extrusion for meat alternatives</t>
  </si>
  <si>
    <t xml:space="preserve">The mechanical deformation behavior of anisotropic food matrices, such as meat and meat alternatives, is predominantly influenced by unidirectionally aligned fibrillar structures, but their specific contribution remains unclear because of their stochastic distribution, multilayered organization, and limited measurability. Therefore, this study aimed to develop and validate a novel 3D printing approach combining dual and coaxial extrusion. Using a pea protein isolate-wheat starch isotropic phase and an anisotropic pectin fiber phase, model systems with tunable fiber content and spatial distributions were produced. Mechanical deformation behavior was characterized through elastic double compression (10 % strain), plastic compression (80 % strain) and cutting tests. Fiber insertions resulted in matrices exhibiting anisotropic properties, showing fiber-dominated axial and matrix-dominated radial compression responses. Axially measured hardness and engineering Young's modulus were significantly influenced by fiber quantity and spatial distribution as a result of variable elastic and plastic fiber buckling behavior during axial compression. Cutting analyses revealed distinct force-displacement profiles depending on fiber localization, further allowing the extraction of fiber (0.07 N ± 0.02 N) and matrix average cutting force responses (0.014 N ± 0.002 N). This study highlights the potential of 3D printing to spatially resolve and control anisotropic deformation responses in food matrices, contributing to a better understanding of anisotropic deformation responses and to advance the design of next-generation complex food structures.</t>
  </si>
  <si>
    <t xml:space="preserve">The paper develops a novel 3D printing approach combining dual and coaxial extrusion to create and control anisotropic fibrous structures in meat alternatives, making texturisation the primary focus, with end product formulation relevant as the study characterises mechanical and structural properties of the resulting food matrices.</t>
  </si>
  <si>
    <t xml:space="preserve">pub.1189553939</t>
  </si>
  <si>
    <t xml:space="preserve">Protein From Plants and Insects: A Glimpse Into the Future</t>
  </si>
  <si>
    <t xml:space="preserve">ABSTRACT As the global population nears 10 billion by 2050, the demand for sustainable protein sources is growing. Plant‐based and insect‐derived proteins offer viable alternatives to traditional livestock, significantly reducing environmental impact while providing essential nutrients. Plant proteins are resource‐efficient and align with health recommendations, while insect proteins offer high nutritional value with minimal ecological footprint. Despite cultural and technical challenges, innovations in food processing and marketing are expanding consumer acceptance. A synergistic approach integrating both protein sources could enhance sustainability, nutrition, and food security worldwide.</t>
  </si>
  <si>
    <t xml:space="preserve">This is a broad perspective/overview piece covering multiple aspects of plant-based and insect proteins (sustainability, nutrition, consumer acceptance, food security) without a specific primary experimental or analytical focus that fits any single defined category.</t>
  </si>
  <si>
    <t xml:space="preserve">pub.1186333542</t>
  </si>
  <si>
    <t xml:space="preserve">Sustainable valorization of almond and peanut plant-based milk cakes: The use of terpenoid mixtures as ready-to-use solvents to enhance supercritical CO2 extraction</t>
  </si>
  <si>
    <t xml:space="preserve">The solid cake from plant-based milk production, rich in lipids and proteins, can be repurposed to recover valuable fractions suitable for food, cosmetics, and pharmaceutical applications. This innovative study explored terpenoid-based solvents as modifiers of supercritical CO2 extractions to obtain ready-to-use extracts rich in fatty acids, bioactive compounds, and a protein concentrate derived from almond and peanut biorefinery. The natural mixtures of 1:1 menthol:1,8-cineole (ME:EU) and 1:2 camphor:1,8-cineole (CA:EU) used at concentrations of 7.5 and 15 % increased bioactive compounds and lipids yield, outperforming other extraction methods. The phase transition of the system CO2 and ME:EU shows a homogeneous liquid phase, contributing to solvation power and extraction yield. The ME:EU and CA:EU extracts presented low cytotoxicity to human kidney HK-2 cells, showing potential for ready-to-use purposes. The extraction method had little effect on the functional properties of the proteins. Moreover, the continued supercritical CO2 extraction allowed solvent remotion and reuse.</t>
  </si>
  <si>
    <t xml:space="preserve">The paper focuses on improving fractionation and extraction of lipid and protein fractions from almond and peanut milk cakes using supercritical CO2 with terpenoid modifiers, which is ingredient-level processing and functionalisation; secondary relevance to end product formulation as the extracts are characterised for ready-to-use food, cosmetic, and pharmaceutical applications.</t>
  </si>
  <si>
    <t xml:space="preserve">pub.1187846096</t>
  </si>
  <si>
    <t xml:space="preserve">Oil-water interfacial and emulsifying properties of lupin protein and lupin protein-pectin mixtures at neutral and acidic pH conditions</t>
  </si>
  <si>
    <t xml:space="preserve">Lupin proteins have high nutritional value and can be used to form foams, emulsions, and gels. However, their functionality becomes poor at acidic pH due to reduced protein solubility. Protein solubility and functionality at acidic pH can be improved by adding polysaccharides. In this study, we compared the oil-water interfacial and emulsifying properties of lupin protein isolates (LPI) and LPI-pectin mixtures at pH 7.0, pH 6.0, pH 4.0, and pH 3.5. Overall, LPI-pectin complexes at pH 4.0 and 3.5 showed better interfacial properties and emulsion stabilization than LPI at pH 4.0 and 3.5, while LPI-pectin mixtures at pH 7.0 and 6.0 displayed comparable interfacial and emulsion properties as LPI at 7.0 and 6.0. We observed that LPI at pH 4.0 and pH 3.5 adsorbed faster to the oil-water interface than LPI-pectin complexes at pH 4.0 and 3.5, due to smaller particle sizes of LPI, while LPI and LPI-pectin mixtures at pH 7.0 and 6.0 showed comparable adsorption rates to the oil-water interface. The LPI-pectin mixtures at pH 6.0 and 7.0 formed weak oil-water interfaces, with a stiffness comparable to LPI at these pH values. While at pH 3.5 and 4.0 LPI-pectin complexes formed stiffer oil-water interfaces than LPI. As a result, LPI-pectin complexes at pH 4.0 and 3.5 showed better emulsifying properties and emulsion stability against coalescence during high-shear mixing. The emulsion stabilized with LPI-pectin complex at pH 3.5 showed more extensive flocculation than the complex at pH 4.0, due to the reduced charges of the complex at pH 3.5 and depletion flocculation induced by non-adsorbed complexes. Our study reveals that the complexation of proteins with pectin at acidic pH could be a useful way to improve the oil-water interfacial and emulsifying properties of proteins at acidic pH, and could potentially be used in the food industry to develop plant protein-based emulsion products.</t>
  </si>
  <si>
    <t xml:space="preserve">The study directly investigates the interfacial and emulsifying functional properties of lupin protein isolate and LPI-pectin mixtures as ingredients, characterising how pH and polysaccharide complexation affect their functionality, which is core ingredient-level optimisation; the secondary relevance to end product formulation arises from the application context of developing plant protein-based emulsion products.</t>
  </si>
  <si>
    <t xml:space="preserve">pub.1194000618</t>
  </si>
  <si>
    <t xml:space="preserve">Evaluation of processing of canola protein isolate on postprandial plasma amino acid profiles in healthy, young females</t>
  </si>
  <si>
    <t xml:space="preserve">Canola protein is a rapeseed-derived protein that contains all essential amino acids in proportions that meet the WHO amino acid scoring requirements, making it an interesting protein for human food applications. It is currently unknown whether canola protein processing modulates postprandial plasma amino acid bioavailability in vivo in humans. This study compared postprandial plasma amino acid profiles following the ingestion of unprocessed (native) canola, processed canola, and whey protein isolate in healthy, young, females. In a randomized, clinical, cross-over design, 15 healthy young females (25 ± 3 y) participated in four test days on which they consumed 20 g protein as either native canola, enzyme processed or heat processed canola protein, or 20 g whey protein. Blood samples were collected for 5 h following protein ingestion to assess plasma amino acid concentrations. Ingestion of native canola protein resulted in lower increases in plasma total amino acid (TAA) concentrations compared to whey protein (3191 ± 794 vs. 4429 ± 84 µmol∙L− 1, P &lt; 0.001). Canola protein processing resulted in greater peak plasma total amino acids concentrations, reaching statistical significance for enzyme (3599 ± 687 µmol∙L− 1, P = 0.045) but not heat (3565 ± 722 µmol∙L− 1, P = 0.166) treated compared to native canola protein. Plasma total amino acid availability, expressed as incremental area under the curve over a 5 h postprandial period, did not differ between treatments and averaged 163 ± 81, 171 ± 76, 194 ± 82, and 207 ± 85 mmol∙300 min∙L− 1 following ingestion of native, enzyme- and heat processed canola, and whey protein, respectively (P &gt; 0.05). Ingestion of whey protein allows for a more rapid postprandial rise in circulating essential and non-essential amino acids and greater postprandial plasma total amino acid availability when compared to the ingestion of native canola protein. Ingestion of enzyme- or heat processed canola protein accelerates the postprandial rise in circulating amino acids but does not further augment overall plasma amino acid availability throughout a 5 h postprandial period when compared to the ingestion of native canola protein.</t>
  </si>
  <si>
    <t xml:space="preserve">The study measures postprandial plasma amino acid bioavailability as a physiological outcome in human subjects, making Health &amp; Nutrition the primary category, while the comparison of native vs. enzyme- and heat-processed canola protein isolates also touches on ingredient processing effects relevant to Ingredient Optimisation.</t>
  </si>
  <si>
    <t xml:space="preserve">pub.1184227828</t>
  </si>
  <si>
    <t xml:space="preserve">Sustainability of Key Proteins in Plant-Based Meat Analogs Production: A Worldwide Perspective</t>
  </si>
  <si>
    <t xml:space="preserve">The market for plant-based analogs for meat is growing exponentially. In addition to motivations related to the search for health benefits, the consumption of such products is justified by the sustainability of their production since the use of non-renewable resources and the emission of polluting gases is lower than their animal-origin equivalents. However, little information regarding the global panorama of the sustainability of plant-based meat analogues is available, mainly due to the diffuse distribution of food matrices used across the planet. In this sense, this narrative review aimed to describe the state of the art regarding the use of resources and sustainability of the inputs used as protein sources in the manufacture of plant-based meat analogues. From the review carried out, it was possible to observe that the biggest problem in producing these plant-based alternatives lies in using inputs that are not native to the countries where the products are marketed, especially in the case of South American countries. Ingredients widely used in the production of these analogues find better cultivation conditions in the northern hemisphere, as in the case of lentils, peas and chickpeas; thus, South American markets depend on imports, reducing the sustainability of the products.</t>
  </si>
  <si>
    <t xml:space="preserve">The paper conducts a narrative review of sustainability and resource use for plant-based meat analog protein sources from a global perspective, which aligns with impact assessments; however, as a broad narrative review without a specific quantitative LCA or TEA methodology, it also fits the 'Other' catch-all for wide-scope reviews.</t>
  </si>
  <si>
    <t xml:space="preserve">pub.1191935083</t>
  </si>
  <si>
    <t xml:space="preserve">Plant proteins for human consumption – from local to global opportunities and challenges in a full value chain context</t>
  </si>
  <si>
    <t xml:space="preserve">Environmental concerns together with a growing global population and health benefits call for an increased use of plant proteins in the human diet. This review paper summarizes opportunities and challenges of such an increased use and reveals the way forward for plant proteins for human consumption. The results clearly emphasize the increased consumer interest, especially in certain consumer segments, of the use of plant protein-based food alternatives, the positive environmental impact of the use of such alternatives and the wide array of crops available to be developed into novel protein-rich food choices. Major challenges identified are; i) how to combine different plant sources to receive highly nutritional and tasty food products, ii) how to produce crops with a high and easily extractable protein content, which simultaneously contain low amount of unwanted components such as antinutritional factors, iii) environmental effects of the production of the plant protein to be utilized for the protein-rich food items, and iv) economic feasibility of the plant protein food products. Opportunities exist to develop the processing methods for protein fractionation, although consumer preferences, environmental effects, economic feasibility and impact on protein functionality have to be taken into account in such developments. Plant breeding is summarized as a major way forward to target crops high in easily available protein and low in unwanted components, thereby fitting consumer desires simultaneously as contributing to economic feasibility and reduced environmental impact. Cultivation is the main source of the environmental impact in the plant protein value chain, while protein content, composition and extractability affect consumer preferences and both their economic and environmental impact.</t>
  </si>
  <si>
    <t xml:space="preserve">This is a broad review paper covering multiple aspects of plant proteins (consumer interest, environmental impact, crop development, processing, breeding, and economics) without a single primary experimental or analytical focus, making it best classified as Other; it does touch on structured environmental and economic feasibility considerations across the value chain, warranting Impact Assessments as secondary.</t>
  </si>
  <si>
    <t xml:space="preserve">pub.1189508496</t>
  </si>
  <si>
    <t xml:space="preserve">Adaptation of bacterial starter cultures from dairy to plant-based substrates: challenges and opportunities</t>
  </si>
  <si>
    <t xml:space="preserve">The global market for plant-based milk alternatives (PBMA) is expanding with an increasing demand for sustainable plant-based products which offer similar nutritional and organoleptic properties to that of their dairy counterparts. These PBMAs are largely derived from legumes, seeds, nuts, cereals and pseudocereals. Lactic Acid Bacteria (LAB) are central to food fermentations wherein their metabolic activities contribute to the preservation, safety and organoleptic properties of a product. The biological pathways which underpin dairy fermentations have long been elucidated and exploited. However, it is now evident that many of the biotechnological traits which drive dairy fermentations, in particular casein hydrolysis and lactose utilisation, are not directly transferable to PMBA-substrates. Therefore, knowledge of the carbohydrate and protein composition and their metabolism by the applied starter cultures is required for the development of high quality fermented PBMA dairy analogues. Here, we review the fundamental traits that lactic acid bacteria should possess for the fermentation of varied PBMA substrates, with a particular focus on carbohydrate utilisation and protease activity. Firstly, we consider the genetic limitations of those dairy-adapted and industrialised starter strains which may prevent their successful application to PBMA fermentations. Secondly, we consider the genetic and bio-functional activities of both plant-associated and non-starter LAB and reveal their potential as starter cultures for the emerging PBMA fermentation industry. By understanding the genetic and metabolic requirements food producers will be afforded the opportunity to design the next generation of defined, rotational starter sets, which harbour the bio-specific traits required for the fermentation of PBMA substrates.</t>
  </si>
  <si>
    <t xml:space="preserve">The paper reviews and analyses the genetic and metabolic traits of LAB strains for adaptation to plant-based milk alternative substrates, focusing on strain selection and bioprocess suitability for fermentation, which is core to strain development; the end goal of producing fermented PBMA dairy analogues makes End Product Formulation the secondary category.</t>
  </si>
  <si>
    <t xml:space="preserve">pub.1188823937</t>
  </si>
  <si>
    <t xml:space="preserve">Formation of insoluble complexes upon calcium addition to total pea globulins or isolated 7S and 11S fractions: Impact of pH and intrinsic phytic acid content</t>
  </si>
  <si>
    <t xml:space="preserve">Peas are rich in protein and are a good source of minerals, such as calcium (Ca). They also contain phytochemicals such as phytic acid (PA), which can form complexes with protein and calcium. This study aimed to understand how adding calcium affects the colloidal stability of aqueous dispersions of different pea protein fractions. Globulins and their 7S and 11S fractions were extracted from a commercial pea concentrate ingredient by alkaline extraction followed by isoelectric point precipitation (AE-IEP) combined with a salt dissolution/precipitation purification method. The protein extracts were characterized for protein composition, PA, and Ca contents. Calcium binding capacities were studied in protein dispersions (2.5% w/v) at pHs 4.5, 5.5, 6.5 and 7.5 after addition of CaCl2 (0–20 mM) using a calcium sensor. Protein complex formation and aggregate sizes were assessed by turbidity and dynamic light scattering measurements. The results showed that pH influenced complex formation involving both pea protein and intrinsic PA. At low pH and close to the isoelectric point of globulin (&lt;5.0), proteins and PA hardly bound Ca due to reduced charges. Calcium binding capacities were significantly higher at neutral pHs, with protein aggregates of different sizes forming (11S &gt; total globulin&gt;7S). The higher affinity of total globulin systems to bind calcium was potentially linked to their more folded structure compared to 7S and 11S fractions. The 11S legumin dispersions were less likely to chelate calcium than 7S vicilin. Higher initial levels of PA in total globulin and 7S vicilin systems (three times higher than 11S dispersions) also favored the formation of insoluble complexes between calcium, PA, and proteins.</t>
  </si>
  <si>
    <t xml:space="preserve">The study characterises the functional and physicochemical properties (calcium binding, colloidal stability, aggregate formation) of isolated pea protein fractions (globulins, 7S, 11S) under varying conditions, which is squarely ingredient-level characterisation; the secondary food safety angle relates to phytic acid as an antinutritional factor forming insoluble complexes that affect mineral bioavailability and ingredient quality.</t>
  </si>
  <si>
    <t xml:space="preserve">pub.1187379860</t>
  </si>
  <si>
    <t xml:space="preserve">Phenotypic characterization of soybean genetic resources at multiple locations: breeding implications for enhancing environmental resilience, yield and protein content</t>
  </si>
  <si>
    <t xml:space="preserve">Introduction: Soybean is an important legume crop and a leading source of dietary protein and oil in animal feed, as well as an important food for human consumption. The objective of our research was to study soybean genetic resources in context of future protein self-sufficiency both in human and animal nutrition.
Methods: Collection of 360 different accessions from various regions worldwide was evaluated across four European locations during two consecutive years in phenotyping trials. The five most important traits of soybean - plant emergence, plant length, protein content, seed yield, and R8 stage - were carefully analysed, revealing significant variability.
Results: Ten exceptionally stable genotypes were identified based on their protein content and yield, presenting promising candidates for breeding programs.
Discussion: Our findings underscore the importance of integrating genotype-environment interaction analyses into breeding initiatives, considering the observed variability in phenotypic traits across diverse environments and genotypes.</t>
  </si>
  <si>
    <t xml:space="preserve">The paper directly investigates soybean genetic resources across multiple environments to identify stable, high-yield, high-protein genotypes for breeding programs, which is core crop development research; no strong secondary category applies, but the genotype-environment interaction analysis has some relevance to assessing system-level viability, though 'Other' would also be reasonable as a secondary.</t>
  </si>
  <si>
    <t xml:space="preserve">pub.1175548852</t>
  </si>
  <si>
    <t xml:space="preserve">Tailoring texture and functionality of vegetable protein meat analogues through 3D printed porous structures</t>
  </si>
  <si>
    <t xml:space="preserve">This study presents a comprehensive 3D printing process for plant-based meat alternatives, covering ink formulation, printing, and final product characterization. Traditionally, achieving desired food properties requires extensive exploration of ink components. Here, we demonstrate the potential of manipulating processing parameters instead of ink composition. Two structures were printed, differing only in extrusion temperature. The printed structures exhibited a dimensional accuracy slightly below 100%. We investigated their behavior through simulated food production cycles, including freezing, thawing, dehydration, and rehydration. Rheological measurements revealed that protein denaturation caused a 20% increase in viscosity. Temperature-induced protein denaturation allowed to produce 3D printed samples with a fine porous structure, with pore sizes ranging from 50 to 450 μm. Mechanical characterization showed that a single printing parameter (extrusion temperature) significantly impacts the final product mechanical properties, with an increase of about 50% in the maximum stress for denatured samples after rehydration. This novel approach simplifies 3D-printed protein-based food production, establishing a link between processing parameters and the final product mechanical behavior.</t>
  </si>
  <si>
    <t xml:space="preserve">The paper's core contribution is a 3D printing process innovation showing how extrusion temperature controls porous structure and mechanical texture in plant-based meat analogues, directly fitting Texturisation Methods, with secondary relevance to End Product Formulation given the whole-product characterisation including rehydration, rheology, and mechanical properties.</t>
  </si>
  <si>
    <t xml:space="preserve">pub.1194474353</t>
  </si>
  <si>
    <t xml:space="preserve">Chickpea-Based Burgers as a Sustainable Meat Alternative: Life Cycle Assessment and Preliminary Economic Evaluation</t>
  </si>
  <si>
    <t xml:space="preserve">The meat industry is widely regarded as one of the most environmentally and economically burdensome sectors, playing a significant role in greenhouse gas emissions, resource depletion, and public health challenges. Additionally, its high production costs and inefficiencies in resource use exacerbate the economic strain on both local and global scales, making it a major contributor to unsustainable practices in food production. This study investigates the environmental and economic benefits of replacing conventional meat burgers with plant-based vegan burgers, through a cradle-to-gate Life Cycle Assessment (LCA) and economic evaluation. The assessment was conducted using the GaBi 2023 software, applying the ReCiPe 2016 impact assessment method to evaluate multiple environmental indicators. The LCA results reveal substantial environmental advantages of vegan burgers, including a 92.25% reduction in greenhouse gas emissions, a 99.51% decrease in fine particulate matter formation, and significant reductions in water and land usage. Additionally, the human health and ecosystem impacts associated with vegan burgers are markedly lower, highlighting their advantages as a healthier dietary option. An estimated ±10% data variability is expected, though it does not significantly affect the comparative results, as uncertainty applies consistently to both scenarios. From an economic perspective, the production of vegan burgers proves more cost-effective, with a production cost of €0.24 per vegan burger compared to €0.66 per meat burger. In conclusion, plant-based vegan burgers present a compelling alternative to conventional meat products, offering environmental, health, and economic benefits that support more sustainable food systems.</t>
  </si>
  <si>
    <t xml:space="preserve">The paper's primary methodological contribution is a cradle-to-gate Life Cycle Assessment (LCA) and economic evaluation of chickpea-based burgers versus conventional meat burgers, with the finished vegan burger product serving as the secondary object of study.</t>
  </si>
  <si>
    <t xml:space="preserve">pub.1187854483</t>
  </si>
  <si>
    <t xml:space="preserve">Influence of temperature and shear rate during cooling on the rheological and textural properties of pea protein-based meat analogues</t>
  </si>
  <si>
    <t xml:space="preserve">Pea protein isolate (PPI) is widely used to produce plant-based meat analogues via high-moisture extrusion. Key parameters during extrusion processing such as temperature and shear play critical roles in the structural changes that determine the final product's texture and mechanical properties. However, achieving a fibrous meat-like texture remains challenging. Consequently, this study aims to systematically investigate the effects of cooling die temperature and shear rate during the cooling phase of high-moisture extrusion on the rheological and textural properties of PPI-based meat analogues. A rotating cooling die system was employed to independently control shear rates (0–9.03 s−1) and cooling temperatures (70–90 °C). Texture and rheological analysis were conducted to assess hardness, anisotropy, and viscoelastic characteristics. The findings indicate that higher cooling die temperatures (up to 80 °C) resulted in harder extrudates with higher anisotropy, enhancing fibrous structure formation. Increased shear rates during cooling did not significantly influence the hardness and the anisotropy decreased. Hardness, anisotropy, and elastic modulus increased primarily due to enhanced aggregation via disulfide bonds, while aggregation through non-covalent bonds had a comparatively smaller impact on the mechanical properties. Thermomechanical treatment of PPI at higher moisture contents in a rheometer corroborated these results, with both shear rate and cooling temperature significantly affecting the elasticity. This indicated that predictive insights into the texturization potential of plant-based proteins can be gained under extrusion-like conditions by assessing their rheological properties.</t>
  </si>
  <si>
    <t xml:space="preserve">The paper directly investigates how cooling die temperature and shear rate during high-moisture extrusion affect the texture and rheological properties of pea protein-based meat analogues, making texturization process innovation the primary focus, with rheological characterization of the pea protein ingredient serving as a secondary analytical contribution.</t>
  </si>
  <si>
    <t xml:space="preserve">pub.1191620428</t>
  </si>
  <si>
    <t xml:space="preserve">An investigation into the environmental impact of plant-based dairy alternatives compared with dairy milk in the UK</t>
  </si>
  <si>
    <t xml:space="preserve">Plant based milk alternatives (PBMA) have increased in popularity whilst the purchase of dairy milk has declined. In addition to allergies/intolerances to dairy milk, perceived health benefit and moralistic concerns, there is growing concern over the environmental impact of food/drink (1) . The British Dietetic Association’s ‘One Blue Dot’ campaign has published guidance on sustainable eating, including reducing dairy (2) . Studies have found that PBMA have a lower environmental impact than animal-based milks. However, some comparisons have been limited in scope and/or not compared like with like. We previously investigated differences in cost, nutrient profile and product composition between all types of PBMA and dairy milk. Investigating differences in environmental impact complements this and will enable healthcare professionals to draw on a strong evidence base when discussing milk choice in line with patients’ nutritional needs and preferences.   A search was completed for all milks from the top 10 UK supermarkets. Data from ‘Estimating the environmental impacts of 57,000 food products’ was accessed (3) . For available milks, ‘Fifty’, ‘Lower twenty fifth’ and ‘Upper seventy fifth’ values per 100g for greenhouse gas emissions (Kg Co 2 e), scarcity weighted water use (L), land use (m 2 ), aquatic eutrophication potential (g PO 4 eq), acidification (PH), and water use (L) was collected. Median (and IQR) PBMA, dairy milk and sub type of milk were calculated. A ‘total environmental score’ per 100g (ranging from 0 (no impact) -100 (highest impact)) was collected for available milks. Median (and IQR) PBMA, dairy milk and sub type of milk were calculated. Mann Whitney U and Kruskal Wallis (for non-normality in groups) determined differences between PBMA and dairy milk and milk sub types.  From 190 products (123 dairy, 67 PBMA), dairy milk had a 75% higher median ‘total environmental score’ than PBMA (p&lt;0.0001). However, almond, cashew, combination, hazelnut and walnut milk had scores higher than dairy. Dairy milk had a higher land use, greenhouse gas emissions, eutrophication, water scarcity and acidification than PBMA. However, almond, cashew, combination, hazelnut and walnut milks had higher for water scarcity than dairy, and almond and rice milk had higher water use than dairy.  Findings concurred with previous research (3,4) . Although there were significant differences in ‘total environmental score’ between dairy (1.5) and PBMA (0.4), these differences are negligible when compared with a 'total environmental score’ of meat (e.g. beef: 32 (3) ). Limitations of the study include using secondary data that was collated from multiple sources and does not cover all impacts associated with agriculture e.g. postproduction, processing, packaging, and transportation (3) or different systems of production at the farm level.  Overall, this study has shown that overall dairy milk had a higher environmental impact than PBMA, however there are exceptions, and this should be considered when choosing PBMA.</t>
  </si>
  <si>
    <t xml:space="preserve">The paper conducts a structured quantitative environmental impact assessment comparing plant-based milk alternatives to dairy milk across multiple environmental metrics (GHG emissions, land use, water use, eutrophication, acidification), which fits Impact Assessments; the secondary consumer/market angle is present in the context of guiding healthcare professionals and consumers in milk choice decisions.</t>
  </si>
  <si>
    <t xml:space="preserve">pub.1195272011</t>
  </si>
  <si>
    <t xml:space="preserve">Beyond the fields: Unravelling the social consequences of green pea protein production from a Swedish perspective</t>
  </si>
  <si>
    <t xml:space="preserve">Despite legume-based proteins being more environmentally sustainable compared to conventional meat proteins, these products need to be backed up by socially sustainable supply chains, as upstream and downstream social impacts may hinder their overall contribution to sustainability. This study shows how a social life-cycle assessment (S-LCA) can highlight people-centred issues in an emerging Swedish pea-protein supply chain. Using surveys with farmers and workers in combination with a social risk database, we reveal key social risks and improvement options. A stakeholder survey assessment and cradle-to-factory-gate social life-cycle assessment for farmers, workers, local communities, and society were performed. The Product Social Impact Life Cycle Assessment (PSILCA) 2.0 database was used to perform the assessment within OpenLCA. A comparative scenario analysis was performed with Germany, Canada and China. Methodologically, the study applies a mixed-method approach, combining stakeholder-generated data with social risk modelling, offering a replicable template for future assessments of social sustainability. Results indicate moderate but improvable social performance in Sweden for the stakeholders considered, especially in terms of financial risks, economic support and working hours for farmers. The quantitative assessment reveals upstream impacts in terms of risk of child labour, migration flows, and social security expenditures linked to the non-European origin of fertilizer and chemical pesticides. The study highlights the importance of considering social impacts from agricultural input choices and potential risks when scaling up production. It advances social sustainability assessment by integrating qualitative, real-time stakeholders’ insights with quantitative modelling in emerging supply chains. The findings provide useful guidance for companies and policymakers seeking to develop or scale up socially responsible plant-based supply chains.</t>
  </si>
  <si>
    <t xml:space="preserve">The paper conducts a social life-cycle assessment (S-LCA) of a pea protein supply chain, which is a structured quantitative and stakeholder-led assessment of system-level social impacts — fitting Impact Assessments; the broader supply chain policy and sustainability framing places the secondary category in Other.</t>
  </si>
  <si>
    <t xml:space="preserve">pub.1184971867</t>
  </si>
  <si>
    <t xml:space="preserve">Nutritional Quality of Plant-Based Fish and Seafood Analogs: A Study of the Italian Market</t>
  </si>
  <si>
    <t xml:space="preserve">Among plant-based analogs, fish and seafood analogs (PBFSAs) represent a growing sector. This study analyzed the nutritional quality of PBFSAs in Italy and compared it to their animal-based counterparts. Nutritional declarations, ingredient lists, and claims were collected from PBFSA food labeling. Nutri-Scores of PBSFAs and animal-based counterparts were also determined as nutritional quality indicators. Fifty-one products were collected, with most attributed to tuna, salmon, and cod categories (n = 18, 12, and 14, respectively). Results showed large heterogeneity in nutritional quality, with cod products having higher energy (217 (201-257) kcal/100 g), protein (10.5 (7.9-13.0) g/100 g), and carbohydrate (19.4 (14.2-26.0) g/100 g) levels, while tuna and salmon products had a higher fat content (15.0 (10.0-19.7) and 13.5 (5.0-17.0) g/100 g, respectively). Products with fiber or fat nutrition claims did not necessarily indicate higher fiber or lower fat content, while products with a protein claim had a higher protein content. Most animal-based counterparts, except cod and sturgeon caviar, received an "A" Nutri-Score, and often scored better than the PBSFA due to lower salt content. In conclusion, PBFSAs on the market should not be considered animal product analogs regarding nutritional quality, but drawing definitive conclusions is challenging due to the limited number and high variability of the products. However, these findings provide insights that may improve PBFSA nutritional quality, such as decreasing salt and sugar content, for people trying to incorporate such foods into their diet.</t>
  </si>
  <si>
    <t xml:space="preserve">The study characterises the nutritional quality, ingredient composition, and labelling claims of finished plant-based fish and seafood analog products on the Italian market, comparing them to animal-based counterparts, which is primarily an end-product-level nutritional profiling study with secondary relevance to market scoping.</t>
  </si>
  <si>
    <t xml:space="preserve">pub.1192761567</t>
  </si>
  <si>
    <t xml:space="preserve">Environmental and economic sustainability of protein-rich crop cultivation in Europe</t>
  </si>
  <si>
    <t xml:space="preserve">This study evaluates the economic and environmental sustainability of protein-rich crops (quinoa, faba beans, chickpeas, and lentils) cultivated in Europe. Using life cycle assessment (LCA) and life cycle cost (LCC) analyses, it examines the impacts of these crops grown in the Netherlands, Spain, and Italy under both organic and conventional farming methods. Unlike previous agri-food studies that mostly assess sustainability dimensions in isolation, this research integrates LCA and LCC to provide a comprehensive eco-efficiency evaluation, offering novel insights into the trade-offs between environmental impact and economic viability. In addition, this study focuses on the cultivation of four protein-rich crops that are novel to Europe. The results reveal significant variability in environmental impacts, including climate change impact and land use, as well as profitability, across different crops, countries, and farming practices. Dutch conventionally grown faba beans demonstrate the highest eco-efficiency, while organic lentils in Italy and organic quinoa in the Netherlands also perform well. The study highlights the instability of crop yields and suggests that local production of these protein-rich crops could reduce Europe's dependency on imported soy, although careful consideration of regional suitability and farming methods is necessary. The findings aim to guide farmers and policymakers in promoting sustainable protein-rich crop production in Europe.</t>
  </si>
  <si>
    <t xml:space="preserve">The paper's primary methodological contribution is a structured LCA and LCC analysis of protein-rich crop cultivation, with secondary relevance to crop development as it evaluates the viability of novel protein crops in European farming systems.</t>
  </si>
  <si>
    <t xml:space="preserve">pub.1188506728</t>
  </si>
  <si>
    <t xml:space="preserve">Starter culture design for the development of a novel lupin-based quark with in situ vitamin B12 fortification</t>
  </si>
  <si>
    <t xml:space="preserve">Due to its high fibre and protein content and suitability for sustainable production, lupin beans (Lupinus albus) are an excellent plant-based ingredient to produce fermented dairy alternatives such as quark. We designed two types of starter cultures containing lactic acid bacteria (LAB) and/or propionic acid bacteria to ferment lupin paste into a novel plant-based quark with tailored functionalities such as (i) quark-like characteristics and (ii) presence of vitamin B12. Optimal quark-like characteristics were achieved with mixed-cultures of Lactiplantibacillus plantarum with Lactococcus lactis or Lactococcus cremoris. Compared to single strain cultures, the mixed-cultures resulted in faster acidification, higher bacterial counts, and more organic acids. Furthermore, the mixed-cultures produced a higher concentration of the buttery aroma compound acetoin, reduced the beany off-flavour volatile hexanal, and increased the umami-tasting glutamate and aspartate levels. A second starter culture, consisting of LAB and the vitamin B12-producing species Propionibacterium freudenreichii, resulted in elevated levels of vitamin B12 of 2.0 μg/100 g fresh lupin quark, independent of LAB species while retaining similar quark-like attributes. These findings highlight the potential of these starter cultures to use for lupin-based quark alternatives.</t>
  </si>
  <si>
    <t xml:space="preserve">The paper's core contribution is the design and screening of starter culture combinations (LAB and propionic acid bacteria) to optimise fermentation outcomes for a lupin-based quark, which is strain/bioprocess development; the finished quark product's characteristics (texture, aroma, vitamin B12 content) are evaluated as outcomes of that strain selection.</t>
  </si>
  <si>
    <t xml:space="preserve">pub.1185793230</t>
  </si>
  <si>
    <t xml:space="preserve">Influence of autochthonous Lactiplantibacillus plantarum strains on microbial safety and bioactive compounds in a fermented quinoa-based beverage as a non-dairy alternative</t>
  </si>
  <si>
    <t xml:space="preserve">Plant-based alternatives are considered microbiologically safe; however, recent studies have raised concerns about hygienic quality. Additionally, the relationship between microbiological safety and polyphenolic content in fermented products remains unexplored. This study assessed the potential of four autochthonous Lactiplantibacillus plantarum strains (3, 5, 9, and 10) to impact microbial composition and modulate polyphenol and saponin levels in a quinoa-based beverage. The results identified Lactiplantibacillus plantarum strains 3, 9, and 10 as effective in inhibiting Enterobacteriaceae (p = 0.001), and increasing concentrations of glycosylated flavonoids, 3-phenyllactic acid, and saponins. However, Lactiplantibacillus plantarum 10 demonstrated a decrease in saponin levels, whereas Lactiplantibacillus plantarum 5 increased the abundance of aglycones, highlighting strain-specific differences. Notably, principal component analysis revealed less differences between inoculated samples and control, indicating potential contribution of the native microbiota to the fermentation. This study enhances the understanding of interactions between starter cultures, native microbiota, and bioactive compounds in plant-based fermented beverages.</t>
  </si>
  <si>
    <t xml:space="preserve">The study screens and compares autochthonous Lactiplantibacillus plantarum strains for their effects on microbial safety (Enterobacteriaceae inhibition) and bioactive compound modulation in a fermented quinoa beverage, making strain selection and bioprocess optimisation the primary focus, with microbial safety assessment as a clear secondary contribution.</t>
  </si>
  <si>
    <t xml:space="preserve">pub.1187663980</t>
  </si>
  <si>
    <t xml:space="preserve">High-moisture extrusion enhances soy protein quality based on in vitro protein digestibility and amino acid scores</t>
  </si>
  <si>
    <t xml:space="preserve">Plant-based meat analogues, often used as an alternative to meat-based products, have grown in popularity. The processing conditions used to create these analogues determine the structural properties of the proteins, but their impact on protein quality is underexplored. Therefore, this study describes the impact of a broad range of high-moisture extrusion (HME) process conditions (100-160 °C and 50-70 % moisture content) on the amino acid score and in vitro protein digestibility of extrudates made with soy protein concentrate (SPC) and soy protein isolate (SPI) in addition to the physical properties (water-holding capacity, hardness and particle size). It was found that the physical properties of both SPC and SPI extrudates depended more on moisture than on the set process temperature profile. HME (at &gt;60 % moisture) enhanced the overall in vitro protein digestibility for SPI- and SPC-based extrudates relative to the starting material, despite the significant negative correlation (p &lt; 0.05) with decreasing moisture content and, thus, sample hardness. Furthermore, compared with the starting materials, amino acid scores hardly decreased (maximum 7 %) and remained &gt;100 across a wide range of processing conditions, except for SPI-based extrudates extruded at 120 °C and 50 % moisture content. In conclusion, most of the HME conditions currently used for making meat analogues significantly affect their physical properties and enhance in vitro protein digestibility, but have minimal impact on the amino acid score.</t>
  </si>
  <si>
    <t xml:space="preserve">The study investigates how high-moisture extrusion process conditions affect the protein quality (in vitro digestibility, amino acid scores) and physical properties of soy protein concentrate and isolate extrudates, making ingredient-level characterisation the primary focus, with texturisation methods (HME) as the processing approach under investigation.</t>
  </si>
  <si>
    <t xml:space="preserve">pub.1188996314</t>
  </si>
  <si>
    <t xml:space="preserve">Temperature-dependent growth kinetics of Lacticaseibacillus rhamnosus GG in oat-based milk alternative</t>
  </si>
  <si>
    <t xml:space="preserve">Abstract  Microbial growth responses of probiotic Lacticaseibacillus rhamnosus GG with well-documented health effects were studied in an oat-based milk alternative in the biokinetic temperature range of 8 to 44 °C. The applied Baranyi model (with a fixed parameter value  h 0  = 0.407) fitted the growth data well, as shown by the goodness of fit measures (  R 2  = 0.995; RMSE = 0.153) for the total experimental data set (n = 245). Using the initial inoculations of 2.7 ±0.1 log CFU.ml −1 , the maximal population density (MPD) of 8.3 ±0.4 log CFU. ml −1 was reached in stationary phase in the temperature range from 12 to 37 °C. Slightly lower MPDs were recorded at higher temperatures, 40 and 44 °C, while an increase in only 1 log was reached at 8 °C. Thus, the MPD 3.7 log CFU.ml −1 was only estimated. Based on the experiments, the highest specific growth rate (  μ max  ) of 0.800 −1 and the shortest lag phase ( λ ) of 0.51 h were observed at 40 °C. The Ratkowsky modified square root model (mSQRT) was used in the secondary modelling for  μ max  values and the cardinal parameters minimum and maximum temperature were determined:  T min  = 4.2 °C;  T max  = 47.8 °C. As drinks of plant origin are produced in large volumes, the production of their fermented varieties is expected to appear in a short time. This is why providing parameters on kinetic behaviour of L. rhamnosus GG is essential for industrial process design and further scale up of fermented dairy-free matrice with probiotic potential.</t>
  </si>
  <si>
    <t xml:space="preserve">The paper characterises the growth kinetics of a probiotic microbial strain (L. rhamnosus GG) in an oat-based milk alternative across a range of temperatures, directly investigating bioprocess parameters for fermentation of a plant-based matrix, which aligns with strain/bioprocess optimisation for fermentation; the oat-based product context gives secondary relevance to end product formulation.</t>
  </si>
  <si>
    <t xml:space="preserve">pub.1196751732</t>
  </si>
  <si>
    <t xml:space="preserve">Development and Optimization of a LAMP Assay for Lupin Detection in Foods</t>
  </si>
  <si>
    <t xml:space="preserve">Lupin (Lupinus spp.) is increasingly incorporated into processed foods as a gluten-free ingredient and alternative protein source, but it is also a regulated allergen in the European Union due to cross-reactivity with other legumes, especially peanut. Reliable methods for detecting undeclared lupin traces in complex food matrices are therefore essential for consumer protection. In this study, a loop-mediated isothermal amplification (LAMP) assay was developed for rapid and sensitive detection of lupin DNA. Several nuclear and chloroplast regions were evaluated for primer design, and gene encoding the Lup a 1 allergen was selected as the optimal target. Amplification was monitored by real-time fluorescence, agarose gel electrophoresis, and visual colorimetry. The selected primer set achieved a detection limit of 25 pg of lupin DNA and consistently detected lupin in binary mixtures down to 10 mg/kg, with no cross-reactivity against closely related legumes or tree nuts. Application to processed foods confirmed detection in products declaring lupin and revealed potential undeclared presence in some commercial samples. Colorimetric detection provided reliable results comparable to real-time monitoring, enabling simple readouts without specialized equipment. Overall, the developed LAMP assay represents a rapid, specific, and sensitive alternative to PCR-based methods for allergen monitoring and food safety management.</t>
  </si>
  <si>
    <t xml:space="preserve">The paper develops and validates a LAMP assay specifically for detecting lupin allergen contamination in food products, which is a food safety and allergenicity detection method; ingredient optimisation is a distant secondary as lupin is studied as an ingredient context, but 'Other' better fits — however the allergen/regulatory safety focus clearly places secondary relevance in Food Safety &amp; Quality itself, so Other is assigned as secondary since no other specific category applies.</t>
  </si>
  <si>
    <t xml:space="preserve">pub.1189927278</t>
  </si>
  <si>
    <t xml:space="preserve">The effect of fortification on in vitro iron and zinc bioavailability in plant-based meat alternatives</t>
  </si>
  <si>
    <t xml:space="preserve">Plant-based diets are increasingly popular due to their perceived health benefits and positive environmental impact. However, there are concerns that long-term adherence to plant-based diets could result in nutritional deficiencies, especially for minerals found in abundance in animal foods. Therefore, plant-based meat substitutes may be a vehicle for fortification to provide a source of bioavailable minerals. This study investigated the iron (Fe), zinc (Zn) and calcium (Ca) content and bioavailability from unfortified and Fe and/or Zn fortified plant-based mince (PBM) compared with animal mince. Total and bioaccessible mineral levels in animal mince, and PBM were determined using microwave digestion and in vitro simulated gastrointestinal digestion, respectively. Mineral bioavailability was assessed by exposure of Caco-2 cells to the digested food samples and measuring mineral uptake into the cells using Inductively Coupled Plasma Mass Spectrometry (ICP-MS). Total phytate levels were measured to calculate the phytic acid:mineral molar ratio (PA:Fe, PA:Zn, PA:Ca) as indication of the mineral bioavailability. Fe bioavailability from animal mince was significantly greater than from unfortified PBM. Fortification of PBM with Fe reduced the PA:Fe molar ratio to below 10, and increased Fe bioavailability compared with the unfortified PBM. Total Fe uptake from fortified PBM was equivalent to that from animal mince. Following fortification of PBM with Zn, the PA:Zn ratio remained high (&gt;14), and bioavailability was not enhanced compared with the unfortified PBM (P &gt; 0.1). This study highlights that Fe-fortified PBM can improve Fe bioavailability and provide similar amounts of Fe compared to beef mince, whereas more research is needed for Zn fortification of PBM. Fortification can be a promising approach to reduce the phytic acid:mineral molar ratio to mitigate the inhibitory effect of PA on mineral bioavailability.</t>
  </si>
  <si>
    <t xml:space="preserve">The study directly investigates mineral content and bioavailability in fortified plant-based meat alternative products (finished formulations), using Caco-2 cell assays and in vitro digestion to assess nutritional outcomes of fortification strategies applied to a finished product.</t>
  </si>
  <si>
    <t xml:space="preserve">pub.1195438208</t>
  </si>
  <si>
    <t xml:space="preserve">Simultaneous determination of acrylamide, Glycidamide, and Methylacrylamide in plant-based beverages using μ-dispersive solid phase extraction and HPLC-PDA: Development, validation, and occurrence</t>
  </si>
  <si>
    <t xml:space="preserve">Plant-based beverages are widely consumed as dairy alternatives due to their nutritional value and sustainability. However, thermal processing may lead to the formation of acrylamide and related toxicants. This study developed and validated a miniaturized dispersive solid-phase extraction (μ-dSPE) method coupled with high-performance liquid chromatography and ultraviolet detection for the simultaneous determination of acrylamide, glycidamide, and methacrylamide, using thiourea as an internal standard. Unlike existing μ-dSPE/QuEChERS and MS-based approaches, the workflow is entirely aqueous (no organic solvents) and requires no derivatization, aligning with green analytical chemistry. Optimization was conducted using a 3441 screening design and response surface methodology. The method showed excellent linearity (r2 &gt; 0.999), low detection limits (0.24-0.98 μg/mL), and excellent accuracy (91-111 % recovery) and precision (RSD &lt; 6.1 %). Analysis of 15 commercial beverages revealed acrylamide in 14 samples (0.33-1.17 μg/mL), especially in oat and mixed-protein types; glycidamide and methacrylamide were not detected. Environmental assessment using AGREEprep yielded a high greenness score (0.72) and a high practical applicability score (80.0) by the Blue Applicability Grade Index. This μ-dSPE-HPLC-PDA method provides a reliable, cost-effective, and environmentally-friendly approach for monitoring heat-induced contaminants in plant-based beverages.</t>
  </si>
  <si>
    <t xml:space="preserve">The paper develops and validates an analytical method for detecting acrylamide and related toxicants in plant-based beverages, which is a food safety/contaminant monitoring study; ingredient optimisation is a secondary consideration as the beverages are characterised as individual product types, though food safety is clearly the dominant focus.</t>
  </si>
  <si>
    <t xml:space="preserve">pub.1190884675</t>
  </si>
  <si>
    <t xml:space="preserve">Deciphering the Physiological Responses to the Intake of Plant-Based Meat Analogues: On the Track of Microbiota and Biomarkers in Serum and Urine</t>
  </si>
  <si>
    <t xml:space="preserve">Growing concerns about the alleged negative outcomes of the consumption of animal-based foods (ABF) lead a number of consumers to demand so-called plant-based meat analogues (PBMAs), which are designed to replicate the sensory and nutritional characteristics of genuine meat. This study aimed to characterize the physiological effects of long-term PBMA consumption by comparing their specific influence on both gut microbiota and fluids (i.e., plasma and urine) with those of conventional beef in a rodent model by using metagenomic and metabolomic tools. Twenty-one Wistar rats were divided into groups and consumed diets made with either wheat- and soy-based meat analogues or beef. The microbiota of PBMA-fed animals showed increased amounts of the harmful genus of gut bacteria, while their metabolomes reflected disturbances in the nitrogen-containing compound metabolism and the presence of potentially harmful metabolites. These results should raise concern and prompt further research into the long-term impact of consumption of PBMAs on health.</t>
  </si>
  <si>
    <t xml:space="preserve">The study measures physiological and biological outcomes (gut microbiota changes, serum and urine metabolomics) in a rodent model following long-term consumption of plant-based meat analogues, making health outcomes the primary focus, with secondary relevance to end product formulation as PBMAs are the finished products under investigation.</t>
  </si>
  <si>
    <t xml:space="preserve">pub.1191525036</t>
  </si>
  <si>
    <t xml:space="preserve">Associations between romantic partners’ dietary motives and their plant-based meat alternative consumption</t>
  </si>
  <si>
    <t xml:space="preserve">Plant-based meat alternatives (PBMAs) play a key role in the transition towards more sustainable food systems. Consumer research has so far primarily focused on how personal factors influence people's decisions for or against PBMAs. Yet dietary choices are socially embedded and subject to interpersonal influences. Among these, romantic partners may be particularly important for each other's PBMA consumption because of their close relationship and high rate of meal sharing. Partner's roles might be more pronounced if partners differ in their attachment to meat. Using a Swiss convenience sample of 136 couples who differed in their level of meat consumption, we examined how dietary motives were associated with personal and partner's PBMA consumption. Both partners reported on dietary motives and food consumption in a baseline survey and across 28 shared meals, which allowed us to test between- and within-person effects using dyadic modeling frameworks. Regarding personal effects, being more concerned about animals and the environment related positively, and endorsing common meat-eating beliefs negatively, with PBMA consumption. Having limited access to alternatives was a barrier to PBMA choice for individuals with lower meat consumption. Regarding interpersonal effects, partners were more likely to eat PBMAs at meals where the other person was more concerned about animals. Lower (but not higher) meat consuming individuals' beliefs that meat is natural, necessary, and nice were associated with less frequent PBMA consumption of their partners. This exploratory study highlights the value of taking an intra- and interpersonal perspective to research on, and the promotion of, meat substitution.</t>
  </si>
  <si>
    <t xml:space="preserve">The paper investigates consumer dietary motives and interpersonal (romantic partner) influences on plant-based meat alternative consumption using survey and dyadic modeling methods, which is squarely consumer behaviour research; the secondary category is a weak fit but closest given the dietary/nutritional behaviour framing, though 'Other' could also apply.</t>
  </si>
  <si>
    <t xml:space="preserve">pub.1191475219</t>
  </si>
  <si>
    <t xml:space="preserve">Chemical composition and techno-functional properties of grape seed proteins of Vitis vinifera L. grown in warm climates regions</t>
  </si>
  <si>
    <t xml:space="preserve">Nowadays, the search for new sources of plant-based proteins is increasing due to the high demand caused by demographic and economic growth. The need to reuse industrial waste as by-products is increasing, both to mitigate environmental problems and to promote a circular economy. This study evaluates the chemical and techno-functional potential of grape seed proteins from warm-climates for revalorisation as sustainable protein sources in the food industry. For this purpose, protein extraction was carried out under alkaline conditions followed by acid precipitation. Grape seed protein extracts (GSPEs) showed yields above 40 % and contained 250–420 g/kg proteins. Their amino acid profiles were rich in Glu, Arg and Asp, and poor in Met and Cys. Essential amino acids constituted more than 30 % and covered the requirements of Val, Iso and Phe + Tyr described by FAO/WHO. Their phenolic contents were 224–287 mg GAE/g extract and showed considerable antioxidant activity (728–1834 μmol TE/g extract). Their maximum emulsifying (92 m2/g extract) and foaming (180 %) capacities were at basic pH. GSPEs reported a water and oil retention of 2.0–3.0 and 2.0–4.6 mL/g extract. The techno-functional properties of grape seed protein extracts are similar to those found in other seed protein extracts (Cucurbita moschata or Medicago sativa).</t>
  </si>
  <si>
    <t xml:space="preserve">The paper directly investigates the extraction, chemical composition, amino acid profile, and techno-functional properties (emulsification, foaming, water/oil retention) of grape seed protein extracts as individual ingredients, with no finished product formulation; the secondary focus touches on underutilised/by-product protein sources, loosely relating to crop/biomass valorisation.</t>
  </si>
  <si>
    <t xml:space="preserve">pub.1188577768</t>
  </si>
  <si>
    <t xml:space="preserve">Model predictive control of high moisture extrusion cooking</t>
  </si>
  <si>
    <t xml:space="preserve">High Moisture Extrusion Cooking (HMEC) has become a promising technology for producing plant-based meat alternatives. By using HMEC, food manufacturers can create meat-like textures from plant proteins, offering a sustainable solution with reduced carbon footprint to consumers. However, at the current stage of development, the automation level in HMEC is insufficient to ensure operational autonomy, reliability, and product quality expected by industry demands. This paper presents a predictive control framework designed to transform experience-based handled HMEC into a more reliable process operation, improving its production performance and facilitating industrial up-scaling. The proposed control structure is hierarchical, comprising two layers. At the upper layer, a model predictive control (MPC) algorithm determines the optimal set-points for the controllers at the lower layer. The predictive framework is built on the existing HMEC control architecture and can be further extended to achieve fully optimized production. Leveraging linear dynamic models, the approach mainly focuses on the protein melt control aiming to enhance production performance by minimizing the tracking error of process quantities correlated to product quality. The practical feasibility of the designed control solution has been proven on a pilot-scale extruder. Validation results have shown improved operational stability and reproducibility, while effectively tracking set-points for consistent meat-like fibrous structure formation and desired textural characteristics.</t>
  </si>
  <si>
    <t xml:space="preserve">The paper develops a model predictive control framework specifically to improve and automate the high moisture extrusion cooking process for producing fibrous meat-like textures, making it a direct process innovation for texturisation of final plant-based meat alternative products.</t>
  </si>
  <si>
    <t xml:space="preserve">pub.1190711567</t>
  </si>
  <si>
    <t xml:space="preserve">Development of a Clean-Label Meat-Free Alternative to Deli Ham</t>
  </si>
  <si>
    <t xml:space="preserve">Reducing meat consumption is a key strategy to mitigate environmental impact, lower the incidence of diet-related diseases, and promote sustainable food production. In response, the plant-based food market has grown significantly, motivated by demand for meat-like products. This study aimed to develop a meatless alternative to deli ham (MAD) free of chemical additives, adhering to clean label principles. A commercially available MAD product (Target MAD) was used as a benchmark. Based on its analysis, clean-label laboratory (Optimized CL formulation) and pilot-scale (CL MAD) prototypes were developed. These were evaluated for texture, rheology, color, sensory attributes, and physicochemical properties. The CL MAD demonstrated similar firmness to the Target MAD, while being 17% more cohesive and 50% less adhesive. Its mechanical spectra showed typical weak gel behavior, with G' higher than G″. Color analysis indicated that the CL MAD was darker and less pink than the Target MAD. Nutritionally, it provided higher protein and lower fat content. Overall, this study successfully developed a clean-label meat-free alternative to deli ham that matches commercial textural standards while offering improved nutritional quality and eliminating chemical additives, meeting growing consumer demand for healthier and more sustainable foods.</t>
  </si>
  <si>
    <t xml:space="preserve">The paper directly develops and characterises a finished multi-ingredient clean-label deli ham alternative, evaluating its texture, rheology, colour, sensory, and nutritional properties as a complete product, making End Product Formulation the primary category, with Ingredient Optimisation secondary given the ingredient-level optimisation work underpinning the prototype development.</t>
  </si>
  <si>
    <t xml:space="preserve">pub.1190467589</t>
  </si>
  <si>
    <t xml:space="preserve">Unveiling the approach of campesterol: Its application and circular bio-economy</t>
  </si>
  <si>
    <t xml:space="preserve">Abstract  Campesterol is a naturally occurring phytosterol found in the plant cell membranes, and it shows medicinal uses in nutraceuticals and pharmaceuticals due to its strong biological activities, such as antioxidant, anti-inflammatory, and anticancer properties. Several extraction methods exist, i.e. docking, chromatographic, gas chromatography-mass spectrometry, subcritical fluid extraction, cold-pressed, Soxhlet, mechanical shaking, silica solid-phase and microwave-assisted; however, silica solid-phase extraction method is a highly efficient approach for isolating campesterol from plant cells. Campesterol is also used for enhancing the nutritional value and functional qualities of food such as margarine, dairy products, including milk, yoghurt, and cheese, salad dressings and beverages like soy milk, almond milk, peanut milk, and oat milk. It also plays an important role in cosmetics products (moisturizing lotions, lipsticks, and shampoos) and biomaterials (gelatin, chitin, silk sericin, chitosan, and alginate). Valorization of underutilized horticultural crops (green and yellow vegetables, nuts, seeds, legumes, fruits, and grains) and fruit waste peel, pulp, and seed as a source of campesterol directly shows impact on circular bio-economy. This review focuses on campsterol’s bioactivity, extraction, and sustainable applications in food and pharma industries.</t>
  </si>
  <si>
    <t xml:space="preserve">This review focuses on campesterol (a phytosterol ingredient) covering its extraction methods, functional properties, and applications in food and pharmaceutical products, making ingredient optimisation the primary fit, with health and nutrition secondary due to its coverage of bioactive and nutraceutical properties.</t>
  </si>
  <si>
    <t xml:space="preserve">pub.1186993694</t>
  </si>
  <si>
    <t xml:space="preserve">Risks, resilience and sustainability of plant-based protein chains in Europe: a stakeholder analysis</t>
  </si>
  <si>
    <t xml:space="preserve">Purpose As the global demand for alternative protein sources grows, understanding the perceptions of key stakeholders in the agri-food chain is critical to fostering sustainable and resilient food systems. This study investigates stakeholders' views on risk, resilience and sustainability within plant-based protein chains. It aims to cluster stakeholders based on these perceptions and identify the factors that influence cluster membership.   Design/methodology/approach  A survey was conducted with participants including consumers, farmers, food industry professionals and policymakers across several European countries ( n  = 482). Hierarchical and non-hierarchical cluster analyses were used to group stakeholders, while logistic regression identified factors influencing cluster membership.    Findings Stakeholders were segmented into two groups: optimistic advocates, who have a positive outlook on alternative protein chains, and cautious conventionalists, who remain sceptical. The analysis reveals that factors like familiarity with plant-based proteins, attitudinal certainty and stakeholder type significantly influence stakeholder perceptions. Respondents who are familiar with alternative proteins and respondents with higher attitudinal certainty are more likely to belong to the optimistic advocates cluster, while farmers are more likely to belong to the cautious conventionalists cluster compared to other stakeholders.   Originality/value This study is the first to evaluate and compare the risk, resilience and sustainability perceptions of multiple stakeholder categories towards plant-based protein chains. Additionally, this is the first study exploring resilience perceptions in an agri-food context, further contributing to the novelty.</t>
  </si>
  <si>
    <t xml:space="preserve">The paper conducts a structured stakeholder survey and cluster analysis to assess perceptions of risk, resilience, and sustainability across plant-based protein chains in Europe, which aligns with stakeholder-led impact/resilience assessments; the consumer and market research category is secondary given the survey-based methodology examining attitudes and familiarity across stakeholder groups including consumers.</t>
  </si>
  <si>
    <t xml:space="preserve">pub.1187097250</t>
  </si>
  <si>
    <t xml:space="preserve">Drivers and Barriers for Plant-Based Cheese Alternatives Adoption: Insights from Diverse Consumer Clusters</t>
  </si>
  <si>
    <t xml:space="preserve">The transition to plant-based diets is advocated as a consumption measure to mitigate the environmental impacts of animal-based food production. Understanding the drivers and barriers to consumption can guide the formulation of tailored strategies for advancing plant-based alternatives in markets. This study investigated the principal drivers and barriers influencing the adoption of plant-based cheese alternatives among Danish consumers (n = 550) through an online survey. Participants were clustered based on the sensory (flavor and texture) cues using Agglomerative Hierarchical Clustering, resulting in four consumer groups: (C1) consumers who prefer plant-based cheese alternatives to closely mimic both the flavor and texture of dairy cheese (n = 172); (C2) Consumers who prefer dairy-like flavor but are open to plant-based textures (n = 141); (C3) Consumers who prefer dairy-like texture but are open to novel flavor (n = 146); and (C4) Consumers who seek variety and novelty in both flavor and texture (n = 91). The results showed that consumer preferences for flavor and texture cues are important factors in shaping their motivations and barriers toward plant-based cheese. Specifically, product availability emerged as a significant barrier for those preferring dairy-like alternatives, while sensory perception and convenience were less influential for consumers who favor novelty. Notably, the consumer clusters did not show significant statistical differences in dietary pattern types, such as omnivores, flexitarians, vegetarians, or vegans. Understanding these dynamics is essential for developing effective strategies to promote plant-based cheese alternatives and cater to varying consumer needs.</t>
  </si>
  <si>
    <t xml:space="preserve">The study directly investigates consumer drivers and barriers for plant-based cheese adoption through survey-based clustering, making it primarily consumer research; secondary relevance to end product formulation arises from the focus on sensory attributes (flavor and texture) as key product characteristics shaping consumer preferences.</t>
  </si>
  <si>
    <t xml:space="preserve">pub.1185526849</t>
  </si>
  <si>
    <t xml:space="preserve">Enrichment of the nutritional value of pea flour milling fractions through fermentation</t>
  </si>
  <si>
    <t xml:space="preserve">In this work, pea flour and two milling fractions obtained by industrial-scale air classification were characterized and fermented by Lactiplantibacillus plantarum to increase their nutritional value. Scanning electron microscopy and chemical analysis revealed major differences in the morphology and composition of the flours. Protein-rich (43.7 %) fraction exhibits a few-fold higher mineral, spermidine (290 μg/g), but also a higher phytate (20.4 mg/g) content compared to starch-rich fraction. Flour type and inoculum majorly influenced the composition of the fermented product. In spontaneously fermented flours, biogenic amines accumulated up to 6.6 mg/g, which was the main drawback besides the large variations between batches, as confirmed by metagenomic analysis. Higher contents of lactic acid, free amino groups formed by proteolysis and gamma-aminobutyric acid were determined in inoculated fermentations of protein rich fraction, whereas a higher relative bioavailability of minerals was found in the inoculated starch-rich fraction, as the phytate content was reduced by 42 %.</t>
  </si>
  <si>
    <t xml:space="preserve">The paper directly investigates fermentation of pea flour milling fractions to improve their nutritional profile and functionality as ingredients, with strain selection (L. plantarum vs. spontaneous fermentation) as a key experimental variable.</t>
  </si>
  <si>
    <t xml:space="preserve">pub.1191219238</t>
  </si>
  <si>
    <t xml:space="preserve">Exploring whey and faba bean protein interactions at the oil-water interface: A combined drop tensiometry and microfluidicsstudy</t>
  </si>
  <si>
    <t xml:space="preserve">The interfacial properties of model oil-water interfaces stabilized by faba bean protein isolate (FPI), whey protein isolate (WPI), and their mixtures were investigated. Two complementary techniques, microfluidics-based analysis and drop tensiometry were employed to study the impact of protein mixing on interfacial tension, adsorption kinetics, and droplet stability. A microfluidic platform was used for droplet generation and single droplet analysis, assessing the impact of protein blending on droplet size and shape eccentricity after droplet generation. Drop tensiometry complemented the microfluidics-based analysis by evaluating interfacial tension and viscoelastic properties of the various interfaces. The presence of FPI altered WPI interfaces; in mixed systems, antagonistic interactions between proteins resulted in a decreased elastic modulus and broadening of the shape eccentricity. Mixed systems resulted in smaller droplets with narrower size distributions and increased resistance to short-term coalescence with respect to emulsion droplets stabilized by FPI alone, and droplet stability increased proportionally with WPI/FPI ratio.</t>
  </si>
  <si>
    <t xml:space="preserve">The paper directly investigates the interfacial and functional properties of faba bean and whey protein isolates and their mixtures at the oil-water interface, which is ingredient-level characterisation of protein functionality relevant to emulsification performance.</t>
  </si>
  <si>
    <t xml:space="preserve">pub.1190249427</t>
  </si>
  <si>
    <t xml:space="preserve">Feeding masculine norms: Representations of (non-) meat and masculinities in food advertising</t>
  </si>
  <si>
    <t xml:space="preserve">The association between meat and masculinity is a historically and culturally constructed relationship, prevalent in western cultures through various forms of media and popular culture, including advertisements. This study examines how Flemish TV food advertisements represent masculinities in relation to both meat and non-meat alternatives, shedding light on how advertising contributes to the construction of meat as a symbol of masculinity. Through a quantitative and qualitative content analysis of 105 advertisements, we identified three key representation techniques. The first, duplication, features near-identical advertisements for meat and meat substitutes, showing no clear gender distinctions. The second, magnification, exaggerates gender markers, often through animated portrayals, reinforcing stereotypical masculinity. The third, confirmation, maintains normative masculinity by applying stereotypically masculine imagery to both meat and plant-based products. Notably, the latter technique uses traditional associations between masculinity and meat consumption to market plant-based alternatives as masculine, appealing to male consumers without challenging dominant gender norms. These findings highlight how advertising adapts to market trends while preserving cultural values, reinforcing normative masculinity even when promoting sustainable consumption. This study contributes to debates on masculinities, (non-) meat consumption, and consumer culture, emphasizing the need for more inclusive representations of masculinity in food advertising.</t>
  </si>
  <si>
    <t xml:space="preserve">The paper conducts a content analysis of food advertisements to examine how masculinity is represented in relation to meat and plant-based alternatives, making consumer/market research its primary focus, with broader cultural and gender theory discussion placing it partly in the 'Other' category.</t>
  </si>
  <si>
    <t xml:space="preserve">pub.1191217756</t>
  </si>
  <si>
    <t xml:space="preserve">Plant protein-quercetin complexation in food product development</t>
  </si>
  <si>
    <t xml:space="preserve">The increasing demand for sustainable food ingredients has stimulated research into plant protein modification strategies for product development. Interactions between edible plant proteins and quercetin, mediated by both covalent and non-covalent bonds, significantly influence protein functionality in food formulations. Emerging food processing technologies present promising approaches to enhance these interactions in food matrices; however, understanding their mechanisms remains crucial for industrial applications. This review examines food processing technologies related to plant protein-quercetin interactions, with a focus on molecular mechanisms and functional enhancements in food systems. It analyzes pH-dependent binding mechanisms, structure-function relationships, and processing strategies, including self-assembly, physical treatments, chemical modifications, and polysaccharide incorporation, while evaluating applications in functional food development. Plant protein-quercetin interactions exhibit pH-dependent mechanisms, which determine protein structural modifications and properties in the final products. The effectiveness of these interactions depends on the dietary protein sources due to their unique molecular architectures. Advanced technologies demonstrate complementary effects: physical treatments enhance binding site accessibility, while chemical modifications control conjugation specificity in food ingredients. Polysaccharide incorporation creates hierarchical structures that enhance stability in complex systems. These findings establish a framework for designing targeted modifications and provide insights for developing next-generation functional foods, emphasizing the importance of structure-function relationships in optimizing processing approaches.</t>
  </si>
  <si>
    <t xml:space="preserve">This review focuses on plant protein-quercetin interactions and processing strategies to modify and enhance protein functionality as ingredients, with secondary relevance to functional food product development applications.</t>
  </si>
  <si>
    <t xml:space="preserve">pub.1185246385</t>
  </si>
  <si>
    <t xml:space="preserve">From forest to fork: a systematic review of mushroom-based meat analogues</t>
  </si>
  <si>
    <t xml:space="preserve">Abstract The consumption of meat analogues is steadily increasing due to factors such as concerns about protein intake, meat availability, health, and environmental issues. Mushrooms provide a potential solution for substituting or replacing animal protein due to their high nutritional value and unique sensory properties. This review examines the differences in physical characteristics, organoleptic qualities, amino acid profiles, and dietary fibre content of meat analogues derived from various mushroom species. The review employed a textual narrative synthesis approach and adhered to the Preferred Reporting Items for Systematic Reviews and Meta-Analyses (PRISMA) guidelines. A comprehensive analysis of 38 relevant publications reveals that the incorporation of mushrooms can influence the colour and texture of meat analogues. Additionally, the review highlights the impact of mushroom addition or substitution on the amino acid and dietary fibre content of meat analogues. It underscores the potential of mushrooms to create meat analogues with enhanced nutritional profiles, benefiting consumers, particularly those facing nutritional challenges like stunting. This article emphasises the importance of considering the specific mushroom species and processing techniques to optimise the quality of meat analogues.</t>
  </si>
  <si>
    <t xml:space="preserve">This systematic review focuses on mushroom incorporation into meat analogue finished products, examining their physical, organoleptic, amino acid, and fibre properties, making End Product Formulation the primary category, with Ingredient Optimisation secondary given the ingredient-level characterisation of mushroom species and their functional contributions.</t>
  </si>
  <si>
    <t xml:space="preserve">pub.1186677941</t>
  </si>
  <si>
    <t xml:space="preserve">Tailoring the physico-chemical properties and VOCs of pea-based fermented beverages through Lactobacillus delbrueckii subsp. bulgaricus and Streptococcus thermophilus fermentation</t>
  </si>
  <si>
    <t xml:space="preserve">This study aims at investigating the fermentative performances of Lactobacillus delbrueckii subsp. bulgaricus (Ldb), Streptococcus thermophilus (St) when used individually or in a blend on pea emulsion-based beverages. Microbial growth, physico-chemical properties (rheology, water molecular mobility, colour) and the volatile profile were investigated during or after fermentation guided by two selected strain (St 5149, Ldb 2214) and their blend. The results showed that strains St 5149 and the blend were able to grow in the pea protein emulsion beverage more quickly and with a shorter Lag phase (0.29-0.58 h) and to promote a faster gelation kinetic than Ldb 2214, as showed by impedometric and rheological analyses during fermentation. Water molecular mobility of the fermented systems measured by 1H NMR was also impacted by the different LAB strains, with a reduction in the amount of unbound water for sample fermented with St 5149. These differences, however, did not influence the colour parameters of the fermented beverage which had L* between 12.16 and 13.56, a* between 15.15 and 15.92, b* between 21.09 and 22.87. Notably, the aromatic profile of the fermented pea beverages suggested that selected LAB strains, particularly when used in a blend, effectively reduced the off-flavor notes associated with pea protein isolates. The results show that the selected LAB strains are able to positively impact the physico-chemical properties of pea fermented beverages and will pose the fundamental knowledge for the development of innovative, sustainable products alternative to both dairy and soy-based fermented products.</t>
  </si>
  <si>
    <t xml:space="preserve">The study screens and compares specific LAB strains (individually and in blends) for their fermentative performance on pea-based beverages, directly investigating how strain selection modulates physico-chemical properties and volatile/off-flavor profiles of the fermented product.</t>
  </si>
  <si>
    <t xml:space="preserve">pub.1187314939</t>
  </si>
  <si>
    <t xml:space="preserve">Influence of Juiciness on In Vivo Aroma Release and Perception of Plant-Based Meat Analogue and Beef Patties</t>
  </si>
  <si>
    <t xml:space="preserve">This study investigated how juiciness of the plant-based meat analogue (PBMA) and beef patties affects in vivo aroma release and perception. Patties were prepared from PBMA and beef mince, spiked with menthone as an aroma marker, and cooked to different core temperatures. Increasing core temperature decreased the perceived juiciness of PBMA and beef patties. In vivo in-nose menthone release and peppermint aroma perception were measured simultaneously using proton transfer reaction mass spectrometry and time-intensity profiling. Although differences in perceived juiciness were observed, no significant differences in in vivo aroma release and perception were observed in PBMA and beef patties, suggesting that aroma release and perception were not influenced by juiciness. Juiciness may not affect in vivo aroma release and perception due to the limited amount of serum released from the matrix during mastication and the entrapment of fat in the bolus. The effect of juiciness on aroma release may be product-specific.</t>
  </si>
  <si>
    <t xml:space="preserve">The study characterises finished PBMA and beef patties in terms of juiciness, in vivo aroma release, and sensory perception, making it primarily an end-product characterisation study; the in vivo measurement of aroma perception during consumption has a secondary link to physiological/sensory outcomes relevant to Health &amp; Nutrition, though End Product Formulation is the dominant focus.</t>
  </si>
  <si>
    <t xml:space="preserve">pub.1188180132</t>
  </si>
  <si>
    <t xml:space="preserve">Targeted genotyping (90K-SPET) facilitates genome-wide association studies and the prediction of yield-related traits in faba bean (Vicia faba L.)</t>
  </si>
  <si>
    <t xml:space="preserve">BackgroundEstablishing faba bean (Vicia faba L.) as a major protein crop in Europe requires developing high-yielding varieties. However, the genetic regulation of yield-related traits is currently under-explored. These traits can be improved by exploiting the extensive but largely uncharacterized faba bean germplasm. Our study aimed to identify associations between 38,014 single nucleotide polymorphisms (SNPs) and flowering time (FT), plant height (PH), pod length (PL), seeds per pod (SP), and single seed weight (SSW) in 245 faba bean accessions (CGN panel) via a Genome-Wide Association Study (GWAS). The accessions were grown in 2021 and 2022 in the Netherlands. Additionally, we developed genomic selection (GS) models to predict the genetic merit within large germplasm collections for the mentioned traits, as well as yield (YLD).ResultsThe CGN panel was an optimal panel for performing high-resolution GWAS, showing large phenotypic variation, high narrow-sense heritability for all traits, and minimal genetic relatedness among accessions. Population structure analysis revealed the presence of four genetic groups. GWAS uncovered 33 SNP-trait associations in 2021 and 17 in 2022. We identified one stable QTL for FT and four for SSW over the two years, representing key molecular markers for testing in breeding applications. Short linkage disequilibrium decay (~ 268 Kbp) facilitated the identification of several important candidate genes with interesting homologs in other crops. Ten SNPs in 2021 and five in 2022 were predicted to be intra-genic missense variants, potentially altering protein function. Moreover, modeling the SNP effect simultaneously via Bayesian GS showed promising predictive ability (PA) and prediction accuracy (ACC), supporting their potential application in germplasm-improvement programs. Predictive ability ranged from 0.58 to 0.81 in 2021, and 0.47 to 0.85 in 2022 for different traits. Additionally, across-year predictions showed stable PA.ConclusionGWAS revealed promising QTLs for use in molecular breeding and highlighted new candidate genes. Interestingly, the prediction of intra-genic SNPs categorized 15 SNPs as putatively affecting protein function. Moreover, we demonstrated for the first time in faba bean that GS has the potential to unlock untapped diversity in genebank collections and accelerate trait integration into faba bean breeding programs.</t>
  </si>
  <si>
    <t xml:space="preserve">This paper directly investigates the genetic basis of yield-related traits in faba bean through GWAS and genomic selection, with the explicit goal of developing high-yielding varieties and accelerating breeding programs, which is core crop development research.</t>
  </si>
  <si>
    <t xml:space="preserve">pub.1188024088</t>
  </si>
  <si>
    <t xml:space="preserve">Protective Effect of Lactic Acid Bacteria Isolated from Ripened Foods Against Listeria monocytogenes in Plant-Based Fermented Dry-Cured Sausages</t>
  </si>
  <si>
    <t xml:space="preserve">The aim of the study was to use a commonly employed technology in the meat industry, the inoculation of a biocontrol starter, in the processing of a plant-based fermented dry-cured sausage analog to improve its safety against possible Listeria monocytogenes contamination. Challenge tests were used to select suitable lactic acid bacteria (LAB) for the analog under industrial production conditions. First, 20 LAB strains were tested in vitro and five of them were further tested by stuffing the ingredients under industrial conditions. The L. monocytogenes counts highlighted Latilactobacillus sakei 205 as the most protective one, achieving a reduction of 2.6 log CFU/g. Further, a triangular test and Check-All-That-Apply test were performed to understand the organoleptic differences that could be expected in the final product. The batch inoculated with Llb. sakei 205 did not show any sensory differences from the commercial batch. Therefore, Llb. sakei 205 was identified as a potential protective starter due to the microbiological and sensory results. This pioneering study applied biocontrol starters to plant-based meat analogs, aligning with clean-label trends.</t>
  </si>
  <si>
    <t xml:space="preserve">The paper's primary focus is assessing the safety of a plant-based sausage analog against Listeria monocytogenes contamination using biocontrol LAB starters, with strain screening as a secondary contribution.</t>
  </si>
  <si>
    <t xml:space="preserve">pub.1190127308</t>
  </si>
  <si>
    <t xml:space="preserve">Digestion, Metabolism, and Health Effects of Plant Proteins and Their Food Formulations: A Systematic Scoping Review of Clinical Postprandial Studies and in vitro Methods</t>
  </si>
  <si>
    <t xml:space="preserve">Plant proteins are gaining attention as sustainable alternatives to animal proteins, but their bioaccessibility, bioavailability, and health effects remain underexplored. This review summarizes current knowledge on the digestion, metabolism, and health impacts of plant proteins, emphasizing clinical postprandial studies and in vitro methods. A systematic scoping review was conducted following PRISMA-ScR guidelines, identifying 98 relevant articles published between 2000 and 2023. Clinical studies showed that amino acid absorption and the increase in blood amino acid concentrations were slower after plant protein-based meals compared with animal-based meals. Plant proteins also tended to reduce glucose responses, especially when combined with fiber, and elicited varied gastrointestinal hormone responses. In vitro studies highlighted that protein digestibility is significantly influenced by the food matrix and processing methods. Both clinical and in vitro approaches offer complementary insights into plant protein metabolism. Strategies such as fermentation and heat treatment can enhance digestibility, supporting their role as viable, sustainable protein sources for adults. However, the role of gut microbiota in digestion and health outcomes remains largely overlooked. Additionally, more research is needed to understand the digestion of plant proteins in vulnerable populations, such as older adults.</t>
  </si>
  <si>
    <t xml:space="preserve">The paper's primary focus is on physiological and metabolic outcomes of plant protein consumption (amino acid absorption, glucose response, gastrointestinal hormones) measured in clinical postprandial and in vitro studies, with secondary relevance to ingredient-level digestibility as influenced by food matrix and processing methods.</t>
  </si>
  <si>
    <t xml:space="preserve">pub.1184990844</t>
  </si>
  <si>
    <t xml:space="preserve">Foaming properties and olfactory profile of fermented chickpea aquafaba and its application in vegan chocolate mousse</t>
  </si>
  <si>
    <t xml:space="preserve">Aquafaba, the cooking water of chickpeas and other pulses, is used as a vegan egg white substitute because of its favorable technofunctional properties. Nonetheless, its application is often restricted by a "beany" flavor and poor foaming properties compared to egg white. To overcome these limitations, aquafaba was fermented with two edible basidiomycetes. During the fermentation process, foaming properties were measured and analyzed. Furthermore, the aroma change was described by sensory experts. Based on these results, the optimal fermentation day was selected for each mushroom and sensory profiling was conducted. Subsequently, chocolate mousse was prepared from fermented aquafaba and profiled as well as tested in an acceptance test. Aquafaba profiling revealed significantly lower scores (α = 5%) for "beany" odor in fermented samples. Chocolate mousse produced with fermented aquafaba was described as less "beany" but more "chocolatey" and "cocoa-like" in smell and taste, and more "sweet" in taste. The texture of mousse prepared with fermented aquafaba was more "fluffy/light/porous" and "soft" but less "homogenous" than mousse with unfermented aquafaba. The consumer test showed high overall liking for all mousses. The research described in this study revealed for the first time promising aroma changes based on fermentation in aquafaba and demonstrated improved foaming properties. Thus, fermentation can be considered a useful tool to enhance the quality of aquafaba and thus expand its fields of application.</t>
  </si>
  <si>
    <t xml:space="preserve">The paper primarily investigates fermentation as a processing method to improve the functional (foaming) and sensory (aroma) properties of aquafaba as an ingredient, with the chocolate mousse serving as a secondary application to demonstrate the improved ingredient's performance in a finished product.</t>
  </si>
  <si>
    <t xml:space="preserve">pub.1188139206</t>
  </si>
  <si>
    <t xml:space="preserve">A Rapid and Robust Targeted Proteomics Method for the Quantitation of Cross-Contaminations and Adulterations with Meat in Vegan and Vegetarian Meat Analogues</t>
  </si>
  <si>
    <t xml:space="preserve">Plant-based meat analogues are becoming increasingly popular in industrialized countries and provide significant economic growth potential for established manufacturers of meat products and gastronomy. However, preparing meat analogues and meat in the same facility carries the risk of cross-contamination of the former. We therefore developed a targeted proteomics approach using LC-MS/MS and cross-species marker peptides with the potential to quantify meat in vegan and vegetarian foods. Protein extraction and digestion were optimized for rapid, simplified, and highly efficient sample preparation. Three matrix calibrations (0.1-5.0% w/w meat, each) were applied to vegan sausages and burger patties spiked with pork, chicken, or beef meat. The four markers DFNMPLTISR, DLEEATLQHEATAAALR, IQLVEEELDR, and LDEAEQLALK showed the highest accuracies for the determination of meat contents (recovery rates of 80-120%), allowing for reliable results with limits of quantitation below the commonly applied threshold of 0.1% w/w meat for its unintended presence.</t>
  </si>
  <si>
    <t xml:space="preserve">The paper develops and validates a targeted proteomics LC-MS/MS method for detecting and quantifying meat cross-contamination in vegan/vegetarian products, which is a food safety assay development and validation study; ingredient optimisation is a secondary consideration as protein extraction and digestion protocols are optimised as part of the method.</t>
  </si>
  <si>
    <t xml:space="preserve">pub.1190028529</t>
  </si>
  <si>
    <t xml:space="preserve">High-moisture extrusion of hempseed and oat press cakes for formation of soy-protein-containing fibrous meat analogs: Textural and physicochemical properties</t>
  </si>
  <si>
    <t xml:space="preserve">High-moisture extrusion (HME), a key technology for producing plant-based meat analogs with desirable fibrous structure, was applied in this study to develop formulations enriched with hempseed press cake (HPC), combined with soy protein isolate (SPI) and oat press cake (OPC) in ratios of 70:20:10 and 30:60:10 (HPC:SPI:OPC). These formulations were processed under different conditions of water content (50, 55, and 60 %) and long cooling die temperature (40, 60 and 80 °C) to investigate their effect on the textural and physicochemical properties of the extruded meat analogs. Partial least squares regression results revealed HPC and water content as the main drivers of textural and physicochemical properties. Low-HPC formulations yielded structurally resilient and fibrous textures, supported by texture profile analysis, standard and fluorescent imaging, and protein bond analyses. HPC enhanced the textural resemblance to cooked meat, reducing hardness, gumminess, and chewiness, while maintaining relatively high protein levels. Increasing water content softened the extrudates and decreased structural resilience, whereas long cooling die temperature had moderate influence, enhancing anisotropy and promoting protein bond formation at higher temperatures. Protein solubility assays indicated that hydrogen bonding was the dominant interaction stabilizing the fibrous structure, followed by disulfide bonding and hydrophobic interactions. Imaging analysis corroborated these findings, revealing more organized protein networks in low-HPC formulations. The incorporation of HPC improved nutritional value without compromising structural integrity. This study demonstrates the feasibility of using upcycled plant-based ingredients such as HPC and OPC in meat analogs. Through composition and process optimization, sustainable and nutritionally valuable products with meat-like texture can be achieved.</t>
  </si>
  <si>
    <t xml:space="preserve">The paper's primary focus is on high-moisture extrusion as a process technology to develop fibrous meat analogs, investigating how processing conditions (water content, cooling die temperature) affect textural and physicochemical properties of the final product, with secondary focus on the multi-ingredient formulation decisions and product-level characterisation.</t>
  </si>
  <si>
    <t xml:space="preserve">pub.1190075021</t>
  </si>
  <si>
    <t xml:space="preserve">Innovative screening for mutants affected in seed oil/protein allocation identifies TRANSPARENT TESTA7 as a regulator of oil accumulation</t>
  </si>
  <si>
    <t xml:space="preserve">Brassicaceae species mainly accumulate oil and protein in their seeds, which are essential to human life as a source of food, but also as animal feed and resources for green chemistry. To date, Brassicaceae crops such as rapeseed have been selected mainly for their oil content. However, there is a growing interest in their seed protein content. A strong negative correlation between oil and protein content makes it difficult to increase both compounds simultaneously. In this study, an Arabidopsis thaliana homozygous EMS mutant library was screened for seed oil and protein content by near-infrared spectroscopy with the aim of identifying mutants with impaired oil/protein correlation. The mutant most affected in this correlation was found to be in the TRANSPARENT TESTA7 gene, which is involved in the flavonoid biosynthetic pathway. Analysis of different mutants in the flavonoid pathway revealed that the tt7 mutants were the only ones to show such a significant reduction in seed oil content, highlighting a phenotype never described before for the tt7 mutants and suggesting a specific role for TT7 in the interplay between the oil and flavonoid biosynthetic pathways. Untargeted metabolomic analysis allowed the identification of metabolic features that are highly accumulated and specific to tt7 seeds compared to the other genotypes and genetic analysis established that the accumulation of kaempferol-3-O-rhamnoside seems to be responsible for the seed oil reduction in tt7 mutants.</t>
  </si>
  <si>
    <t xml:space="preserve">The study screens Arabidopsis mutants to identify genetic regulators of seed oil/protein allocation, directly contributing to understanding and potentially improving protein and oil content in Brassicaceae crops, which is core crop development research; ingredient optimisation is secondary as the work also characterises seed-level compositional properties relevant to ingredient quality.</t>
  </si>
  <si>
    <t xml:space="preserve">pub.1191621267</t>
  </si>
  <si>
    <t xml:space="preserve">The effect of pea protein preload on postprandial glucose response and blood pressure: a randomized controlled trial in healthy adults</t>
  </si>
  <si>
    <t xml:space="preserve">The rising prevalence of metabolic disorders underscores the need for dietary strategies to manage postprandial glucose levels and blood pressure. Protein has been widely recognized for its health benefits, to promote satiety and improve postprandial glucose control (1) . Studies have shown that whey protein can significantly lower postprandial glucose and insulin levels in both healthy and diabetic individuals, with greater effectiveness when consumed as a starter before meals (2) . However, a recent prospective cohort study indicated that while animal protein consumption may be linked to a higher risk of diabetes onset, incorporating plant-based proteins is advisable. This highlights the need to diversify protein sources in the diet to manage metabolic health and potentially reduce diabetes risk (3) .  Therefore, the aim of the current study was to determine whether consuming pea protein isolate before a carbohydrate meal could effectively reduce postprandial glucose levels and blood pressure compared to the simultaneous consumption of protein and carbohydrates.  We examined pea protein isolate as a representative plant-based food source, known for its high protein content and accessibility. Ten healthy adults (2 male and 8 females; mean age: 25.6 ± 1 years; body mass index (BMI): 22.7 ± 1 kg/m 2) participated in a crossover trial with three conditions, to consume 30g of pea protein isolate 30 min before (PrePP) or with (PP) a 50g carbohydrate meal, against a carbohydrate meal (control, CHO) provided with water. Continuous glucose monitoring and blood pressure were recorded over 180 minutes after the meal. The effect of the interventions on peak postprandial glucose responses and blood pressure were evaluated using a two-factor repeated measures ANOVA. Comparisons were made using Bonferroni’s test whenever a significant difference was observed. All statistical analyses were performed using GraphPad Prism with a statistical difference of p &lt; 0.05 considered as significant.   PrePP significantly delayed and reduced the postprandial glucose peak compared to PP and CHO (0.46 mmol/L at 60 min vs. 1.125 mmol/L for PP, p&lt;0.05 and 1.89 mmol/L for CHO at 30 min, p&lt; 0.01). Diastolic blood pressure significantly decreased after both protein drinks compared to CHO, especially between 150 and 180 minutes (9.2 mmHg for PP and 4.2 mmHg for PrePP), while the control showed an increase of 1.6 mmHg from baseline ( p &lt; 0.05). Although systolic blood pressure also decreased in PP and PrePP, with reductions of 3.7 and 5.8 mmHg respectively, this change was not significant compared to the control, which decreased by 2 mmHg ( p&gt; 0.05).  This study indicates that pea protein preload can effectively reduce postprandial blood glucose levels and may also assist in managing blood pressure, offering a plant-based option for improving metabolic health. Further research is needed to better understand the mechanisms underlying these findings.</t>
  </si>
  <si>
    <t xml:space="preserve">The study measures physiological outcomes (postprandial glucose response and blood pressure) in human subjects following pea protein consumption, making Health &amp; Nutrition the clear primary category; no strong secondary category fits, but the closest alternative given the dietary strategy framing is Other, though Consumer &amp; Market Research is not relevant — the secondary should be Other as no other specific category applies.</t>
  </si>
  <si>
    <t xml:space="preserve">pub.1193027836</t>
  </si>
  <si>
    <t xml:space="preserve">The Necessary Transition Towards Healthier Diets: An Assessment of Replacing Meat and Refined Wheat Flour with a Mixture of Different Plant-Based Foods</t>
  </si>
  <si>
    <t xml:space="preserve">Currently, at least one third of greenhouse gas (GHG) emissions come from the agricultural sector, with meat production making a particularly significant contribution. Therefore, alongside the ongoing efforts to transform transport and cut its emissions, it is essential to adopt urgent measures that limit GHG emissions from food production, consumption and distribution. Without them, the Paris Agreement goal of net-zero GHG emissions by 2050 cannot be met, and the most severe impacts of climate change will not be avoided. In principle, lowering emissions from the global food system may appear simple, as no new technology (for example, electric cars or carbon-neutral fuels) is required to decarbonize transport. However, since meat consumption accounts for the majority of food related GHG emissions, it must be coupled with a sharp reduction in the large-scale production and consumption of animal foods. Encouragingly, a growing number of consumers already choose diets that are both healthy and environmentally sustainable. As meat reduction gains popularity in these groups, plant-based products are expanding in the marketplace, mainly in the form of snacks, pasta, pizzas and especially vegan or vegetarian burgers. Thus, almost spontaneously, components of the Westernized diet, rich in ultra-processed foods, salt, sugar and animal protein, are gradually being replaced by plant-derived nutrients that are healthier and more environmentally friendly. To accelerate this trend, legal measures could be introduced to improve the nutritional quality of widely consumed, low-nutrient snacks and to promote agricultural reforms that encourage the production of nutrient-dense legumes and pseudocereals.</t>
  </si>
  <si>
    <t xml:space="preserve">This is a perspective/commentary piece arguing for dietary and policy change using environmental and health motivations as context, without conducting specific quantitative assessments or experimental investigations into alternative proteins.</t>
  </si>
  <si>
    <t xml:space="preserve">pub.1183157921</t>
  </si>
  <si>
    <t xml:space="preserve">Winter wheat–soybean relay intercropping in conjunction with a shift in sowing dates as a climate change adaptation and mitigation strategy for crop production in Germany</t>
  </si>
  <si>
    <t xml:space="preserve">Context Given the negative impacts of climate change on crop production, it is vital to implement efficient adaptation and mitigation strategies. The diversification of cropping systems, particularly through intercropping combined with shifts in sowing times, could have the potential to offset such negative impacts. Yet, both experimental data and simulation studies are scarce to elucidate the intercropping performance under future climate change conditions, particularly for evaluating its potential to offset climate impacts on crop and protein yields in German wheat-based systems. Objective This study aimed to simulate the grain yield and grain protein performance of winter wheat-soybean relay-row intercropping across Germany under future climate conditions, comparing it to sole cropping systems. Methods We employed the MONICA agroecosystem model and its intercropping module to simulate the performance of an innovative winter wheat–soybean relay intercropping system. This was in combination with a wide range of shifts in sowing dates, and we compared it against standard sole cropping under low and high emission scenarios across Germany. Results The model projected a 15 % higher sole wheat yield under the future (2031–2060) high emission scenario than that of the historical period (1981–2020), while sole soybean yield increased by 8 % in the same case. Although the simulation of winter wheat–soybean relay intercropping across Germany indicated a 9 % yield penalty compared to sole cropping in the future, with a transgressive overyielding index of 0.91, intercropping emerged as particularly advantageous in terms of land-use efficiency and protein production. It saved 17 % of land compared to sole cropping, thus produced equal amounts of grain yield, and produced 16 % more protein than sole cropping in the high emission scenario. On top of that, shifting the sowing dates of the component crops to earlier times was found to substantially enhance the advantages of intercropping, resulting in a maximum of 44 % higher total yield production, and 47 % higher protein production than sole wheat without shifting sowing date in the future projection window. Conclusion Our findings highlight the grain yield and protein production potential of intercropping versus sole cropping under futuristic high emission scenarios (RCP 8.5), and underscoring its potential to create a win-win situation of increased crop diversity and productivity. The results affirm the crucial importance of selecting optimal sowing dates for the component crops in intercropping, to maximize production and ensure resilience in the face of a changing climate.</t>
  </si>
  <si>
    <t xml:space="preserve">The paper focuses on simulating yield and protein production of intercropping systems under future climate scenarios, which relates to crop system development and productivity optimization; the structured quantitative assessment of climate adaptation strategies and land-use efficiency also aligns with impact assessments.</t>
  </si>
  <si>
    <t xml:space="preserve">pub.1195195931</t>
  </si>
  <si>
    <t xml:space="preserve">Navigating the shift toward sustainable diets: the use of protein blends in dairy alternatives</t>
  </si>
  <si>
    <t xml:space="preserve">Food choice significantly impacts human health, economic development, environmental sustainability, and societal progress. Influencing food choice is key to collectively shaping these outcomes in support of the UN Sustainable Development Goals. Modern diets harm both human and planetary health, as the demand for high-quality dietary protein has led to an over-reliance on animal products. While global dietary guidelines encourage a transition to primarily plant-based diets, widespread adherence remains low. This can be attributed to the limited accessibility of nutritionally balanced, sustainable plant-based food products. Reducing the consumption of animal protein demands the availability of alternative products that offer comparable nutrition, while maintaining affordability, desirability, and quality attributes. Plant-based milk alternatives have emerged to support the shift away from dairy products, offering a more environmentally friendly option. However, their lack of sufficient protein quantity and quality, along with higher costs and reduced sensory appeal, limits their potential as staple components in sustainable diets. Utilizing protein blends from diverse plant sources presents a promising approach to enhancing the nutritional profile and sensory characteristics of dairy alternatives, thereby making them more comparable to their animal counterparts. Ultimately, the optimization of plant-based alternatives is crucial to their role in supporting sustainable and healthy diets.</t>
  </si>
  <si>
    <t xml:space="preserve">The paper focuses on formulating dairy alternative products using protein blends to improve nutritional profile and sensory characteristics, with health and sustainability outcomes as motivating context.</t>
  </si>
  <si>
    <t xml:space="preserve">pub.1189843170</t>
  </si>
  <si>
    <t xml:space="preserve">Development and reproducibility of a questionnaire to assess drivers and barriers to consuming plant-based alternatives to dairy foods</t>
  </si>
  <si>
    <t xml:space="preserve">As a result of the greater search for alternative versions to animal-based products, food industries have been innovating and increasing the supply of plant-based alternatives to milk and dairy products (PBAMD). However, studies to evaluate why people consume plant-based products to replace cow's milk and dairy are lacking. This study aims to develop a questionnaire to assess consumers’ attitudes towards and barriers and drivers to consuming sustainable food and plant-based analogues to dairy products and translate it into Danish and Brazilian Portuguese. This experimental study was performed in two main steps: (i) development of the instrument: problem formulation, literature search, development of the questions, internal review, translation and back translation, regional adaptations; (ii) reproducibility test: Test-retest study and statistical analysis. The instruments tested in Denmark and Brazil regarding reproducibility using the test-retest. For variables on a continuous scale, where respondents answered with a visual analogue scale (VAS) (from 0 to 100), the intraclass correlation coefficient (ICC) was used, and for ordinal variables, test-retest agreement was assessed using a weighted kappa coefficient. The developed questionnaire consisted of 27 questions covering socio-demographics, dietary patterns, adoption of sustainable eating habits, consumption of plant-based substitutes for cow's milk and its derivatives, and acceptance. The original questionnaire (English) was successfully translated into Danish and Brazilian Portuguese. The reproducibility results showed 68/86 and 65/86 with good agreement in Denmark and Brazil, respectively. This study developed a questionnaire to assess drivers and barriers to consuming plant-based alternatives to milk and dairy, translated and adapted to different social-cultural contexts.</t>
  </si>
  <si>
    <t xml:space="preserve">The paper develops and validates a questionnaire to assess consumer attitudes, drivers, and barriers to consuming plant-based dairy alternatives, which is directly focused on consumer behaviour research methodology.</t>
  </si>
  <si>
    <t xml:space="preserve">pub.1187762379</t>
  </si>
  <si>
    <t xml:space="preserve">Plant-Based Alternatives to Meat Products</t>
  </si>
  <si>
    <t xml:space="preserve">Animal proteins have been used in the formulation and production of food products for many centuries, which has mainly been attributed to their excellent functional properties. However, the rearing of animals has been associated with an increased emission of greenhouse gases that contributes to global warming and climate change. Consequently, there has been a drive toward using alternative proteins, such as those from plant origins, which have been found to be more sustainable. A climate-smart strategy to contribute toward a reduction in meat consumption has been the formulation of plant-based meat analogues. The lower acceptance of these meat substitutes is mainly attributed to their sensorial, nutritional, and textural properties, which fail to resemble conventional meat. As such, there is a knowledge gap in understanding key aspects that come into play while formulating meat alternatives from plant sources by deciphering the link between the techno-functional attributes of protein and the various quality attributes of these food products. Therefore, this review aims to discuss the technical advances that have been made when it comes to plant-based meat substitutes that could drive consumer acceptance. There is also a huge impetus to diversify plant protein usage in meat analogues beyond soy and pea, which requires the applications of underutilised plant proteins to overcome their functional and organoleptic shortcomings, as well as the techno-economic challenges that have also been addressed in this work. Additionally, the nutritional equivalency of plant-based meat alternatives is reviewed, and the ways in which these products have been fabricated are discussed to assess the opportunities and challenges that exist in current product formulations. Other key determinants, such as environmental sustainability factors, prospective supply chain issues, and the market adoptability of plant-based meat alternatives, are also discussed. This review emphasises the fact that interlinking technical challenges with consumer insights and socioeconomic perspectives for protein transition is critical to ensure that innovations successfully land in the market.</t>
  </si>
  <si>
    <t xml:space="preserve">This is a broad review article covering numerous aspects of plant-based meat alternatives including functional properties, texturization, nutrition, sustainability, supply chain, and market adoption, making it a catch-all 'Other'; the closest specific focus is on finished product formulation and quality attributes of meat analogues.</t>
  </si>
  <si>
    <t xml:space="preserve">pub.1186730291</t>
  </si>
  <si>
    <t xml:space="preserve">Food-feed nexus in the agrifood chain – Quantification and alternatives assessed using a novel protein flow analysis on a systemic level</t>
  </si>
  <si>
    <t xml:space="preserve">Sustainable food systems are one of the primary goals within the EU's Green Deal. To achieve and benchmark this, proteins should be traceable throughout the system. This study achieves this with a novel layered analysis approach, treating crude protein as a traceable property within the Flemish agri-food system, revealing a complex protein network. Protein efficiency indicators highlight the competition between food and feed. This study found that only 24 % of processed food protein reaches consumers, with the remainder sent to residual streams. In Flanders, pork is the most dominant animal protein produced, followed by dairy, which produced 75 % of cattle output, and poultry, where eggs made up 7.5 % of the animal protein supplied to retail. To maintain the current means of livestock production, 21-34 % of the protein input in the form of feed consists of protein that could be food instead. Feed production depends on protein-containing residual streams, revealing a tightly interdependent protein network. The study highlights the ratios of non-humanly digestible to digestible protein in pork (66:34), poultry (75:25), and cattle (79:21). The results propose a scenario where a decrease in pork production could reduce imported feed demand (12 %) while having a 7 % increase in by-product generation. A further 11 % decrease in animal protein to retail is seen, while a 29 % increase in plant protein availability to retail is observed, with notable differences in protein quality between plant and animal sources. In conclusion, this study unveils the protein dynamics in Flanders' agri-food system, emphasizing the importance of optimizing protein allocation, mainly through strategic adjustments in pork production, while grappling with balancing nutritional efficiency and quality in animal products.</t>
  </si>
  <si>
    <t xml:space="preserve">The paper conducts a novel quantitative protein flow analysis of the Flemish agri-food system, assessing systemic protein allocation, efficiency indicators, and scenario impacts — a structured system-level impact assessment; secondary health/nutrition considerations arise from protein quality and nutritional efficiency comparisons between plant and animal sources.</t>
  </si>
  <si>
    <t xml:space="preserve">pub.1187441388</t>
  </si>
  <si>
    <t xml:space="preserve">Exploring the Nutritional Profile and Cost of Plant-Based Milk Alternatives Compared with Dairy Milk in the UK with Consideration of Environmental Impact Data</t>
  </si>
  <si>
    <t xml:space="preserve">Background: Plant-based milk alternatives (PBMA) are increasingly popular, driven by medical, environmental, or moralistic reasons or perceived health benefit.
Objectives: This study aimed to compare the nutritional profile, cost, and environmental impact of all PBMA and dairy milk (DM) in the United Kingdom.
Methods: Nutritional information, ingredients, and cost of PBMA (n = 191) and DM (n = 195) were systematically collected from the top 10 supermarkets. Published data on the environmental impact of foods were assessed. Milk was classified per 100 mL by energy (kcal), macronutrients (g), and micronutrients (mg, μg) and mean/median were compared between PBMA and DM. Further analysis stratified milks by DM fat profile. PBMA were categorized according to NOVA criteria. Cost per 1 L and environmental impact were compared for PBMA and DM.
Results: PBMA with a similar fat profile to "semi-skimmed" milk had a significantly lower energy content (P &lt; 0.001) and most (except coconut) had a significantly lower saturated fat content than DM. DM provided more protein, carbohydrate, total sugar, and salt and PBMA provided more fiber and total vitamin D. In total, 92% of nonorganic PBMA were fortified with ≥1 micronutrient; 87% with calcium, 34% iodine, 79% vitamin B12, and 56% vitamin B2. PBMA contained between 2% and 16.5% of the "main ingredient," e.g. "oats." Of nonorganic PBMA, 97% were classified as "ultraprocessed." On mean, PBMA (£1.95/L) cost 64% more than DM (£1.19/L). Environmental analysis was conducted but not considered sufficiently robust to draw meaningful results (Appendix A).
Conclusions: PBMA cannot be recommended as a nutritional replacement for DM, due to varying nutritional profiles. However, some PBMA will be more beneficial than others depending on an individual's health needs. Cow milk is cheaper than PBMA. Further understanding of the potential health impacts of consuming PBMA is warranted. There is a need for robust, primary research on the environmental impacts of foods.</t>
  </si>
  <si>
    <t xml:space="preserve">The study systematically collects and compares nutritional profiles, costs, and environmental data of commercial plant-based milk alternatives versus dairy milk across UK supermarkets, functioning primarily as a market survey and nutritional benchmarking study, with health and nutrition implications as the secondary focus.</t>
  </si>
  <si>
    <t xml:space="preserve">Update consumer &amp; market research to exclude nutritional / compositional comparisons.</t>
  </si>
  <si>
    <t xml:space="preserve">pub.1184116966</t>
  </si>
  <si>
    <t xml:space="preserve">Modeling Vitamin D Fortification Scenarios for the Australian Population</t>
  </si>
  <si>
    <t xml:space="preserve">BACKGROUND: Low vitamin D status (circulating 25-hydroxyvitamin D concentration &lt;50 nmol/L) is prevalent in Australia, and 95% of Australians have been estimated to have low vitamin D intake (mean range 1.8-3.2 μg/d). Increasing the dietary supply of vitamin D could improve vitamin D status across the population.
OBJECTIVES: We modeled 4 vitamin D fortification scenarios to support useful and safe fortification strategies for Australia.
METHODS: We used cross-sectional food consumption data from the 2011-2012 National Nutrition and Physical Activity Survey (n = 12,153 aged 2-85 y) and analytical food composition data. Scenario 1 modeled the systematic addition of the maximum permitted amount of vitamin D to all foods for which vitamin D fortification is mandated (edible oil spreads) or optional (dairy products/plant-based alternatives, formulated beverages, permitted ready-to-eat breakfast cereals). Scenarios 2-4 modeled the addition of vitamin D to edible oil spreads and fluid milk/alternatives at higher concentrations than permitted and the addition of the maximum permitted amount to scenario 2, dairy products/alternatives other than fluid milk, formulated beverages; scenario 3: scenario 2 plus eligible ready-to-eat breakfast cereals; scenario 4: scenario 3 plus bread (not permitted for vitamin D fortification in Australia). We used the National Cancer Institute method to model the usual intake of vitamin D for each scenario by sex and age group. Dietary adequacy and safety were assessed using the North American Estimated Average Requirement (10 μg/d) and the Australian upper level of intake (80 μg/d).
RESULTS: Under scenarios 1-4, respectively, the projected proportion of Australians with vitamin D intake &lt;10 μg/d was 80%, 84%, 73%, and 60%. No participant exceeded the upper level of intake under any scenario.
CONCLUSIONS: A systematic fortification strategy could support a nutritionally meaningful improvement in vitamin D intake across the Australian population. An optimal strategy would require amendments to the Australia New Zealand Food Standards Code.</t>
  </si>
  <si>
    <t xml:space="preserve">The paper models population-level vitamin D intake outcomes under different fortification scenarios, with the primary endpoint being dietary adequacy and safety (a health/nutrition outcome), while the structured scenario-based policy modeling also resembles an impact assessment framework.</t>
  </si>
  <si>
    <t xml:space="preserve">Should be health &amp; nutrition – population-level dietary adequacy, not directly informing end product formulation.</t>
  </si>
  <si>
    <t xml:space="preserve">n</t>
  </si>
  <si>
    <t xml:space="preserve">top2_correct</t>
  </si>
  <si>
    <t xml:space="preserve">primary_acc</t>
  </si>
  <si>
    <t xml:space="preserve">top2_acc</t>
  </si>
  <si>
    <t xml:space="preserve">100%</t>
  </si>
  <si>
    <t xml:space="preserve">80%</t>
  </si>
  <si>
    <t xml:space="preserve">86%</t>
  </si>
  <si>
    <t xml:space="preserve">metric</t>
  </si>
  <si>
    <t xml:space="preserve">value</t>
  </si>
  <si>
    <t xml:space="preserve">top1_accuracy</t>
  </si>
  <si>
    <t xml:space="preserve">97%</t>
  </si>
  <si>
    <t xml:space="preserve">top2_accuracy</t>
  </si>
  <si>
    <t xml:space="preserve">98%</t>
  </si>
</sst>
</file>

<file path=xl/styles.xml><?xml version="1.0" encoding="utf-8"?>
<styleSheet xmlns="http://schemas.openxmlformats.org/spreadsheetml/2006/main">
  <numFmts count="1">
    <numFmt numFmtId="164" formatCode="General"/>
  </numFmts>
  <fonts count="4">
    <font>
      <sz val="11"/>
      <color theme="1"/>
      <name val="Calibri"/>
      <family val="2"/>
      <charset val="1"/>
    </font>
    <font>
      <sz val="10"/>
      <name val="Arial"/>
      <family val="0"/>
    </font>
    <font>
      <sz val="10"/>
      <name val="Arial"/>
      <family val="0"/>
    </font>
    <font>
      <sz val="10"/>
      <name val="Arial"/>
      <family val="0"/>
    </font>
  </fonts>
  <fills count="4">
    <fill>
      <patternFill patternType="none"/>
    </fill>
    <fill>
      <patternFill patternType="gray125"/>
    </fill>
    <fill>
      <patternFill patternType="solid">
        <fgColor rgb="FFFF0000"/>
        <bgColor rgb="FF993300"/>
      </patternFill>
    </fill>
    <fill>
      <patternFill patternType="solid">
        <fgColor rgb="FF81D41A"/>
        <bgColor rgb="FF96969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1"/>
  <sheetViews>
    <sheetView showFormulas="false" showGridLines="true" showRowColHeaders="true" showZeros="true" rightToLeft="false" tabSelected="true" showOutlineSymbols="true" defaultGridColor="true" view="normal" topLeftCell="A100" colorId="64" zoomScale="100" zoomScaleNormal="100" zoomScalePageLayoutView="100" workbookViewId="0">
      <selection pane="topLeft" activeCell="N8" activeCellId="0" sqref="N8"/>
    </sheetView>
  </sheetViews>
  <sheetFormatPr defaultColWidth="8.34375" defaultRowHeight="15" customHeight="false" zeroHeight="false" outlineLevelRow="0" outlineLevelCol="0"/>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row>
    <row r="2" customFormat="false" ht="15" hidden="false" customHeight="false" outlineLevel="0" collapsed="false">
      <c r="A2" s="1" t="s">
        <v>10</v>
      </c>
      <c r="B2" s="1" t="s">
        <v>11</v>
      </c>
      <c r="C2" s="1" t="s">
        <v>12</v>
      </c>
      <c r="D2" s="1" t="s">
        <v>13</v>
      </c>
      <c r="E2" s="1" t="s">
        <v>14</v>
      </c>
      <c r="F2" s="1" t="s">
        <v>14</v>
      </c>
      <c r="G2" s="1" t="s">
        <v>15</v>
      </c>
      <c r="H2" s="1" t="s">
        <v>16</v>
      </c>
      <c r="I2" s="2" t="b">
        <f aca="false">TRUE()</f>
        <v>1</v>
      </c>
      <c r="J2" s="2" t="b">
        <f aca="false">TRUE()</f>
        <v>1</v>
      </c>
    </row>
    <row r="3" customFormat="false" ht="15" hidden="false" customHeight="false" outlineLevel="0" collapsed="false">
      <c r="A3" s="1" t="s">
        <v>17</v>
      </c>
      <c r="B3" s="1" t="s">
        <v>18</v>
      </c>
      <c r="C3" s="1" t="s">
        <v>19</v>
      </c>
      <c r="D3" s="1" t="s">
        <v>13</v>
      </c>
      <c r="E3" s="1" t="s">
        <v>20</v>
      </c>
      <c r="F3" s="1" t="s">
        <v>20</v>
      </c>
      <c r="G3" s="1" t="s">
        <v>15</v>
      </c>
      <c r="H3" s="1" t="s">
        <v>21</v>
      </c>
      <c r="I3" s="2" t="b">
        <f aca="false">TRUE()</f>
        <v>1</v>
      </c>
      <c r="J3" s="2" t="b">
        <f aca="false">TRUE()</f>
        <v>1</v>
      </c>
    </row>
    <row r="4" customFormat="false" ht="15" hidden="false" customHeight="false" outlineLevel="0" collapsed="false">
      <c r="A4" s="1" t="s">
        <v>22</v>
      </c>
      <c r="B4" s="1" t="s">
        <v>23</v>
      </c>
      <c r="C4" s="1" t="s">
        <v>24</v>
      </c>
      <c r="D4" s="1" t="s">
        <v>13</v>
      </c>
      <c r="E4" s="1" t="s">
        <v>25</v>
      </c>
      <c r="F4" s="1" t="s">
        <v>25</v>
      </c>
      <c r="G4" s="1" t="s">
        <v>26</v>
      </c>
      <c r="H4" s="1" t="s">
        <v>27</v>
      </c>
      <c r="I4" s="2" t="b">
        <f aca="false">TRUE()</f>
        <v>1</v>
      </c>
      <c r="J4" s="2" t="b">
        <f aca="false">TRUE()</f>
        <v>1</v>
      </c>
    </row>
    <row r="5" customFormat="false" ht="15" hidden="false" customHeight="false" outlineLevel="0" collapsed="false">
      <c r="A5" s="1" t="s">
        <v>28</v>
      </c>
      <c r="B5" s="1" t="s">
        <v>29</v>
      </c>
      <c r="C5" s="1" t="s">
        <v>30</v>
      </c>
      <c r="D5" s="1" t="s">
        <v>13</v>
      </c>
      <c r="E5" s="1" t="s">
        <v>15</v>
      </c>
      <c r="F5" s="1" t="s">
        <v>15</v>
      </c>
      <c r="G5" s="1" t="s">
        <v>26</v>
      </c>
      <c r="H5" s="1" t="s">
        <v>31</v>
      </c>
      <c r="I5" s="2" t="b">
        <f aca="false">TRUE()</f>
        <v>1</v>
      </c>
      <c r="J5" s="2" t="b">
        <f aca="false">TRUE()</f>
        <v>1</v>
      </c>
    </row>
    <row r="6" customFormat="false" ht="15" hidden="false" customHeight="false" outlineLevel="0" collapsed="false">
      <c r="A6" s="1" t="s">
        <v>32</v>
      </c>
      <c r="B6" s="1" t="s">
        <v>33</v>
      </c>
      <c r="C6" s="1" t="s">
        <v>34</v>
      </c>
      <c r="D6" s="1" t="s">
        <v>13</v>
      </c>
      <c r="E6" s="1" t="s">
        <v>14</v>
      </c>
      <c r="F6" s="1" t="s">
        <v>14</v>
      </c>
      <c r="G6" s="1" t="s">
        <v>35</v>
      </c>
      <c r="H6" s="1" t="s">
        <v>36</v>
      </c>
      <c r="I6" s="2" t="b">
        <f aca="false">TRUE()</f>
        <v>1</v>
      </c>
      <c r="J6" s="2" t="b">
        <f aca="false">TRUE()</f>
        <v>1</v>
      </c>
    </row>
    <row r="7" customFormat="false" ht="15" hidden="false" customHeight="false" outlineLevel="0" collapsed="false">
      <c r="A7" s="1" t="s">
        <v>37</v>
      </c>
      <c r="B7" s="1" t="s">
        <v>38</v>
      </c>
      <c r="C7" s="1" t="s">
        <v>39</v>
      </c>
      <c r="D7" s="1" t="s">
        <v>13</v>
      </c>
      <c r="E7" s="1" t="s">
        <v>40</v>
      </c>
      <c r="F7" s="1" t="s">
        <v>40</v>
      </c>
      <c r="G7" s="1" t="s">
        <v>15</v>
      </c>
      <c r="H7" s="1" t="s">
        <v>41</v>
      </c>
      <c r="I7" s="2" t="b">
        <f aca="false">TRUE()</f>
        <v>1</v>
      </c>
      <c r="J7" s="2" t="b">
        <f aca="false">TRUE()</f>
        <v>1</v>
      </c>
    </row>
    <row r="8" customFormat="false" ht="15" hidden="false" customHeight="false" outlineLevel="0" collapsed="false">
      <c r="A8" s="1" t="s">
        <v>42</v>
      </c>
      <c r="B8" s="1" t="s">
        <v>43</v>
      </c>
      <c r="C8" s="1" t="s">
        <v>44</v>
      </c>
      <c r="D8" s="1" t="s">
        <v>13</v>
      </c>
      <c r="E8" s="1" t="s">
        <v>14</v>
      </c>
      <c r="F8" s="1" t="s">
        <v>14</v>
      </c>
      <c r="G8" s="1" t="s">
        <v>15</v>
      </c>
      <c r="H8" s="1" t="s">
        <v>45</v>
      </c>
      <c r="I8" s="2" t="b">
        <f aca="false">TRUE()</f>
        <v>1</v>
      </c>
      <c r="J8" s="2" t="b">
        <f aca="false">TRUE()</f>
        <v>1</v>
      </c>
    </row>
    <row r="9" customFormat="false" ht="15" hidden="false" customHeight="false" outlineLevel="0" collapsed="false">
      <c r="A9" s="1" t="s">
        <v>46</v>
      </c>
      <c r="B9" s="1" t="s">
        <v>47</v>
      </c>
      <c r="C9" s="1" t="s">
        <v>48</v>
      </c>
      <c r="D9" s="1" t="s">
        <v>13</v>
      </c>
      <c r="E9" s="1" t="s">
        <v>25</v>
      </c>
      <c r="F9" s="1" t="s">
        <v>25</v>
      </c>
      <c r="G9" s="1" t="s">
        <v>26</v>
      </c>
      <c r="H9" s="1" t="s">
        <v>49</v>
      </c>
      <c r="I9" s="2" t="b">
        <f aca="false">TRUE()</f>
        <v>1</v>
      </c>
      <c r="J9" s="2" t="b">
        <f aca="false">TRUE()</f>
        <v>1</v>
      </c>
    </row>
    <row r="10" customFormat="false" ht="15" hidden="false" customHeight="false" outlineLevel="0" collapsed="false">
      <c r="A10" s="1" t="s">
        <v>50</v>
      </c>
      <c r="B10" s="1" t="s">
        <v>51</v>
      </c>
      <c r="C10" s="1" t="s">
        <v>52</v>
      </c>
      <c r="D10" s="1" t="s">
        <v>13</v>
      </c>
      <c r="E10" s="1" t="s">
        <v>25</v>
      </c>
      <c r="F10" s="1" t="s">
        <v>25</v>
      </c>
      <c r="G10" s="1" t="s">
        <v>35</v>
      </c>
      <c r="H10" s="1" t="s">
        <v>53</v>
      </c>
      <c r="I10" s="2" t="b">
        <f aca="false">TRUE()</f>
        <v>1</v>
      </c>
      <c r="J10" s="2" t="b">
        <f aca="false">TRUE()</f>
        <v>1</v>
      </c>
    </row>
    <row r="11" customFormat="false" ht="15" hidden="false" customHeight="false" outlineLevel="0" collapsed="false">
      <c r="A11" s="1" t="s">
        <v>54</v>
      </c>
      <c r="B11" s="1" t="s">
        <v>55</v>
      </c>
      <c r="C11" s="1" t="s">
        <v>56</v>
      </c>
      <c r="D11" s="1" t="s">
        <v>13</v>
      </c>
      <c r="E11" s="1" t="s">
        <v>57</v>
      </c>
      <c r="F11" s="1" t="s">
        <v>57</v>
      </c>
      <c r="G11" s="1" t="s">
        <v>58</v>
      </c>
      <c r="H11" s="1" t="s">
        <v>59</v>
      </c>
      <c r="I11" s="2" t="b">
        <f aca="false">TRUE()</f>
        <v>1</v>
      </c>
      <c r="J11" s="2" t="b">
        <f aca="false">TRUE()</f>
        <v>1</v>
      </c>
    </row>
    <row r="12" customFormat="false" ht="15" hidden="false" customHeight="false" outlineLevel="0" collapsed="false">
      <c r="A12" s="1" t="s">
        <v>60</v>
      </c>
      <c r="B12" s="1" t="s">
        <v>61</v>
      </c>
      <c r="C12" s="1" t="s">
        <v>62</v>
      </c>
      <c r="D12" s="1" t="s">
        <v>13</v>
      </c>
      <c r="E12" s="1" t="s">
        <v>63</v>
      </c>
      <c r="F12" s="1" t="s">
        <v>63</v>
      </c>
      <c r="G12" s="1" t="s">
        <v>25</v>
      </c>
      <c r="H12" s="1" t="s">
        <v>64</v>
      </c>
      <c r="I12" s="2" t="b">
        <f aca="false">TRUE()</f>
        <v>1</v>
      </c>
      <c r="J12" s="2" t="b">
        <f aca="false">TRUE()</f>
        <v>1</v>
      </c>
    </row>
    <row r="13" customFormat="false" ht="15" hidden="false" customHeight="false" outlineLevel="0" collapsed="false">
      <c r="A13" s="1" t="s">
        <v>65</v>
      </c>
      <c r="B13" s="1" t="s">
        <v>66</v>
      </c>
      <c r="C13" s="1" t="s">
        <v>67</v>
      </c>
      <c r="D13" s="1" t="s">
        <v>13</v>
      </c>
      <c r="E13" s="1" t="s">
        <v>25</v>
      </c>
      <c r="F13" s="1" t="s">
        <v>25</v>
      </c>
      <c r="G13" s="1" t="s">
        <v>58</v>
      </c>
      <c r="H13" s="1" t="s">
        <v>68</v>
      </c>
      <c r="I13" s="2" t="b">
        <f aca="false">TRUE()</f>
        <v>1</v>
      </c>
      <c r="J13" s="2" t="b">
        <f aca="false">TRUE()</f>
        <v>1</v>
      </c>
    </row>
    <row r="14" customFormat="false" ht="15" hidden="false" customHeight="false" outlineLevel="0" collapsed="false">
      <c r="A14" s="1" t="s">
        <v>69</v>
      </c>
      <c r="B14" s="1" t="s">
        <v>70</v>
      </c>
      <c r="C14" s="1" t="s">
        <v>71</v>
      </c>
      <c r="D14" s="1" t="s">
        <v>13</v>
      </c>
      <c r="E14" s="1" t="s">
        <v>63</v>
      </c>
      <c r="F14" s="1" t="s">
        <v>63</v>
      </c>
      <c r="G14" s="1" t="s">
        <v>58</v>
      </c>
      <c r="H14" s="1" t="s">
        <v>72</v>
      </c>
      <c r="I14" s="2" t="b">
        <f aca="false">TRUE()</f>
        <v>1</v>
      </c>
      <c r="J14" s="2" t="b">
        <f aca="false">TRUE()</f>
        <v>1</v>
      </c>
    </row>
    <row r="15" customFormat="false" ht="15" hidden="false" customHeight="false" outlineLevel="0" collapsed="false">
      <c r="A15" s="1" t="s">
        <v>73</v>
      </c>
      <c r="B15" s="1" t="s">
        <v>74</v>
      </c>
      <c r="C15" s="1" t="s">
        <v>75</v>
      </c>
      <c r="D15" s="1" t="s">
        <v>13</v>
      </c>
      <c r="E15" s="1" t="s">
        <v>14</v>
      </c>
      <c r="F15" s="1" t="s">
        <v>14</v>
      </c>
      <c r="G15" s="1" t="s">
        <v>15</v>
      </c>
      <c r="H15" s="1" t="s">
        <v>76</v>
      </c>
      <c r="I15" s="2" t="b">
        <f aca="false">TRUE()</f>
        <v>1</v>
      </c>
      <c r="J15" s="2" t="b">
        <f aca="false">TRUE()</f>
        <v>1</v>
      </c>
    </row>
    <row r="16" customFormat="false" ht="15" hidden="false" customHeight="false" outlineLevel="0" collapsed="false">
      <c r="A16" s="1" t="s">
        <v>77</v>
      </c>
      <c r="B16" s="1" t="s">
        <v>78</v>
      </c>
      <c r="C16" s="1" t="s">
        <v>79</v>
      </c>
      <c r="D16" s="1" t="s">
        <v>13</v>
      </c>
      <c r="E16" s="1" t="s">
        <v>20</v>
      </c>
      <c r="F16" s="1" t="s">
        <v>20</v>
      </c>
      <c r="G16" s="1" t="s">
        <v>26</v>
      </c>
      <c r="H16" s="1" t="s">
        <v>80</v>
      </c>
      <c r="I16" s="2" t="b">
        <f aca="false">TRUE()</f>
        <v>1</v>
      </c>
      <c r="J16" s="2" t="b">
        <f aca="false">TRUE()</f>
        <v>1</v>
      </c>
    </row>
    <row r="17" customFormat="false" ht="23.3" hidden="false" customHeight="false" outlineLevel="0" collapsed="false">
      <c r="A17" s="1" t="s">
        <v>81</v>
      </c>
      <c r="B17" s="1" t="s">
        <v>82</v>
      </c>
      <c r="C17" s="3" t="s">
        <v>83</v>
      </c>
      <c r="D17" s="1" t="s">
        <v>13</v>
      </c>
      <c r="E17" s="1" t="s">
        <v>63</v>
      </c>
      <c r="F17" s="1" t="s">
        <v>63</v>
      </c>
      <c r="G17" s="1" t="s">
        <v>20</v>
      </c>
      <c r="H17" s="1" t="s">
        <v>84</v>
      </c>
      <c r="I17" s="2" t="b">
        <f aca="false">TRUE()</f>
        <v>1</v>
      </c>
      <c r="J17" s="2" t="b">
        <f aca="false">TRUE()</f>
        <v>1</v>
      </c>
    </row>
    <row r="18" customFormat="false" ht="15" hidden="false" customHeight="false" outlineLevel="0" collapsed="false">
      <c r="A18" s="1" t="s">
        <v>85</v>
      </c>
      <c r="B18" s="1" t="s">
        <v>86</v>
      </c>
      <c r="C18" s="1" t="s">
        <v>87</v>
      </c>
      <c r="D18" s="1" t="s">
        <v>13</v>
      </c>
      <c r="E18" s="1" t="s">
        <v>40</v>
      </c>
      <c r="F18" s="1" t="s">
        <v>40</v>
      </c>
      <c r="G18" s="1" t="s">
        <v>35</v>
      </c>
      <c r="H18" s="1" t="s">
        <v>88</v>
      </c>
      <c r="I18" s="2" t="b">
        <f aca="false">TRUE()</f>
        <v>1</v>
      </c>
      <c r="J18" s="2" t="b">
        <f aca="false">TRUE()</f>
        <v>1</v>
      </c>
    </row>
    <row r="19" customFormat="false" ht="15" hidden="false" customHeight="false" outlineLevel="0" collapsed="false">
      <c r="A19" s="1" t="s">
        <v>89</v>
      </c>
      <c r="B19" s="1" t="s">
        <v>90</v>
      </c>
      <c r="C19" s="1" t="s">
        <v>91</v>
      </c>
      <c r="D19" s="1" t="s">
        <v>13</v>
      </c>
      <c r="E19" s="1" t="s">
        <v>35</v>
      </c>
      <c r="F19" s="1" t="s">
        <v>35</v>
      </c>
      <c r="G19" s="1" t="s">
        <v>25</v>
      </c>
      <c r="H19" s="1" t="s">
        <v>92</v>
      </c>
      <c r="I19" s="2" t="b">
        <f aca="false">TRUE()</f>
        <v>1</v>
      </c>
      <c r="J19" s="2" t="b">
        <f aca="false">TRUE()</f>
        <v>1</v>
      </c>
    </row>
    <row r="20" customFormat="false" ht="15" hidden="false" customHeight="false" outlineLevel="0" collapsed="false">
      <c r="A20" s="1" t="s">
        <v>93</v>
      </c>
      <c r="B20" s="1" t="s">
        <v>94</v>
      </c>
      <c r="C20" s="1" t="s">
        <v>95</v>
      </c>
      <c r="D20" s="1" t="s">
        <v>13</v>
      </c>
      <c r="E20" s="1" t="s">
        <v>58</v>
      </c>
      <c r="F20" s="1" t="s">
        <v>58</v>
      </c>
      <c r="G20" s="1" t="s">
        <v>63</v>
      </c>
      <c r="H20" s="1" t="s">
        <v>96</v>
      </c>
      <c r="I20" s="2" t="b">
        <f aca="false">TRUE()</f>
        <v>1</v>
      </c>
      <c r="J20" s="2" t="b">
        <f aca="false">TRUE()</f>
        <v>1</v>
      </c>
    </row>
    <row r="21" customFormat="false" ht="15" hidden="false" customHeight="false" outlineLevel="0" collapsed="false">
      <c r="A21" s="1" t="s">
        <v>97</v>
      </c>
      <c r="B21" s="1" t="s">
        <v>98</v>
      </c>
      <c r="C21" s="1" t="s">
        <v>99</v>
      </c>
      <c r="D21" s="1" t="s">
        <v>13</v>
      </c>
      <c r="E21" s="1" t="s">
        <v>26</v>
      </c>
      <c r="F21" s="1" t="s">
        <v>63</v>
      </c>
      <c r="G21" s="1" t="s">
        <v>26</v>
      </c>
      <c r="H21" s="1" t="s">
        <v>100</v>
      </c>
      <c r="I21" s="4" t="b">
        <f aca="false">FALSE()</f>
        <v>0</v>
      </c>
      <c r="J21" s="2" t="b">
        <f aca="false">TRUE()</f>
        <v>1</v>
      </c>
    </row>
    <row r="22" customFormat="false" ht="15" hidden="false" customHeight="false" outlineLevel="0" collapsed="false">
      <c r="A22" s="1" t="s">
        <v>101</v>
      </c>
      <c r="B22" s="1" t="s">
        <v>102</v>
      </c>
      <c r="C22" s="1" t="s">
        <v>103</v>
      </c>
      <c r="D22" s="1" t="s">
        <v>13</v>
      </c>
      <c r="E22" s="1" t="s">
        <v>63</v>
      </c>
      <c r="F22" s="1" t="s">
        <v>63</v>
      </c>
      <c r="G22" s="1" t="s">
        <v>25</v>
      </c>
      <c r="H22" s="1" t="s">
        <v>104</v>
      </c>
      <c r="I22" s="2" t="b">
        <f aca="false">TRUE()</f>
        <v>1</v>
      </c>
      <c r="J22" s="2" t="b">
        <f aca="false">TRUE()</f>
        <v>1</v>
      </c>
    </row>
    <row r="23" customFormat="false" ht="15" hidden="false" customHeight="false" outlineLevel="0" collapsed="false">
      <c r="A23" s="1" t="s">
        <v>105</v>
      </c>
      <c r="B23" s="1" t="s">
        <v>106</v>
      </c>
      <c r="C23" s="1" t="s">
        <v>107</v>
      </c>
      <c r="D23" s="1" t="s">
        <v>13</v>
      </c>
      <c r="E23" s="1" t="s">
        <v>57</v>
      </c>
      <c r="F23" s="1" t="s">
        <v>57</v>
      </c>
      <c r="G23" s="1" t="s">
        <v>63</v>
      </c>
      <c r="H23" s="1" t="s">
        <v>108</v>
      </c>
      <c r="I23" s="2" t="b">
        <f aca="false">TRUE()</f>
        <v>1</v>
      </c>
      <c r="J23" s="2" t="b">
        <f aca="false">TRUE()</f>
        <v>1</v>
      </c>
    </row>
    <row r="24" customFormat="false" ht="15" hidden="false" customHeight="false" outlineLevel="0" collapsed="false">
      <c r="A24" s="1" t="s">
        <v>109</v>
      </c>
      <c r="B24" s="1" t="s">
        <v>110</v>
      </c>
      <c r="C24" s="1" t="s">
        <v>111</v>
      </c>
      <c r="D24" s="1" t="s">
        <v>13</v>
      </c>
      <c r="E24" s="1" t="s">
        <v>25</v>
      </c>
      <c r="F24" s="1" t="s">
        <v>25</v>
      </c>
      <c r="G24" s="1" t="s">
        <v>63</v>
      </c>
      <c r="H24" s="1" t="s">
        <v>112</v>
      </c>
      <c r="I24" s="2" t="b">
        <f aca="false">TRUE()</f>
        <v>1</v>
      </c>
      <c r="J24" s="2" t="b">
        <f aca="false">TRUE()</f>
        <v>1</v>
      </c>
    </row>
    <row r="25" customFormat="false" ht="15" hidden="false" customHeight="false" outlineLevel="0" collapsed="false">
      <c r="A25" s="1" t="s">
        <v>113</v>
      </c>
      <c r="B25" s="1" t="s">
        <v>114</v>
      </c>
      <c r="C25" s="1" t="s">
        <v>115</v>
      </c>
      <c r="D25" s="1" t="s">
        <v>13</v>
      </c>
      <c r="E25" s="1" t="s">
        <v>25</v>
      </c>
      <c r="F25" s="1" t="s">
        <v>25</v>
      </c>
      <c r="G25" s="1" t="s">
        <v>20</v>
      </c>
      <c r="H25" s="1" t="s">
        <v>116</v>
      </c>
      <c r="I25" s="2" t="b">
        <f aca="false">TRUE()</f>
        <v>1</v>
      </c>
      <c r="J25" s="2" t="b">
        <f aca="false">TRUE()</f>
        <v>1</v>
      </c>
    </row>
    <row r="26" customFormat="false" ht="15" hidden="false" customHeight="false" outlineLevel="0" collapsed="false">
      <c r="A26" s="1" t="s">
        <v>117</v>
      </c>
      <c r="B26" s="1" t="s">
        <v>118</v>
      </c>
      <c r="C26" s="1" t="s">
        <v>119</v>
      </c>
      <c r="D26" s="1" t="s">
        <v>13</v>
      </c>
      <c r="E26" s="1" t="s">
        <v>25</v>
      </c>
      <c r="F26" s="1" t="s">
        <v>25</v>
      </c>
      <c r="G26" s="1" t="s">
        <v>63</v>
      </c>
      <c r="H26" s="1" t="s">
        <v>120</v>
      </c>
      <c r="I26" s="2" t="b">
        <f aca="false">TRUE()</f>
        <v>1</v>
      </c>
      <c r="J26" s="2" t="b">
        <f aca="false">TRUE()</f>
        <v>1</v>
      </c>
    </row>
    <row r="27" customFormat="false" ht="15" hidden="false" customHeight="false" outlineLevel="0" collapsed="false">
      <c r="A27" s="1" t="s">
        <v>121</v>
      </c>
      <c r="B27" s="1" t="s">
        <v>122</v>
      </c>
      <c r="C27" s="1" t="s">
        <v>123</v>
      </c>
      <c r="D27" s="1" t="s">
        <v>13</v>
      </c>
      <c r="E27" s="1" t="s">
        <v>40</v>
      </c>
      <c r="F27" s="1" t="s">
        <v>40</v>
      </c>
      <c r="G27" s="1" t="s">
        <v>15</v>
      </c>
      <c r="H27" s="1" t="s">
        <v>124</v>
      </c>
      <c r="I27" s="2" t="b">
        <f aca="false">TRUE()</f>
        <v>1</v>
      </c>
      <c r="J27" s="2" t="b">
        <f aca="false">TRUE()</f>
        <v>1</v>
      </c>
    </row>
    <row r="28" customFormat="false" ht="15" hidden="false" customHeight="false" outlineLevel="0" collapsed="false">
      <c r="A28" s="1" t="s">
        <v>125</v>
      </c>
      <c r="B28" s="1" t="s">
        <v>126</v>
      </c>
      <c r="C28" s="1" t="s">
        <v>127</v>
      </c>
      <c r="D28" s="1" t="s">
        <v>13</v>
      </c>
      <c r="E28" s="1" t="s">
        <v>57</v>
      </c>
      <c r="F28" s="1" t="s">
        <v>57</v>
      </c>
      <c r="G28" s="1" t="s">
        <v>58</v>
      </c>
      <c r="H28" s="1" t="s">
        <v>128</v>
      </c>
      <c r="I28" s="2" t="b">
        <f aca="false">TRUE()</f>
        <v>1</v>
      </c>
      <c r="J28" s="2" t="b">
        <f aca="false">TRUE()</f>
        <v>1</v>
      </c>
    </row>
    <row r="29" customFormat="false" ht="15" hidden="false" customHeight="false" outlineLevel="0" collapsed="false">
      <c r="A29" s="1" t="s">
        <v>129</v>
      </c>
      <c r="B29" s="1" t="s">
        <v>130</v>
      </c>
      <c r="C29" s="1" t="s">
        <v>131</v>
      </c>
      <c r="D29" s="1" t="s">
        <v>13</v>
      </c>
      <c r="E29" s="1" t="s">
        <v>15</v>
      </c>
      <c r="F29" s="1" t="s">
        <v>15</v>
      </c>
      <c r="G29" s="1" t="s">
        <v>57</v>
      </c>
      <c r="H29" s="1" t="s">
        <v>132</v>
      </c>
      <c r="I29" s="2" t="b">
        <f aca="false">TRUE()</f>
        <v>1</v>
      </c>
      <c r="J29" s="2" t="b">
        <f aca="false">TRUE()</f>
        <v>1</v>
      </c>
    </row>
    <row r="30" customFormat="false" ht="15" hidden="false" customHeight="false" outlineLevel="0" collapsed="false">
      <c r="A30" s="1" t="s">
        <v>133</v>
      </c>
      <c r="B30" s="1" t="s">
        <v>134</v>
      </c>
      <c r="C30" s="1" t="s">
        <v>135</v>
      </c>
      <c r="D30" s="1" t="s">
        <v>13</v>
      </c>
      <c r="E30" s="1" t="s">
        <v>26</v>
      </c>
      <c r="F30" s="1" t="s">
        <v>26</v>
      </c>
      <c r="G30" s="1" t="s">
        <v>35</v>
      </c>
      <c r="H30" s="1" t="s">
        <v>136</v>
      </c>
      <c r="I30" s="2" t="b">
        <f aca="false">TRUE()</f>
        <v>1</v>
      </c>
      <c r="J30" s="2" t="b">
        <f aca="false">TRUE()</f>
        <v>1</v>
      </c>
    </row>
    <row r="31" customFormat="false" ht="15" hidden="false" customHeight="false" outlineLevel="0" collapsed="false">
      <c r="A31" s="1" t="s">
        <v>137</v>
      </c>
      <c r="B31" s="1" t="s">
        <v>138</v>
      </c>
      <c r="C31" s="1" t="s">
        <v>139</v>
      </c>
      <c r="D31" s="1" t="s">
        <v>13</v>
      </c>
      <c r="E31" s="1" t="s">
        <v>58</v>
      </c>
      <c r="F31" s="1" t="s">
        <v>58</v>
      </c>
      <c r="G31" s="1" t="s">
        <v>35</v>
      </c>
      <c r="H31" s="1" t="s">
        <v>140</v>
      </c>
      <c r="I31" s="2" t="b">
        <f aca="false">TRUE()</f>
        <v>1</v>
      </c>
      <c r="J31" s="2" t="b">
        <f aca="false">TRUE()</f>
        <v>1</v>
      </c>
    </row>
    <row r="32" customFormat="false" ht="15" hidden="false" customHeight="false" outlineLevel="0" collapsed="false">
      <c r="A32" s="1" t="s">
        <v>141</v>
      </c>
      <c r="B32" s="1" t="s">
        <v>142</v>
      </c>
      <c r="C32" s="1" t="s">
        <v>143</v>
      </c>
      <c r="D32" s="1" t="s">
        <v>13</v>
      </c>
      <c r="E32" s="1" t="s">
        <v>20</v>
      </c>
      <c r="F32" s="1" t="s">
        <v>20</v>
      </c>
      <c r="G32" s="1" t="s">
        <v>40</v>
      </c>
      <c r="H32" s="1" t="s">
        <v>144</v>
      </c>
      <c r="I32" s="2" t="b">
        <f aca="false">TRUE()</f>
        <v>1</v>
      </c>
      <c r="J32" s="2" t="b">
        <f aca="false">TRUE()</f>
        <v>1</v>
      </c>
    </row>
    <row r="33" customFormat="false" ht="15" hidden="false" customHeight="false" outlineLevel="0" collapsed="false">
      <c r="A33" s="1" t="s">
        <v>145</v>
      </c>
      <c r="B33" s="1" t="s">
        <v>146</v>
      </c>
      <c r="C33" s="1" t="s">
        <v>147</v>
      </c>
      <c r="D33" s="1" t="s">
        <v>13</v>
      </c>
      <c r="E33" s="1" t="s">
        <v>25</v>
      </c>
      <c r="F33" s="1" t="s">
        <v>25</v>
      </c>
      <c r="G33" s="1" t="s">
        <v>26</v>
      </c>
      <c r="H33" s="1" t="s">
        <v>148</v>
      </c>
      <c r="I33" s="2" t="b">
        <f aca="false">TRUE()</f>
        <v>1</v>
      </c>
      <c r="J33" s="2" t="b">
        <f aca="false">TRUE()</f>
        <v>1</v>
      </c>
    </row>
    <row r="34" customFormat="false" ht="15" hidden="false" customHeight="false" outlineLevel="0" collapsed="false">
      <c r="A34" s="1" t="s">
        <v>149</v>
      </c>
      <c r="B34" s="1" t="s">
        <v>150</v>
      </c>
      <c r="C34" s="1" t="s">
        <v>151</v>
      </c>
      <c r="D34" s="1" t="s">
        <v>13</v>
      </c>
      <c r="E34" s="1" t="s">
        <v>57</v>
      </c>
      <c r="F34" s="1" t="s">
        <v>57</v>
      </c>
      <c r="G34" s="1" t="s">
        <v>26</v>
      </c>
      <c r="H34" s="1" t="s">
        <v>152</v>
      </c>
      <c r="I34" s="2" t="b">
        <f aca="false">TRUE()</f>
        <v>1</v>
      </c>
      <c r="J34" s="2" t="b">
        <f aca="false">TRUE()</f>
        <v>1</v>
      </c>
    </row>
    <row r="35" customFormat="false" ht="15" hidden="false" customHeight="false" outlineLevel="0" collapsed="false">
      <c r="A35" s="1" t="s">
        <v>153</v>
      </c>
      <c r="B35" s="1" t="s">
        <v>154</v>
      </c>
      <c r="C35" s="1" t="s">
        <v>155</v>
      </c>
      <c r="D35" s="1" t="s">
        <v>13</v>
      </c>
      <c r="E35" s="1" t="s">
        <v>20</v>
      </c>
      <c r="F35" s="1" t="s">
        <v>20</v>
      </c>
      <c r="G35" s="1" t="s">
        <v>58</v>
      </c>
      <c r="H35" s="1" t="s">
        <v>156</v>
      </c>
      <c r="I35" s="2" t="b">
        <f aca="false">TRUE()</f>
        <v>1</v>
      </c>
      <c r="J35" s="2" t="b">
        <f aca="false">TRUE()</f>
        <v>1</v>
      </c>
    </row>
    <row r="36" customFormat="false" ht="15" hidden="false" customHeight="false" outlineLevel="0" collapsed="false">
      <c r="A36" s="1" t="s">
        <v>157</v>
      </c>
      <c r="B36" s="1" t="s">
        <v>158</v>
      </c>
      <c r="C36" s="1" t="s">
        <v>159</v>
      </c>
      <c r="D36" s="1" t="s">
        <v>13</v>
      </c>
      <c r="E36" s="1" t="s">
        <v>40</v>
      </c>
      <c r="F36" s="1" t="s">
        <v>40</v>
      </c>
      <c r="G36" s="1" t="s">
        <v>15</v>
      </c>
      <c r="H36" s="1" t="s">
        <v>160</v>
      </c>
      <c r="I36" s="2" t="b">
        <f aca="false">TRUE()</f>
        <v>1</v>
      </c>
      <c r="J36" s="2" t="b">
        <f aca="false">TRUE()</f>
        <v>1</v>
      </c>
    </row>
    <row r="37" customFormat="false" ht="15" hidden="false" customHeight="false" outlineLevel="0" collapsed="false">
      <c r="A37" s="1" t="s">
        <v>161</v>
      </c>
      <c r="B37" s="1" t="s">
        <v>162</v>
      </c>
      <c r="C37" s="1" t="s">
        <v>163</v>
      </c>
      <c r="D37" s="1" t="s">
        <v>13</v>
      </c>
      <c r="E37" s="1" t="s">
        <v>57</v>
      </c>
      <c r="F37" s="1" t="s">
        <v>57</v>
      </c>
      <c r="G37" s="1" t="s">
        <v>15</v>
      </c>
      <c r="H37" s="1" t="s">
        <v>164</v>
      </c>
      <c r="I37" s="2" t="b">
        <f aca="false">TRUE()</f>
        <v>1</v>
      </c>
      <c r="J37" s="2" t="b">
        <f aca="false">TRUE()</f>
        <v>1</v>
      </c>
    </row>
    <row r="38" customFormat="false" ht="15" hidden="false" customHeight="false" outlineLevel="0" collapsed="false">
      <c r="A38" s="1" t="s">
        <v>165</v>
      </c>
      <c r="B38" s="1" t="s">
        <v>166</v>
      </c>
      <c r="C38" s="1" t="s">
        <v>167</v>
      </c>
      <c r="D38" s="1" t="s">
        <v>13</v>
      </c>
      <c r="E38" s="1" t="s">
        <v>58</v>
      </c>
      <c r="F38" s="1" t="s">
        <v>58</v>
      </c>
      <c r="G38" s="1" t="s">
        <v>35</v>
      </c>
      <c r="H38" s="1" t="s">
        <v>168</v>
      </c>
      <c r="I38" s="2" t="b">
        <f aca="false">TRUE()</f>
        <v>1</v>
      </c>
      <c r="J38" s="2" t="b">
        <f aca="false">TRUE()</f>
        <v>1</v>
      </c>
    </row>
    <row r="39" customFormat="false" ht="15" hidden="false" customHeight="false" outlineLevel="0" collapsed="false">
      <c r="A39" s="1" t="s">
        <v>169</v>
      </c>
      <c r="B39" s="1" t="s">
        <v>170</v>
      </c>
      <c r="C39" s="1" t="s">
        <v>171</v>
      </c>
      <c r="D39" s="1" t="s">
        <v>13</v>
      </c>
      <c r="E39" s="1" t="s">
        <v>40</v>
      </c>
      <c r="F39" s="1" t="s">
        <v>40</v>
      </c>
      <c r="G39" s="1" t="s">
        <v>35</v>
      </c>
      <c r="H39" s="1" t="s">
        <v>172</v>
      </c>
      <c r="I39" s="2" t="b">
        <f aca="false">TRUE()</f>
        <v>1</v>
      </c>
      <c r="J39" s="2" t="b">
        <f aca="false">TRUE()</f>
        <v>1</v>
      </c>
    </row>
    <row r="40" customFormat="false" ht="15" hidden="false" customHeight="false" outlineLevel="0" collapsed="false">
      <c r="A40" s="1" t="s">
        <v>173</v>
      </c>
      <c r="B40" s="1" t="s">
        <v>174</v>
      </c>
      <c r="C40" s="1" t="s">
        <v>175</v>
      </c>
      <c r="D40" s="1" t="s">
        <v>13</v>
      </c>
      <c r="E40" s="1" t="s">
        <v>20</v>
      </c>
      <c r="F40" s="1" t="s">
        <v>20</v>
      </c>
      <c r="G40" s="1" t="s">
        <v>15</v>
      </c>
      <c r="H40" s="1" t="s">
        <v>176</v>
      </c>
      <c r="I40" s="2" t="b">
        <f aca="false">TRUE()</f>
        <v>1</v>
      </c>
      <c r="J40" s="2" t="b">
        <f aca="false">TRUE()</f>
        <v>1</v>
      </c>
    </row>
    <row r="41" customFormat="false" ht="15" hidden="false" customHeight="false" outlineLevel="0" collapsed="false">
      <c r="A41" s="1" t="s">
        <v>177</v>
      </c>
      <c r="B41" s="1" t="s">
        <v>178</v>
      </c>
      <c r="C41" s="1" t="s">
        <v>179</v>
      </c>
      <c r="D41" s="1" t="s">
        <v>13</v>
      </c>
      <c r="E41" s="1" t="s">
        <v>26</v>
      </c>
      <c r="F41" s="1" t="s">
        <v>26</v>
      </c>
      <c r="G41" s="1" t="s">
        <v>14</v>
      </c>
      <c r="H41" s="1" t="s">
        <v>180</v>
      </c>
      <c r="I41" s="2" t="b">
        <f aca="false">TRUE()</f>
        <v>1</v>
      </c>
      <c r="J41" s="2" t="b">
        <f aca="false">TRUE()</f>
        <v>1</v>
      </c>
    </row>
    <row r="42" customFormat="false" ht="15" hidden="false" customHeight="false" outlineLevel="0" collapsed="false">
      <c r="A42" s="1" t="s">
        <v>181</v>
      </c>
      <c r="B42" s="1" t="s">
        <v>182</v>
      </c>
      <c r="C42" s="1" t="s">
        <v>183</v>
      </c>
      <c r="D42" s="1" t="s">
        <v>13</v>
      </c>
      <c r="E42" s="1" t="s">
        <v>57</v>
      </c>
      <c r="F42" s="1" t="s">
        <v>57</v>
      </c>
      <c r="G42" s="1" t="s">
        <v>15</v>
      </c>
      <c r="H42" s="1" t="s">
        <v>184</v>
      </c>
      <c r="I42" s="2" t="b">
        <f aca="false">TRUE()</f>
        <v>1</v>
      </c>
      <c r="J42" s="2" t="b">
        <f aca="false">TRUE()</f>
        <v>1</v>
      </c>
    </row>
    <row r="43" customFormat="false" ht="15" hidden="false" customHeight="false" outlineLevel="0" collapsed="false">
      <c r="A43" s="1" t="s">
        <v>185</v>
      </c>
      <c r="B43" s="1" t="s">
        <v>186</v>
      </c>
      <c r="C43" s="1" t="s">
        <v>187</v>
      </c>
      <c r="D43" s="1" t="s">
        <v>13</v>
      </c>
      <c r="E43" s="1" t="s">
        <v>35</v>
      </c>
      <c r="F43" s="1" t="s">
        <v>35</v>
      </c>
      <c r="G43" s="1" t="s">
        <v>15</v>
      </c>
      <c r="H43" s="1" t="s">
        <v>188</v>
      </c>
      <c r="I43" s="2" t="b">
        <f aca="false">TRUE()</f>
        <v>1</v>
      </c>
      <c r="J43" s="2" t="b">
        <f aca="false">TRUE()</f>
        <v>1</v>
      </c>
    </row>
    <row r="44" customFormat="false" ht="15" hidden="false" customHeight="false" outlineLevel="0" collapsed="false">
      <c r="A44" s="1" t="s">
        <v>189</v>
      </c>
      <c r="B44" s="1" t="s">
        <v>190</v>
      </c>
      <c r="C44" s="1" t="s">
        <v>191</v>
      </c>
      <c r="D44" s="1" t="s">
        <v>13</v>
      </c>
      <c r="E44" s="1" t="s">
        <v>20</v>
      </c>
      <c r="F44" s="1" t="s">
        <v>20</v>
      </c>
      <c r="G44" s="1" t="s">
        <v>35</v>
      </c>
      <c r="H44" s="1" t="s">
        <v>192</v>
      </c>
      <c r="I44" s="2" t="b">
        <f aca="false">TRUE()</f>
        <v>1</v>
      </c>
      <c r="J44" s="2" t="b">
        <f aca="false">TRUE()</f>
        <v>1</v>
      </c>
    </row>
    <row r="45" customFormat="false" ht="15" hidden="false" customHeight="false" outlineLevel="0" collapsed="false">
      <c r="A45" s="1" t="s">
        <v>193</v>
      </c>
      <c r="B45" s="1" t="s">
        <v>194</v>
      </c>
      <c r="C45" s="1" t="s">
        <v>195</v>
      </c>
      <c r="D45" s="1" t="s">
        <v>13</v>
      </c>
      <c r="E45" s="1" t="s">
        <v>20</v>
      </c>
      <c r="F45" s="1" t="s">
        <v>20</v>
      </c>
      <c r="G45" s="1" t="s">
        <v>15</v>
      </c>
      <c r="H45" s="1" t="s">
        <v>196</v>
      </c>
      <c r="I45" s="2" t="b">
        <f aca="false">TRUE()</f>
        <v>1</v>
      </c>
      <c r="J45" s="2" t="b">
        <f aca="false">TRUE()</f>
        <v>1</v>
      </c>
    </row>
    <row r="46" customFormat="false" ht="15" hidden="false" customHeight="false" outlineLevel="0" collapsed="false">
      <c r="A46" s="1" t="s">
        <v>197</v>
      </c>
      <c r="B46" s="1" t="s">
        <v>198</v>
      </c>
      <c r="C46" s="1" t="s">
        <v>199</v>
      </c>
      <c r="D46" s="1" t="s">
        <v>13</v>
      </c>
      <c r="E46" s="1" t="s">
        <v>15</v>
      </c>
      <c r="F46" s="1" t="s">
        <v>15</v>
      </c>
      <c r="G46" s="1" t="s">
        <v>14</v>
      </c>
      <c r="H46" s="1" t="s">
        <v>200</v>
      </c>
      <c r="I46" s="2" t="b">
        <f aca="false">TRUE()</f>
        <v>1</v>
      </c>
      <c r="J46" s="2" t="b">
        <f aca="false">TRUE()</f>
        <v>1</v>
      </c>
    </row>
    <row r="47" customFormat="false" ht="15" hidden="false" customHeight="false" outlineLevel="0" collapsed="false">
      <c r="A47" s="1" t="s">
        <v>201</v>
      </c>
      <c r="B47" s="1" t="s">
        <v>202</v>
      </c>
      <c r="C47" s="1" t="s">
        <v>203</v>
      </c>
      <c r="D47" s="1" t="s">
        <v>13</v>
      </c>
      <c r="E47" s="1" t="s">
        <v>14</v>
      </c>
      <c r="F47" s="1" t="s">
        <v>14</v>
      </c>
      <c r="G47" s="1" t="s">
        <v>35</v>
      </c>
      <c r="H47" s="1" t="s">
        <v>204</v>
      </c>
      <c r="I47" s="2" t="b">
        <f aca="false">TRUE()</f>
        <v>1</v>
      </c>
      <c r="J47" s="2" t="b">
        <f aca="false">TRUE()</f>
        <v>1</v>
      </c>
    </row>
    <row r="48" customFormat="false" ht="15" hidden="false" customHeight="false" outlineLevel="0" collapsed="false">
      <c r="A48" s="1" t="s">
        <v>205</v>
      </c>
      <c r="B48" s="1" t="s">
        <v>206</v>
      </c>
      <c r="C48" s="1" t="s">
        <v>207</v>
      </c>
      <c r="D48" s="1" t="s">
        <v>13</v>
      </c>
      <c r="E48" s="1" t="s">
        <v>63</v>
      </c>
      <c r="F48" s="1" t="s">
        <v>63</v>
      </c>
      <c r="G48" s="1" t="s">
        <v>26</v>
      </c>
      <c r="H48" s="1" t="s">
        <v>208</v>
      </c>
      <c r="I48" s="2" t="b">
        <f aca="false">TRUE()</f>
        <v>1</v>
      </c>
      <c r="J48" s="2" t="b">
        <f aca="false">TRUE()</f>
        <v>1</v>
      </c>
    </row>
    <row r="49" customFormat="false" ht="15" hidden="false" customHeight="false" outlineLevel="0" collapsed="false">
      <c r="A49" s="1" t="s">
        <v>209</v>
      </c>
      <c r="B49" s="1" t="s">
        <v>210</v>
      </c>
      <c r="C49" s="1" t="s">
        <v>211</v>
      </c>
      <c r="D49" s="1" t="s">
        <v>13</v>
      </c>
      <c r="E49" s="1" t="s">
        <v>15</v>
      </c>
      <c r="F49" s="1" t="s">
        <v>15</v>
      </c>
      <c r="G49" s="1" t="s">
        <v>35</v>
      </c>
      <c r="H49" s="1" t="s">
        <v>212</v>
      </c>
      <c r="I49" s="2" t="b">
        <f aca="false">TRUE()</f>
        <v>1</v>
      </c>
      <c r="J49" s="2" t="b">
        <f aca="false">TRUE()</f>
        <v>1</v>
      </c>
    </row>
    <row r="50" customFormat="false" ht="15" hidden="false" customHeight="false" outlineLevel="0" collapsed="false">
      <c r="A50" s="1" t="s">
        <v>213</v>
      </c>
      <c r="B50" s="1" t="s">
        <v>214</v>
      </c>
      <c r="C50" s="1" t="s">
        <v>215</v>
      </c>
      <c r="D50" s="1" t="s">
        <v>13</v>
      </c>
      <c r="E50" s="1" t="s">
        <v>15</v>
      </c>
      <c r="F50" s="1" t="s">
        <v>15</v>
      </c>
      <c r="G50" s="1" t="s">
        <v>35</v>
      </c>
      <c r="H50" s="1" t="s">
        <v>216</v>
      </c>
      <c r="I50" s="2" t="b">
        <f aca="false">TRUE()</f>
        <v>1</v>
      </c>
      <c r="J50" s="2" t="b">
        <f aca="false">TRUE()</f>
        <v>1</v>
      </c>
    </row>
    <row r="51" customFormat="false" ht="15" hidden="false" customHeight="false" outlineLevel="0" collapsed="false">
      <c r="A51" s="1" t="s">
        <v>217</v>
      </c>
      <c r="B51" s="1" t="s">
        <v>218</v>
      </c>
      <c r="C51" s="1" t="s">
        <v>219</v>
      </c>
      <c r="D51" s="1" t="s">
        <v>13</v>
      </c>
      <c r="E51" s="1" t="s">
        <v>26</v>
      </c>
      <c r="F51" s="1" t="s">
        <v>26</v>
      </c>
      <c r="G51" s="1" t="s">
        <v>15</v>
      </c>
      <c r="H51" s="1" t="s">
        <v>220</v>
      </c>
      <c r="I51" s="2" t="b">
        <f aca="false">TRUE()</f>
        <v>1</v>
      </c>
      <c r="J51" s="2" t="b">
        <f aca="false">TRUE()</f>
        <v>1</v>
      </c>
    </row>
    <row r="52" customFormat="false" ht="15" hidden="false" customHeight="false" outlineLevel="0" collapsed="false">
      <c r="A52" s="1" t="s">
        <v>221</v>
      </c>
      <c r="B52" s="1" t="s">
        <v>222</v>
      </c>
      <c r="C52" s="1" t="s">
        <v>223</v>
      </c>
      <c r="D52" s="1" t="s">
        <v>13</v>
      </c>
      <c r="E52" s="1" t="s">
        <v>58</v>
      </c>
      <c r="F52" s="1" t="s">
        <v>58</v>
      </c>
      <c r="G52" s="1" t="s">
        <v>63</v>
      </c>
      <c r="H52" s="1" t="s">
        <v>224</v>
      </c>
      <c r="I52" s="2" t="b">
        <f aca="false">TRUE()</f>
        <v>1</v>
      </c>
      <c r="J52" s="2" t="b">
        <f aca="false">TRUE()</f>
        <v>1</v>
      </c>
    </row>
    <row r="53" customFormat="false" ht="15" hidden="false" customHeight="false" outlineLevel="0" collapsed="false">
      <c r="A53" s="1" t="s">
        <v>225</v>
      </c>
      <c r="B53" s="1" t="s">
        <v>226</v>
      </c>
      <c r="C53" s="1" t="s">
        <v>227</v>
      </c>
      <c r="D53" s="1" t="s">
        <v>13</v>
      </c>
      <c r="E53" s="1" t="s">
        <v>63</v>
      </c>
      <c r="F53" s="1" t="s">
        <v>63</v>
      </c>
      <c r="G53" s="1" t="s">
        <v>58</v>
      </c>
      <c r="H53" s="1" t="s">
        <v>228</v>
      </c>
      <c r="I53" s="2" t="b">
        <f aca="false">TRUE()</f>
        <v>1</v>
      </c>
      <c r="J53" s="2" t="b">
        <f aca="false">TRUE()</f>
        <v>1</v>
      </c>
    </row>
    <row r="54" customFormat="false" ht="15" hidden="false" customHeight="false" outlineLevel="0" collapsed="false">
      <c r="A54" s="1" t="s">
        <v>229</v>
      </c>
      <c r="B54" s="1" t="s">
        <v>230</v>
      </c>
      <c r="C54" s="1" t="s">
        <v>231</v>
      </c>
      <c r="D54" s="1" t="s">
        <v>13</v>
      </c>
      <c r="E54" s="1" t="s">
        <v>40</v>
      </c>
      <c r="F54" s="1" t="s">
        <v>40</v>
      </c>
      <c r="G54" s="1" t="s">
        <v>35</v>
      </c>
      <c r="H54" s="1" t="s">
        <v>232</v>
      </c>
      <c r="I54" s="2" t="b">
        <f aca="false">TRUE()</f>
        <v>1</v>
      </c>
      <c r="J54" s="2" t="b">
        <f aca="false">TRUE()</f>
        <v>1</v>
      </c>
    </row>
    <row r="55" customFormat="false" ht="15" hidden="false" customHeight="false" outlineLevel="0" collapsed="false">
      <c r="A55" s="1" t="s">
        <v>233</v>
      </c>
      <c r="B55" s="1" t="s">
        <v>234</v>
      </c>
      <c r="C55" s="1" t="s">
        <v>235</v>
      </c>
      <c r="D55" s="1" t="s">
        <v>13</v>
      </c>
      <c r="E55" s="1" t="s">
        <v>15</v>
      </c>
      <c r="F55" s="1" t="s">
        <v>15</v>
      </c>
      <c r="G55" s="1" t="s">
        <v>20</v>
      </c>
      <c r="H55" s="1" t="s">
        <v>236</v>
      </c>
      <c r="I55" s="2" t="b">
        <f aca="false">TRUE()</f>
        <v>1</v>
      </c>
      <c r="J55" s="2" t="b">
        <f aca="false">TRUE()</f>
        <v>1</v>
      </c>
    </row>
    <row r="56" customFormat="false" ht="45.1" hidden="false" customHeight="false" outlineLevel="0" collapsed="false">
      <c r="A56" s="1" t="s">
        <v>237</v>
      </c>
      <c r="B56" s="1" t="s">
        <v>238</v>
      </c>
      <c r="C56" s="3" t="s">
        <v>239</v>
      </c>
      <c r="D56" s="1" t="s">
        <v>13</v>
      </c>
      <c r="E56" s="1" t="s">
        <v>57</v>
      </c>
      <c r="F56" s="1" t="s">
        <v>57</v>
      </c>
      <c r="G56" s="1" t="s">
        <v>58</v>
      </c>
      <c r="H56" s="1" t="s">
        <v>240</v>
      </c>
      <c r="I56" s="2" t="b">
        <f aca="false">TRUE()</f>
        <v>1</v>
      </c>
      <c r="J56" s="2" t="b">
        <f aca="false">TRUE()</f>
        <v>1</v>
      </c>
    </row>
    <row r="57" customFormat="false" ht="15" hidden="false" customHeight="false" outlineLevel="0" collapsed="false">
      <c r="A57" s="1" t="s">
        <v>241</v>
      </c>
      <c r="B57" s="1" t="s">
        <v>242</v>
      </c>
      <c r="C57" s="1" t="s">
        <v>243</v>
      </c>
      <c r="D57" s="1" t="s">
        <v>13</v>
      </c>
      <c r="E57" s="1" t="s">
        <v>14</v>
      </c>
      <c r="F57" s="1" t="s">
        <v>14</v>
      </c>
      <c r="G57" s="1" t="s">
        <v>35</v>
      </c>
      <c r="H57" s="1" t="s">
        <v>244</v>
      </c>
      <c r="I57" s="2" t="b">
        <f aca="false">TRUE()</f>
        <v>1</v>
      </c>
      <c r="J57" s="2" t="b">
        <f aca="false">TRUE()</f>
        <v>1</v>
      </c>
    </row>
    <row r="58" customFormat="false" ht="15" hidden="false" customHeight="false" outlineLevel="0" collapsed="false">
      <c r="A58" s="1" t="s">
        <v>245</v>
      </c>
      <c r="B58" s="1" t="s">
        <v>246</v>
      </c>
      <c r="C58" s="1" t="s">
        <v>247</v>
      </c>
      <c r="D58" s="1" t="s">
        <v>13</v>
      </c>
      <c r="E58" s="1" t="s">
        <v>58</v>
      </c>
      <c r="F58" s="1" t="s">
        <v>58</v>
      </c>
      <c r="G58" s="1" t="s">
        <v>35</v>
      </c>
      <c r="H58" s="1" t="s">
        <v>248</v>
      </c>
      <c r="I58" s="2" t="b">
        <f aca="false">TRUE()</f>
        <v>1</v>
      </c>
      <c r="J58" s="2" t="b">
        <f aca="false">TRUE()</f>
        <v>1</v>
      </c>
    </row>
    <row r="59" customFormat="false" ht="15" hidden="false" customHeight="false" outlineLevel="0" collapsed="false">
      <c r="A59" s="1" t="s">
        <v>249</v>
      </c>
      <c r="B59" s="1" t="s">
        <v>250</v>
      </c>
      <c r="C59" s="1" t="s">
        <v>251</v>
      </c>
      <c r="D59" s="1" t="s">
        <v>13</v>
      </c>
      <c r="E59" s="1" t="s">
        <v>14</v>
      </c>
      <c r="F59" s="1" t="s">
        <v>14</v>
      </c>
      <c r="G59" s="1" t="s">
        <v>15</v>
      </c>
      <c r="H59" s="1" t="s">
        <v>252</v>
      </c>
      <c r="I59" s="2" t="b">
        <f aca="false">TRUE()</f>
        <v>1</v>
      </c>
      <c r="J59" s="2" t="b">
        <f aca="false">TRUE()</f>
        <v>1</v>
      </c>
    </row>
    <row r="60" customFormat="false" ht="15" hidden="false" customHeight="false" outlineLevel="0" collapsed="false">
      <c r="A60" s="1" t="s">
        <v>253</v>
      </c>
      <c r="B60" s="1" t="s">
        <v>254</v>
      </c>
      <c r="C60" s="1" t="s">
        <v>255</v>
      </c>
      <c r="D60" s="1" t="s">
        <v>13</v>
      </c>
      <c r="E60" s="1" t="s">
        <v>58</v>
      </c>
      <c r="F60" s="1" t="s">
        <v>58</v>
      </c>
      <c r="G60" s="1" t="s">
        <v>25</v>
      </c>
      <c r="H60" s="1" t="s">
        <v>256</v>
      </c>
      <c r="I60" s="2" t="b">
        <f aca="false">TRUE()</f>
        <v>1</v>
      </c>
      <c r="J60" s="2" t="b">
        <f aca="false">TRUE()</f>
        <v>1</v>
      </c>
    </row>
    <row r="61" customFormat="false" ht="15" hidden="false" customHeight="false" outlineLevel="0" collapsed="false">
      <c r="A61" s="1" t="s">
        <v>257</v>
      </c>
      <c r="B61" s="1" t="s">
        <v>258</v>
      </c>
      <c r="C61" s="1" t="s">
        <v>259</v>
      </c>
      <c r="D61" s="1" t="s">
        <v>13</v>
      </c>
      <c r="E61" s="1" t="s">
        <v>58</v>
      </c>
      <c r="F61" s="1" t="s">
        <v>58</v>
      </c>
      <c r="G61" s="1" t="s">
        <v>63</v>
      </c>
      <c r="H61" s="1" t="s">
        <v>260</v>
      </c>
      <c r="I61" s="2" t="b">
        <f aca="false">TRUE()</f>
        <v>1</v>
      </c>
      <c r="J61" s="2" t="b">
        <f aca="false">TRUE()</f>
        <v>1</v>
      </c>
    </row>
    <row r="62" customFormat="false" ht="15" hidden="false" customHeight="false" outlineLevel="0" collapsed="false">
      <c r="A62" s="1" t="s">
        <v>261</v>
      </c>
      <c r="B62" s="1" t="s">
        <v>262</v>
      </c>
      <c r="C62" s="1" t="s">
        <v>263</v>
      </c>
      <c r="D62" s="1" t="s">
        <v>13</v>
      </c>
      <c r="E62" s="1" t="s">
        <v>35</v>
      </c>
      <c r="F62" s="1" t="s">
        <v>35</v>
      </c>
      <c r="G62" s="1" t="s">
        <v>25</v>
      </c>
      <c r="H62" s="1" t="s">
        <v>264</v>
      </c>
      <c r="I62" s="2" t="b">
        <f aca="false">TRUE()</f>
        <v>1</v>
      </c>
      <c r="J62" s="2" t="b">
        <f aca="false">TRUE()</f>
        <v>1</v>
      </c>
    </row>
    <row r="63" customFormat="false" ht="15" hidden="false" customHeight="false" outlineLevel="0" collapsed="false">
      <c r="A63" s="1" t="s">
        <v>265</v>
      </c>
      <c r="B63" s="1" t="s">
        <v>266</v>
      </c>
      <c r="C63" s="1" t="s">
        <v>267</v>
      </c>
      <c r="D63" s="1" t="s">
        <v>13</v>
      </c>
      <c r="E63" s="1" t="s">
        <v>58</v>
      </c>
      <c r="F63" s="1" t="s">
        <v>58</v>
      </c>
      <c r="G63" s="1" t="s">
        <v>57</v>
      </c>
      <c r="H63" s="1" t="s">
        <v>268</v>
      </c>
      <c r="I63" s="2" t="b">
        <f aca="false">TRUE()</f>
        <v>1</v>
      </c>
      <c r="J63" s="2" t="b">
        <f aca="false">TRUE()</f>
        <v>1</v>
      </c>
    </row>
    <row r="64" customFormat="false" ht="15" hidden="false" customHeight="false" outlineLevel="0" collapsed="false">
      <c r="A64" s="1" t="s">
        <v>269</v>
      </c>
      <c r="B64" s="1" t="s">
        <v>270</v>
      </c>
      <c r="C64" s="1" t="s">
        <v>271</v>
      </c>
      <c r="D64" s="1" t="s">
        <v>13</v>
      </c>
      <c r="E64" s="1" t="s">
        <v>40</v>
      </c>
      <c r="F64" s="1" t="s">
        <v>40</v>
      </c>
      <c r="G64" s="1" t="s">
        <v>35</v>
      </c>
      <c r="H64" s="1" t="s">
        <v>272</v>
      </c>
      <c r="I64" s="2" t="b">
        <f aca="false">TRUE()</f>
        <v>1</v>
      </c>
      <c r="J64" s="2" t="b">
        <f aca="false">TRUE()</f>
        <v>1</v>
      </c>
    </row>
    <row r="65" customFormat="false" ht="15" hidden="false" customHeight="false" outlineLevel="0" collapsed="false">
      <c r="A65" s="1" t="s">
        <v>273</v>
      </c>
      <c r="B65" s="1" t="s">
        <v>274</v>
      </c>
      <c r="C65" s="1" t="s">
        <v>275</v>
      </c>
      <c r="D65" s="1" t="s">
        <v>13</v>
      </c>
      <c r="E65" s="1" t="s">
        <v>40</v>
      </c>
      <c r="F65" s="1" t="s">
        <v>40</v>
      </c>
      <c r="G65" s="1" t="s">
        <v>20</v>
      </c>
      <c r="H65" s="1" t="s">
        <v>276</v>
      </c>
      <c r="I65" s="2" t="b">
        <f aca="false">TRUE()</f>
        <v>1</v>
      </c>
      <c r="J65" s="2" t="b">
        <f aca="false">TRUE()</f>
        <v>1</v>
      </c>
    </row>
    <row r="66" customFormat="false" ht="15" hidden="false" customHeight="false" outlineLevel="0" collapsed="false">
      <c r="A66" s="1" t="s">
        <v>277</v>
      </c>
      <c r="B66" s="1" t="s">
        <v>278</v>
      </c>
      <c r="C66" s="1" t="s">
        <v>279</v>
      </c>
      <c r="D66" s="1" t="s">
        <v>13</v>
      </c>
      <c r="E66" s="1" t="s">
        <v>15</v>
      </c>
      <c r="F66" s="1" t="s">
        <v>15</v>
      </c>
      <c r="G66" s="1" t="s">
        <v>14</v>
      </c>
      <c r="H66" s="1" t="s">
        <v>280</v>
      </c>
      <c r="I66" s="2" t="b">
        <f aca="false">TRUE()</f>
        <v>1</v>
      </c>
      <c r="J66" s="2" t="b">
        <f aca="false">TRUE()</f>
        <v>1</v>
      </c>
    </row>
    <row r="67" customFormat="false" ht="15" hidden="false" customHeight="false" outlineLevel="0" collapsed="false">
      <c r="A67" s="1" t="s">
        <v>281</v>
      </c>
      <c r="B67" s="1" t="s">
        <v>282</v>
      </c>
      <c r="C67" s="1" t="s">
        <v>283</v>
      </c>
      <c r="D67" s="1" t="s">
        <v>13</v>
      </c>
      <c r="E67" s="1" t="s">
        <v>40</v>
      </c>
      <c r="F67" s="1" t="s">
        <v>40</v>
      </c>
      <c r="G67" s="1" t="s">
        <v>35</v>
      </c>
      <c r="H67" s="1" t="s">
        <v>284</v>
      </c>
      <c r="I67" s="2" t="b">
        <f aca="false">TRUE()</f>
        <v>1</v>
      </c>
      <c r="J67" s="2" t="b">
        <f aca="false">TRUE()</f>
        <v>1</v>
      </c>
    </row>
    <row r="68" customFormat="false" ht="15" hidden="false" customHeight="false" outlineLevel="0" collapsed="false">
      <c r="A68" s="1" t="s">
        <v>285</v>
      </c>
      <c r="B68" s="1" t="s">
        <v>286</v>
      </c>
      <c r="C68" s="1" t="s">
        <v>287</v>
      </c>
      <c r="D68" s="1" t="s">
        <v>13</v>
      </c>
      <c r="E68" s="1" t="s">
        <v>20</v>
      </c>
      <c r="F68" s="1" t="s">
        <v>20</v>
      </c>
      <c r="G68" s="1" t="s">
        <v>15</v>
      </c>
      <c r="H68" s="1" t="s">
        <v>288</v>
      </c>
      <c r="I68" s="2" t="b">
        <f aca="false">TRUE()</f>
        <v>1</v>
      </c>
      <c r="J68" s="2" t="b">
        <f aca="false">TRUE()</f>
        <v>1</v>
      </c>
    </row>
    <row r="69" customFormat="false" ht="15" hidden="false" customHeight="false" outlineLevel="0" collapsed="false">
      <c r="A69" s="1" t="s">
        <v>289</v>
      </c>
      <c r="B69" s="1" t="s">
        <v>290</v>
      </c>
      <c r="C69" s="1" t="s">
        <v>291</v>
      </c>
      <c r="D69" s="1" t="s">
        <v>13</v>
      </c>
      <c r="E69" s="1" t="s">
        <v>35</v>
      </c>
      <c r="F69" s="1" t="s">
        <v>35</v>
      </c>
      <c r="G69" s="1" t="s">
        <v>26</v>
      </c>
      <c r="H69" s="1" t="s">
        <v>292</v>
      </c>
      <c r="I69" s="2" t="b">
        <f aca="false">TRUE()</f>
        <v>1</v>
      </c>
      <c r="J69" s="2" t="b">
        <f aca="false">TRUE()</f>
        <v>1</v>
      </c>
    </row>
    <row r="70" customFormat="false" ht="15" hidden="false" customHeight="false" outlineLevel="0" collapsed="false">
      <c r="A70" s="1" t="s">
        <v>293</v>
      </c>
      <c r="B70" s="1" t="s">
        <v>294</v>
      </c>
      <c r="C70" s="1" t="s">
        <v>295</v>
      </c>
      <c r="D70" s="1" t="s">
        <v>13</v>
      </c>
      <c r="E70" s="1" t="s">
        <v>20</v>
      </c>
      <c r="F70" s="1" t="s">
        <v>20</v>
      </c>
      <c r="G70" s="1" t="s">
        <v>15</v>
      </c>
      <c r="H70" s="1" t="s">
        <v>296</v>
      </c>
      <c r="I70" s="2" t="b">
        <f aca="false">TRUE()</f>
        <v>1</v>
      </c>
      <c r="J70" s="2" t="b">
        <f aca="false">TRUE()</f>
        <v>1</v>
      </c>
    </row>
    <row r="71" customFormat="false" ht="15" hidden="false" customHeight="false" outlineLevel="0" collapsed="false">
      <c r="A71" s="1" t="s">
        <v>297</v>
      </c>
      <c r="B71" s="1" t="s">
        <v>298</v>
      </c>
      <c r="C71" s="1" t="s">
        <v>299</v>
      </c>
      <c r="D71" s="1" t="s">
        <v>13</v>
      </c>
      <c r="E71" s="1" t="s">
        <v>26</v>
      </c>
      <c r="F71" s="1" t="s">
        <v>26</v>
      </c>
      <c r="G71" s="1" t="s">
        <v>35</v>
      </c>
      <c r="H71" s="1" t="s">
        <v>300</v>
      </c>
      <c r="I71" s="2" t="b">
        <f aca="false">TRUE()</f>
        <v>1</v>
      </c>
      <c r="J71" s="2" t="b">
        <f aca="false">TRUE()</f>
        <v>1</v>
      </c>
    </row>
    <row r="72" customFormat="false" ht="15" hidden="false" customHeight="false" outlineLevel="0" collapsed="false">
      <c r="A72" s="1" t="s">
        <v>301</v>
      </c>
      <c r="B72" s="1" t="s">
        <v>302</v>
      </c>
      <c r="C72" s="1" t="s">
        <v>303</v>
      </c>
      <c r="D72" s="1" t="s">
        <v>13</v>
      </c>
      <c r="E72" s="1" t="s">
        <v>25</v>
      </c>
      <c r="F72" s="1" t="s">
        <v>25</v>
      </c>
      <c r="G72" s="1" t="s">
        <v>26</v>
      </c>
      <c r="H72" s="1" t="s">
        <v>304</v>
      </c>
      <c r="I72" s="2" t="b">
        <f aca="false">TRUE()</f>
        <v>1</v>
      </c>
      <c r="J72" s="2" t="b">
        <f aca="false">TRUE()</f>
        <v>1</v>
      </c>
    </row>
    <row r="73" customFormat="false" ht="15" hidden="false" customHeight="false" outlineLevel="0" collapsed="false">
      <c r="A73" s="1" t="s">
        <v>305</v>
      </c>
      <c r="B73" s="1" t="s">
        <v>306</v>
      </c>
      <c r="C73" s="1" t="s">
        <v>307</v>
      </c>
      <c r="D73" s="1" t="s">
        <v>13</v>
      </c>
      <c r="E73" s="1" t="s">
        <v>15</v>
      </c>
      <c r="F73" s="1" t="s">
        <v>15</v>
      </c>
      <c r="G73" s="1" t="s">
        <v>57</v>
      </c>
      <c r="H73" s="1" t="s">
        <v>308</v>
      </c>
      <c r="I73" s="2" t="b">
        <f aca="false">TRUE()</f>
        <v>1</v>
      </c>
      <c r="J73" s="2" t="b">
        <f aca="false">TRUE()</f>
        <v>1</v>
      </c>
    </row>
    <row r="74" customFormat="false" ht="15" hidden="false" customHeight="false" outlineLevel="0" collapsed="false">
      <c r="A74" s="1" t="s">
        <v>309</v>
      </c>
      <c r="B74" s="1" t="s">
        <v>310</v>
      </c>
      <c r="C74" s="1" t="s">
        <v>311</v>
      </c>
      <c r="D74" s="1" t="s">
        <v>13</v>
      </c>
      <c r="E74" s="1" t="s">
        <v>14</v>
      </c>
      <c r="F74" s="1" t="s">
        <v>14</v>
      </c>
      <c r="G74" s="1" t="s">
        <v>35</v>
      </c>
      <c r="H74" s="1" t="s">
        <v>312</v>
      </c>
      <c r="I74" s="2" t="b">
        <f aca="false">TRUE()</f>
        <v>1</v>
      </c>
      <c r="J74" s="2" t="b">
        <f aca="false">TRUE()</f>
        <v>1</v>
      </c>
    </row>
    <row r="75" customFormat="false" ht="15" hidden="false" customHeight="false" outlineLevel="0" collapsed="false">
      <c r="A75" s="1" t="s">
        <v>313</v>
      </c>
      <c r="B75" s="1" t="s">
        <v>314</v>
      </c>
      <c r="C75" s="1" t="s">
        <v>315</v>
      </c>
      <c r="D75" s="1" t="s">
        <v>13</v>
      </c>
      <c r="E75" s="1" t="s">
        <v>35</v>
      </c>
      <c r="F75" s="1" t="s">
        <v>35</v>
      </c>
      <c r="G75" s="1" t="s">
        <v>15</v>
      </c>
      <c r="H75" s="1" t="s">
        <v>316</v>
      </c>
      <c r="I75" s="2" t="b">
        <f aca="false">TRUE()</f>
        <v>1</v>
      </c>
      <c r="J75" s="2" t="b">
        <f aca="false">TRUE()</f>
        <v>1</v>
      </c>
    </row>
    <row r="76" customFormat="false" ht="15" hidden="false" customHeight="false" outlineLevel="0" collapsed="false">
      <c r="A76" s="1" t="s">
        <v>317</v>
      </c>
      <c r="B76" s="1" t="s">
        <v>318</v>
      </c>
      <c r="C76" s="1" t="s">
        <v>319</v>
      </c>
      <c r="D76" s="1" t="s">
        <v>13</v>
      </c>
      <c r="E76" s="1" t="s">
        <v>15</v>
      </c>
      <c r="F76" s="1" t="s">
        <v>15</v>
      </c>
      <c r="G76" s="1" t="s">
        <v>26</v>
      </c>
      <c r="H76" s="1" t="s">
        <v>320</v>
      </c>
      <c r="I76" s="2" t="b">
        <f aca="false">TRUE()</f>
        <v>1</v>
      </c>
      <c r="J76" s="2" t="b">
        <f aca="false">TRUE()</f>
        <v>1</v>
      </c>
    </row>
    <row r="77" customFormat="false" ht="15" hidden="false" customHeight="false" outlineLevel="0" collapsed="false">
      <c r="A77" s="1" t="s">
        <v>321</v>
      </c>
      <c r="B77" s="1" t="s">
        <v>322</v>
      </c>
      <c r="C77" s="1" t="s">
        <v>323</v>
      </c>
      <c r="D77" s="1" t="s">
        <v>13</v>
      </c>
      <c r="E77" s="1" t="s">
        <v>58</v>
      </c>
      <c r="F77" s="1" t="s">
        <v>58</v>
      </c>
      <c r="G77" s="1" t="s">
        <v>25</v>
      </c>
      <c r="H77" s="1" t="s">
        <v>324</v>
      </c>
      <c r="I77" s="2" t="b">
        <f aca="false">TRUE()</f>
        <v>1</v>
      </c>
      <c r="J77" s="2" t="b">
        <f aca="false">TRUE()</f>
        <v>1</v>
      </c>
    </row>
    <row r="78" customFormat="false" ht="15" hidden="false" customHeight="false" outlineLevel="0" collapsed="false">
      <c r="A78" s="1" t="s">
        <v>325</v>
      </c>
      <c r="B78" s="1" t="s">
        <v>326</v>
      </c>
      <c r="C78" s="1" t="s">
        <v>327</v>
      </c>
      <c r="D78" s="1" t="s">
        <v>13</v>
      </c>
      <c r="E78" s="1" t="s">
        <v>25</v>
      </c>
      <c r="F78" s="1" t="s">
        <v>25</v>
      </c>
      <c r="G78" s="1" t="s">
        <v>35</v>
      </c>
      <c r="H78" s="1" t="s">
        <v>328</v>
      </c>
      <c r="I78" s="2" t="b">
        <f aca="false">TRUE()</f>
        <v>1</v>
      </c>
      <c r="J78" s="2" t="b">
        <f aca="false">TRUE()</f>
        <v>1</v>
      </c>
    </row>
    <row r="79" customFormat="false" ht="15" hidden="false" customHeight="false" outlineLevel="0" collapsed="false">
      <c r="A79" s="1" t="s">
        <v>329</v>
      </c>
      <c r="B79" s="1" t="s">
        <v>330</v>
      </c>
      <c r="C79" s="1" t="s">
        <v>331</v>
      </c>
      <c r="D79" s="1" t="s">
        <v>13</v>
      </c>
      <c r="E79" s="1" t="s">
        <v>15</v>
      </c>
      <c r="F79" s="1" t="s">
        <v>15</v>
      </c>
      <c r="G79" s="1" t="s">
        <v>40</v>
      </c>
      <c r="H79" s="1" t="s">
        <v>332</v>
      </c>
      <c r="I79" s="2" t="b">
        <f aca="false">TRUE()</f>
        <v>1</v>
      </c>
      <c r="J79" s="2" t="b">
        <f aca="false">TRUE()</f>
        <v>1</v>
      </c>
    </row>
    <row r="80" customFormat="false" ht="15" hidden="false" customHeight="false" outlineLevel="0" collapsed="false">
      <c r="A80" s="1" t="s">
        <v>333</v>
      </c>
      <c r="B80" s="1" t="s">
        <v>334</v>
      </c>
      <c r="C80" s="1" t="s">
        <v>335</v>
      </c>
      <c r="D80" s="1" t="s">
        <v>13</v>
      </c>
      <c r="E80" s="1" t="s">
        <v>15</v>
      </c>
      <c r="F80" s="1" t="s">
        <v>15</v>
      </c>
      <c r="G80" s="1" t="s">
        <v>35</v>
      </c>
      <c r="H80" s="1" t="s">
        <v>336</v>
      </c>
      <c r="I80" s="2" t="b">
        <f aca="false">TRUE()</f>
        <v>1</v>
      </c>
      <c r="J80" s="2" t="b">
        <f aca="false">TRUE()</f>
        <v>1</v>
      </c>
    </row>
    <row r="81" customFormat="false" ht="15" hidden="false" customHeight="false" outlineLevel="0" collapsed="false">
      <c r="A81" s="1" t="s">
        <v>337</v>
      </c>
      <c r="B81" s="1" t="s">
        <v>338</v>
      </c>
      <c r="C81" s="1" t="s">
        <v>339</v>
      </c>
      <c r="D81" s="1" t="s">
        <v>13</v>
      </c>
      <c r="E81" s="1" t="s">
        <v>25</v>
      </c>
      <c r="F81" s="1" t="s">
        <v>25</v>
      </c>
      <c r="G81" s="1" t="s">
        <v>63</v>
      </c>
      <c r="H81" s="1" t="s">
        <v>340</v>
      </c>
      <c r="I81" s="2" t="b">
        <f aca="false">TRUE()</f>
        <v>1</v>
      </c>
      <c r="J81" s="2" t="b">
        <f aca="false">TRUE()</f>
        <v>1</v>
      </c>
    </row>
    <row r="82" customFormat="false" ht="15" hidden="false" customHeight="false" outlineLevel="0" collapsed="false">
      <c r="A82" s="1" t="s">
        <v>341</v>
      </c>
      <c r="B82" s="1" t="s">
        <v>342</v>
      </c>
      <c r="C82" s="1" t="s">
        <v>343</v>
      </c>
      <c r="D82" s="1" t="s">
        <v>13</v>
      </c>
      <c r="E82" s="1" t="s">
        <v>15</v>
      </c>
      <c r="F82" s="1" t="s">
        <v>15</v>
      </c>
      <c r="G82" s="1" t="s">
        <v>35</v>
      </c>
      <c r="H82" s="1" t="s">
        <v>344</v>
      </c>
      <c r="I82" s="2" t="b">
        <f aca="false">TRUE()</f>
        <v>1</v>
      </c>
      <c r="J82" s="2" t="b">
        <f aca="false">TRUE()</f>
        <v>1</v>
      </c>
    </row>
    <row r="83" customFormat="false" ht="15" hidden="false" customHeight="false" outlineLevel="0" collapsed="false">
      <c r="A83" s="1" t="s">
        <v>345</v>
      </c>
      <c r="B83" s="1" t="s">
        <v>346</v>
      </c>
      <c r="C83" s="1" t="s">
        <v>347</v>
      </c>
      <c r="D83" s="1" t="s">
        <v>13</v>
      </c>
      <c r="E83" s="1" t="s">
        <v>35</v>
      </c>
      <c r="F83" s="1" t="s">
        <v>35</v>
      </c>
      <c r="G83" s="1" t="s">
        <v>15</v>
      </c>
      <c r="H83" s="1" t="s">
        <v>348</v>
      </c>
      <c r="I83" s="2" t="b">
        <f aca="false">TRUE()</f>
        <v>1</v>
      </c>
      <c r="J83" s="2" t="b">
        <f aca="false">TRUE()</f>
        <v>1</v>
      </c>
    </row>
    <row r="84" customFormat="false" ht="15" hidden="false" customHeight="false" outlineLevel="0" collapsed="false">
      <c r="A84" s="1" t="s">
        <v>349</v>
      </c>
      <c r="B84" s="1" t="s">
        <v>350</v>
      </c>
      <c r="C84" s="1" t="s">
        <v>351</v>
      </c>
      <c r="D84" s="1" t="s">
        <v>13</v>
      </c>
      <c r="E84" s="1" t="s">
        <v>40</v>
      </c>
      <c r="F84" s="1" t="s">
        <v>40</v>
      </c>
      <c r="G84" s="1" t="s">
        <v>35</v>
      </c>
      <c r="H84" s="1" t="s">
        <v>352</v>
      </c>
      <c r="I84" s="2" t="b">
        <f aca="false">TRUE()</f>
        <v>1</v>
      </c>
      <c r="J84" s="2" t="b">
        <f aca="false">TRUE()</f>
        <v>1</v>
      </c>
    </row>
    <row r="85" customFormat="false" ht="15" hidden="false" customHeight="false" outlineLevel="0" collapsed="false">
      <c r="A85" s="1" t="s">
        <v>353</v>
      </c>
      <c r="B85" s="1" t="s">
        <v>354</v>
      </c>
      <c r="C85" s="1" t="s">
        <v>355</v>
      </c>
      <c r="D85" s="1" t="s">
        <v>13</v>
      </c>
      <c r="E85" s="1" t="s">
        <v>35</v>
      </c>
      <c r="F85" s="1" t="s">
        <v>35</v>
      </c>
      <c r="G85" s="1" t="s">
        <v>26</v>
      </c>
      <c r="H85" s="1" t="s">
        <v>356</v>
      </c>
      <c r="I85" s="2" t="b">
        <f aca="false">TRUE()</f>
        <v>1</v>
      </c>
      <c r="J85" s="2" t="b">
        <f aca="false">TRUE()</f>
        <v>1</v>
      </c>
    </row>
    <row r="86" customFormat="false" ht="15" hidden="false" customHeight="false" outlineLevel="0" collapsed="false">
      <c r="A86" s="1" t="s">
        <v>357</v>
      </c>
      <c r="B86" s="1" t="s">
        <v>358</v>
      </c>
      <c r="C86" s="1" t="s">
        <v>359</v>
      </c>
      <c r="D86" s="1" t="s">
        <v>13</v>
      </c>
      <c r="E86" s="1" t="s">
        <v>57</v>
      </c>
      <c r="F86" s="1" t="s">
        <v>57</v>
      </c>
      <c r="G86" s="1" t="s">
        <v>63</v>
      </c>
      <c r="H86" s="1" t="s">
        <v>360</v>
      </c>
      <c r="I86" s="2" t="b">
        <f aca="false">TRUE()</f>
        <v>1</v>
      </c>
      <c r="J86" s="2" t="b">
        <f aca="false">TRUE()</f>
        <v>1</v>
      </c>
    </row>
    <row r="87" customFormat="false" ht="15" hidden="false" customHeight="false" outlineLevel="0" collapsed="false">
      <c r="A87" s="1" t="s">
        <v>361</v>
      </c>
      <c r="B87" s="1" t="s">
        <v>362</v>
      </c>
      <c r="C87" s="1" t="s">
        <v>363</v>
      </c>
      <c r="D87" s="1" t="s">
        <v>13</v>
      </c>
      <c r="E87" s="1" t="s">
        <v>20</v>
      </c>
      <c r="F87" s="1" t="s">
        <v>20</v>
      </c>
      <c r="G87" s="1" t="s">
        <v>40</v>
      </c>
      <c r="H87" s="1" t="s">
        <v>364</v>
      </c>
      <c r="I87" s="2" t="b">
        <f aca="false">TRUE()</f>
        <v>1</v>
      </c>
      <c r="J87" s="2" t="b">
        <f aca="false">TRUE()</f>
        <v>1</v>
      </c>
    </row>
    <row r="88" customFormat="false" ht="15" hidden="false" customHeight="false" outlineLevel="0" collapsed="false">
      <c r="A88" s="1" t="s">
        <v>365</v>
      </c>
      <c r="B88" s="1" t="s">
        <v>366</v>
      </c>
      <c r="C88" s="1" t="s">
        <v>367</v>
      </c>
      <c r="D88" s="1" t="s">
        <v>13</v>
      </c>
      <c r="E88" s="1" t="s">
        <v>26</v>
      </c>
      <c r="F88" s="1" t="s">
        <v>26</v>
      </c>
      <c r="G88" s="1" t="s">
        <v>15</v>
      </c>
      <c r="H88" s="1" t="s">
        <v>368</v>
      </c>
      <c r="I88" s="2" t="b">
        <f aca="false">TRUE()</f>
        <v>1</v>
      </c>
      <c r="J88" s="2" t="b">
        <f aca="false">TRUE()</f>
        <v>1</v>
      </c>
    </row>
    <row r="89" customFormat="false" ht="15" hidden="false" customHeight="false" outlineLevel="0" collapsed="false">
      <c r="A89" s="1" t="s">
        <v>369</v>
      </c>
      <c r="B89" s="1" t="s">
        <v>370</v>
      </c>
      <c r="C89" s="1" t="s">
        <v>371</v>
      </c>
      <c r="D89" s="1" t="s">
        <v>13</v>
      </c>
      <c r="E89" s="1" t="s">
        <v>15</v>
      </c>
      <c r="F89" s="1" t="s">
        <v>15</v>
      </c>
      <c r="G89" s="1" t="s">
        <v>35</v>
      </c>
      <c r="H89" s="1" t="s">
        <v>372</v>
      </c>
      <c r="I89" s="2" t="b">
        <f aca="false">TRUE()</f>
        <v>1</v>
      </c>
      <c r="J89" s="2" t="b">
        <f aca="false">TRUE()</f>
        <v>1</v>
      </c>
    </row>
    <row r="90" customFormat="false" ht="15" hidden="false" customHeight="false" outlineLevel="0" collapsed="false">
      <c r="A90" s="1" t="s">
        <v>373</v>
      </c>
      <c r="B90" s="1" t="s">
        <v>374</v>
      </c>
      <c r="C90" s="1" t="s">
        <v>375</v>
      </c>
      <c r="D90" s="1" t="s">
        <v>13</v>
      </c>
      <c r="E90" s="1" t="s">
        <v>20</v>
      </c>
      <c r="F90" s="1" t="s">
        <v>20</v>
      </c>
      <c r="G90" s="1" t="s">
        <v>15</v>
      </c>
      <c r="H90" s="1" t="s">
        <v>376</v>
      </c>
      <c r="I90" s="2" t="b">
        <f aca="false">TRUE()</f>
        <v>1</v>
      </c>
      <c r="J90" s="2" t="b">
        <f aca="false">TRUE()</f>
        <v>1</v>
      </c>
    </row>
    <row r="91" customFormat="false" ht="15" hidden="false" customHeight="false" outlineLevel="0" collapsed="false">
      <c r="A91" s="1" t="s">
        <v>377</v>
      </c>
      <c r="B91" s="1" t="s">
        <v>378</v>
      </c>
      <c r="C91" s="1" t="s">
        <v>379</v>
      </c>
      <c r="D91" s="1" t="s">
        <v>13</v>
      </c>
      <c r="E91" s="1" t="s">
        <v>14</v>
      </c>
      <c r="F91" s="1" t="s">
        <v>14</v>
      </c>
      <c r="G91" s="1" t="s">
        <v>35</v>
      </c>
      <c r="H91" s="1" t="s">
        <v>380</v>
      </c>
      <c r="I91" s="2" t="b">
        <f aca="false">TRUE()</f>
        <v>1</v>
      </c>
      <c r="J91" s="2" t="b">
        <f aca="false">TRUE()</f>
        <v>1</v>
      </c>
    </row>
    <row r="92" customFormat="false" ht="15" hidden="false" customHeight="false" outlineLevel="0" collapsed="false">
      <c r="A92" s="1" t="s">
        <v>381</v>
      </c>
      <c r="B92" s="1" t="s">
        <v>382</v>
      </c>
      <c r="C92" s="1" t="s">
        <v>383</v>
      </c>
      <c r="D92" s="1" t="s">
        <v>13</v>
      </c>
      <c r="E92" s="1" t="s">
        <v>57</v>
      </c>
      <c r="F92" s="1" t="s">
        <v>57</v>
      </c>
      <c r="G92" s="1" t="s">
        <v>15</v>
      </c>
      <c r="H92" s="1" t="s">
        <v>384</v>
      </c>
      <c r="I92" s="2" t="b">
        <f aca="false">TRUE()</f>
        <v>1</v>
      </c>
      <c r="J92" s="2" t="b">
        <f aca="false">TRUE()</f>
        <v>1</v>
      </c>
    </row>
    <row r="93" customFormat="false" ht="15" hidden="false" customHeight="false" outlineLevel="0" collapsed="false">
      <c r="A93" s="1" t="s">
        <v>385</v>
      </c>
      <c r="B93" s="1" t="s">
        <v>386</v>
      </c>
      <c r="C93" s="1" t="s">
        <v>387</v>
      </c>
      <c r="D93" s="1" t="s">
        <v>13</v>
      </c>
      <c r="E93" s="1" t="s">
        <v>26</v>
      </c>
      <c r="F93" s="1" t="s">
        <v>26</v>
      </c>
      <c r="G93" s="1" t="s">
        <v>25</v>
      </c>
      <c r="H93" s="1" t="s">
        <v>388</v>
      </c>
      <c r="I93" s="2" t="b">
        <f aca="false">TRUE()</f>
        <v>1</v>
      </c>
      <c r="J93" s="2" t="b">
        <f aca="false">TRUE()</f>
        <v>1</v>
      </c>
    </row>
    <row r="94" customFormat="false" ht="15" hidden="false" customHeight="false" outlineLevel="0" collapsed="false">
      <c r="A94" s="1" t="s">
        <v>389</v>
      </c>
      <c r="B94" s="1" t="s">
        <v>390</v>
      </c>
      <c r="C94" s="1" t="s">
        <v>391</v>
      </c>
      <c r="D94" s="1" t="s">
        <v>13</v>
      </c>
      <c r="E94" s="1" t="s">
        <v>63</v>
      </c>
      <c r="F94" s="1" t="s">
        <v>63</v>
      </c>
      <c r="G94" s="1" t="s">
        <v>58</v>
      </c>
      <c r="H94" s="1" t="s">
        <v>392</v>
      </c>
      <c r="I94" s="2" t="b">
        <f aca="false">TRUE()</f>
        <v>1</v>
      </c>
      <c r="J94" s="2" t="b">
        <f aca="false">TRUE()</f>
        <v>1</v>
      </c>
    </row>
    <row r="95" customFormat="false" ht="15" hidden="false" customHeight="false" outlineLevel="0" collapsed="false">
      <c r="A95" s="1" t="s">
        <v>393</v>
      </c>
      <c r="B95" s="1" t="s">
        <v>394</v>
      </c>
      <c r="C95" s="1" t="s">
        <v>395</v>
      </c>
      <c r="D95" s="1" t="s">
        <v>13</v>
      </c>
      <c r="E95" s="1" t="s">
        <v>57</v>
      </c>
      <c r="F95" s="1" t="s">
        <v>57</v>
      </c>
      <c r="G95" s="1" t="s">
        <v>58</v>
      </c>
      <c r="H95" s="1" t="s">
        <v>396</v>
      </c>
      <c r="I95" s="2" t="b">
        <f aca="false">TRUE()</f>
        <v>1</v>
      </c>
      <c r="J95" s="2" t="b">
        <f aca="false">TRUE()</f>
        <v>1</v>
      </c>
    </row>
    <row r="96" customFormat="false" ht="15" hidden="false" customHeight="false" outlineLevel="0" collapsed="false">
      <c r="A96" s="1" t="s">
        <v>397</v>
      </c>
      <c r="B96" s="1" t="s">
        <v>398</v>
      </c>
      <c r="C96" s="1" t="s">
        <v>399</v>
      </c>
      <c r="D96" s="1" t="s">
        <v>13</v>
      </c>
      <c r="E96" s="1" t="s">
        <v>35</v>
      </c>
      <c r="F96" s="1" t="s">
        <v>35</v>
      </c>
      <c r="G96" s="1" t="s">
        <v>26</v>
      </c>
      <c r="H96" s="1" t="s">
        <v>400</v>
      </c>
      <c r="I96" s="2" t="b">
        <f aca="false">TRUE()</f>
        <v>1</v>
      </c>
      <c r="J96" s="2" t="b">
        <f aca="false">TRUE()</f>
        <v>1</v>
      </c>
    </row>
    <row r="97" customFormat="false" ht="15" hidden="false" customHeight="false" outlineLevel="0" collapsed="false">
      <c r="A97" s="1" t="s">
        <v>401</v>
      </c>
      <c r="B97" s="1" t="s">
        <v>402</v>
      </c>
      <c r="C97" s="1" t="s">
        <v>403</v>
      </c>
      <c r="D97" s="1" t="s">
        <v>13</v>
      </c>
      <c r="E97" s="1" t="s">
        <v>25</v>
      </c>
      <c r="F97" s="1" t="s">
        <v>25</v>
      </c>
      <c r="G97" s="1" t="s">
        <v>63</v>
      </c>
      <c r="H97" s="1" t="s">
        <v>404</v>
      </c>
      <c r="I97" s="2" t="b">
        <f aca="false">TRUE()</f>
        <v>1</v>
      </c>
      <c r="J97" s="2" t="b">
        <f aca="false">TRUE()</f>
        <v>1</v>
      </c>
    </row>
    <row r="98" customFormat="false" ht="15" hidden="false" customHeight="false" outlineLevel="0" collapsed="false">
      <c r="A98" s="1" t="s">
        <v>405</v>
      </c>
      <c r="B98" s="1" t="s">
        <v>406</v>
      </c>
      <c r="C98" s="1" t="s">
        <v>407</v>
      </c>
      <c r="D98" s="1" t="s">
        <v>13</v>
      </c>
      <c r="E98" s="1" t="s">
        <v>63</v>
      </c>
      <c r="F98" s="1" t="s">
        <v>63</v>
      </c>
      <c r="G98" s="1" t="s">
        <v>35</v>
      </c>
      <c r="H98" s="1" t="s">
        <v>408</v>
      </c>
      <c r="I98" s="2" t="b">
        <f aca="false">TRUE()</f>
        <v>1</v>
      </c>
      <c r="J98" s="2" t="b">
        <f aca="false">TRUE()</f>
        <v>1</v>
      </c>
    </row>
    <row r="99" customFormat="false" ht="15" hidden="false" customHeight="false" outlineLevel="0" collapsed="false">
      <c r="A99" s="1" t="s">
        <v>409</v>
      </c>
      <c r="B99" s="1" t="s">
        <v>410</v>
      </c>
      <c r="C99" s="1" t="s">
        <v>411</v>
      </c>
      <c r="D99" s="1" t="s">
        <v>13</v>
      </c>
      <c r="E99" s="1" t="s">
        <v>58</v>
      </c>
      <c r="F99" s="1" t="s">
        <v>58</v>
      </c>
      <c r="G99" s="1" t="s">
        <v>26</v>
      </c>
      <c r="H99" s="1" t="s">
        <v>412</v>
      </c>
      <c r="I99" s="2" t="b">
        <f aca="false">TRUE()</f>
        <v>1</v>
      </c>
      <c r="J99" s="2" t="b">
        <f aca="false">TRUE()</f>
        <v>1</v>
      </c>
    </row>
    <row r="100" customFormat="false" ht="56" hidden="false" customHeight="false" outlineLevel="0" collapsed="false">
      <c r="A100" s="1" t="s">
        <v>413</v>
      </c>
      <c r="B100" s="1" t="s">
        <v>414</v>
      </c>
      <c r="C100" s="3" t="s">
        <v>415</v>
      </c>
      <c r="D100" s="1" t="s">
        <v>13</v>
      </c>
      <c r="E100" s="1" t="s">
        <v>35</v>
      </c>
      <c r="F100" s="1" t="s">
        <v>25</v>
      </c>
      <c r="G100" s="1" t="s">
        <v>26</v>
      </c>
      <c r="H100" s="1" t="s">
        <v>416</v>
      </c>
      <c r="I100" s="4" t="b">
        <f aca="false">FALSE()</f>
        <v>0</v>
      </c>
      <c r="J100" s="2" t="b">
        <f aca="false">FALSE()</f>
        <v>0</v>
      </c>
      <c r="L100" s="1" t="s">
        <v>417</v>
      </c>
    </row>
    <row r="101" customFormat="false" ht="56" hidden="false" customHeight="false" outlineLevel="0" collapsed="false">
      <c r="A101" s="1" t="s">
        <v>418</v>
      </c>
      <c r="B101" s="1" t="s">
        <v>419</v>
      </c>
      <c r="C101" s="3" t="s">
        <v>420</v>
      </c>
      <c r="D101" s="1" t="s">
        <v>13</v>
      </c>
      <c r="E101" s="1" t="s">
        <v>35</v>
      </c>
      <c r="F101" s="1" t="s">
        <v>26</v>
      </c>
      <c r="G101" s="1" t="s">
        <v>58</v>
      </c>
      <c r="H101" s="1" t="s">
        <v>421</v>
      </c>
      <c r="I101" s="5" t="b">
        <f aca="false">FALSE()</f>
        <v>0</v>
      </c>
      <c r="J101" s="2" t="b">
        <f aca="false">FALSE()</f>
        <v>0</v>
      </c>
      <c r="L101" s="1" t="s">
        <v>422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34375" defaultRowHeight="15" customHeight="false" zeroHeight="false" outlineLevelRow="0" outlineLevelCol="0"/>
  <sheetData>
    <row r="1" customFormat="false" ht="15" hidden="false" customHeight="false" outlineLevel="0" collapsed="false">
      <c r="A1" s="1" t="s">
        <v>4</v>
      </c>
      <c r="B1" s="1" t="s">
        <v>423</v>
      </c>
      <c r="C1" s="1" t="s">
        <v>8</v>
      </c>
      <c r="D1" s="1" t="s">
        <v>424</v>
      </c>
      <c r="E1" s="1" t="s">
        <v>425</v>
      </c>
      <c r="F1" s="1" t="s">
        <v>426</v>
      </c>
    </row>
    <row r="2" customFormat="false" ht="15" hidden="false" customHeight="false" outlineLevel="0" collapsed="false">
      <c r="A2" s="1" t="s">
        <v>25</v>
      </c>
      <c r="B2" s="1" t="n">
        <v>12</v>
      </c>
      <c r="C2" s="1" t="n">
        <v>12</v>
      </c>
      <c r="D2" s="1" t="n">
        <v>12</v>
      </c>
      <c r="E2" s="1" t="s">
        <v>427</v>
      </c>
      <c r="F2" s="1" t="s">
        <v>427</v>
      </c>
    </row>
    <row r="3" customFormat="false" ht="15" hidden="false" customHeight="false" outlineLevel="0" collapsed="false">
      <c r="A3" s="1" t="s">
        <v>57</v>
      </c>
      <c r="B3" s="1" t="n">
        <v>10</v>
      </c>
      <c r="C3" s="1" t="n">
        <v>10</v>
      </c>
      <c r="D3" s="1" t="n">
        <v>10</v>
      </c>
      <c r="E3" s="1" t="s">
        <v>427</v>
      </c>
      <c r="F3" s="1" t="s">
        <v>427</v>
      </c>
    </row>
    <row r="4" customFormat="false" ht="15" hidden="false" customHeight="false" outlineLevel="0" collapsed="false">
      <c r="A4" s="1" t="s">
        <v>35</v>
      </c>
      <c r="B4" s="1" t="n">
        <v>10</v>
      </c>
      <c r="C4" s="1" t="n">
        <v>8</v>
      </c>
      <c r="D4" s="1" t="n">
        <v>8</v>
      </c>
      <c r="E4" s="1" t="s">
        <v>428</v>
      </c>
      <c r="F4" s="1" t="s">
        <v>428</v>
      </c>
    </row>
    <row r="5" customFormat="false" ht="15" hidden="false" customHeight="false" outlineLevel="0" collapsed="false">
      <c r="A5" s="1" t="s">
        <v>20</v>
      </c>
      <c r="B5" s="1" t="n">
        <v>11</v>
      </c>
      <c r="C5" s="1" t="n">
        <v>11</v>
      </c>
      <c r="D5" s="1" t="n">
        <v>11</v>
      </c>
      <c r="E5" s="1" t="s">
        <v>427</v>
      </c>
      <c r="F5" s="1" t="s">
        <v>427</v>
      </c>
    </row>
    <row r="6" customFormat="false" ht="15" hidden="false" customHeight="false" outlineLevel="0" collapsed="false">
      <c r="A6" s="1" t="s">
        <v>26</v>
      </c>
      <c r="B6" s="1" t="n">
        <v>7</v>
      </c>
      <c r="C6" s="1" t="n">
        <v>6</v>
      </c>
      <c r="D6" s="1" t="n">
        <v>7</v>
      </c>
      <c r="E6" s="1" t="s">
        <v>429</v>
      </c>
      <c r="F6" s="1" t="s">
        <v>427</v>
      </c>
    </row>
    <row r="7" customFormat="false" ht="15" hidden="false" customHeight="false" outlineLevel="0" collapsed="false">
      <c r="A7" s="1" t="s">
        <v>58</v>
      </c>
      <c r="B7" s="1" t="n">
        <v>10</v>
      </c>
      <c r="C7" s="1" t="n">
        <v>10</v>
      </c>
      <c r="D7" s="1" t="n">
        <v>10</v>
      </c>
      <c r="E7" s="1" t="s">
        <v>427</v>
      </c>
      <c r="F7" s="1" t="s">
        <v>427</v>
      </c>
    </row>
    <row r="8" customFormat="false" ht="15" hidden="false" customHeight="false" outlineLevel="0" collapsed="false">
      <c r="A8" s="1" t="s">
        <v>15</v>
      </c>
      <c r="B8" s="1" t="n">
        <v>13</v>
      </c>
      <c r="C8" s="1" t="n">
        <v>13</v>
      </c>
      <c r="D8" s="1" t="n">
        <v>13</v>
      </c>
      <c r="E8" s="1" t="s">
        <v>427</v>
      </c>
      <c r="F8" s="1" t="s">
        <v>427</v>
      </c>
    </row>
    <row r="9" customFormat="false" ht="15" hidden="false" customHeight="false" outlineLevel="0" collapsed="false">
      <c r="A9" s="1" t="s">
        <v>63</v>
      </c>
      <c r="B9" s="1" t="n">
        <v>8</v>
      </c>
      <c r="C9" s="1" t="n">
        <v>8</v>
      </c>
      <c r="D9" s="1" t="n">
        <v>8</v>
      </c>
      <c r="E9" s="1" t="s">
        <v>427</v>
      </c>
      <c r="F9" s="1" t="s">
        <v>427</v>
      </c>
    </row>
    <row r="10" customFormat="false" ht="15" hidden="false" customHeight="false" outlineLevel="0" collapsed="false">
      <c r="A10" s="1" t="s">
        <v>40</v>
      </c>
      <c r="B10" s="1" t="n">
        <v>10</v>
      </c>
      <c r="C10" s="1" t="n">
        <v>10</v>
      </c>
      <c r="D10" s="1" t="n">
        <v>10</v>
      </c>
      <c r="E10" s="1" t="s">
        <v>427</v>
      </c>
      <c r="F10" s="1" t="s">
        <v>427</v>
      </c>
    </row>
    <row r="11" customFormat="false" ht="15" hidden="false" customHeight="false" outlineLevel="0" collapsed="false">
      <c r="A11" s="1" t="s">
        <v>14</v>
      </c>
      <c r="B11" s="1" t="n">
        <v>9</v>
      </c>
      <c r="C11" s="1" t="n">
        <v>9</v>
      </c>
      <c r="D11" s="1" t="n">
        <v>9</v>
      </c>
      <c r="E11" s="1" t="s">
        <v>427</v>
      </c>
      <c r="F11" s="1" t="s">
        <v>427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34375" defaultRowHeight="15" customHeight="false" zeroHeight="false" outlineLevelRow="0" outlineLevelCol="0"/>
  <sheetData>
    <row r="1" customFormat="false" ht="15" hidden="false" customHeight="false" outlineLevel="0" collapsed="false">
      <c r="A1" s="1" t="s">
        <v>430</v>
      </c>
      <c r="B1" s="1" t="s">
        <v>431</v>
      </c>
      <c r="C1" s="1" t="s">
        <v>423</v>
      </c>
    </row>
    <row r="2" customFormat="false" ht="15" hidden="false" customHeight="false" outlineLevel="0" collapsed="false">
      <c r="A2" s="1" t="s">
        <v>432</v>
      </c>
      <c r="B2" s="1" t="s">
        <v>433</v>
      </c>
      <c r="C2" s="1" t="n">
        <v>100</v>
      </c>
    </row>
    <row r="3" customFormat="false" ht="15" hidden="false" customHeight="false" outlineLevel="0" collapsed="false">
      <c r="A3" s="1" t="s">
        <v>434</v>
      </c>
      <c r="B3" s="1" t="s">
        <v>435</v>
      </c>
      <c r="C3" s="1" t="n">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21</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2026-06-23T11:50:30Z</dcterms:created>
  <dc:creator>openpyxl</dc:creator>
  <dc:description/>
  <dc:language>en-GB</dc:language>
  <cp:lastModifiedBy/>
  <dcterms:modified xsi:type="dcterms:W3CDTF">2026-06-24T11:26:19Z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