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<sst xmlns="http://schemas.openxmlformats.org/spreadsheetml/2006/main" count="372" uniqueCount="191">
  <si>
    <t xml:space="preserve">id</t>
  </si>
  <si>
    <t xml:space="preserve">title</t>
  </si>
  <si>
    <t xml:space="preserve">abstract</t>
  </si>
  <si>
    <t xml:space="preserve">pillar</t>
  </si>
  <si>
    <t xml:space="preserve">research_category</t>
  </si>
  <si>
    <t xml:space="preserve">primary_LLM</t>
  </si>
  <si>
    <t xml:space="preserve">secondary_LLM</t>
  </si>
  <si>
    <t xml:space="preserve">reasoning_LLM</t>
  </si>
  <si>
    <t xml:space="preserve">primary_correct</t>
  </si>
  <si>
    <t xml:space="preserve">either_correct</t>
  </si>
  <si>
    <t xml:space="preserve">corrected</t>
  </si>
  <si>
    <t xml:space="preserve">pub.1193402896</t>
  </si>
  <si>
    <t xml:space="preserve">From LLMs to sustainable proteins: fine-tuning and prompt engineering for multi-agent AI in waste carbon-utilising microbial protein production</t>
  </si>
  <si>
    <t xml:space="preserve">The global demand for sustainable protein sources has accelerated the need for intelligent tools that can rapidly process and synthesise domain-specific scientific knowledge. In this study, we present a multi-agent Artificial Intelligence (AI) framework designed to support sustainable protein production research, with an initial focus on microbial protein fermentation using side-streams which enables waste carbon capture and utilisation (CCU). Our Retrieval-Augmented Generation (RAG)-oriented system consists of two GPT-based LLM agents: (1) a literature search agent that retrieves relevant scientific literature on microbial protein production for a specified microbial strain, and (2) an information extraction agent that processes the retrieved content to extract relevant biological and chemical information. Two parallel methodologies, fine-tuning and prompt engineering, were explored for agent optimisation. Both methods demonstrated effectiveness at improving the performance of the information extraction agent in terms of transformer-based cosine similarity scores between obtained and ideal outputs. Mean cosine similarity scores were increased by up to 25 %, while universally reaching mean scores of ≥0.89 against ideal output text. Fine-tuning overall improved the mean scores to a greater extent (consistently of ≥0.94) compared to prompt engineering, although lower statistical uncertainties were observed with the latter approach. A user interface was developed and published for enabling the use of the multi-agent AI system, alongside preliminary exploration of additional chemical safety-based search capabilities relevant to CCU-integrated sustainable protein production.</t>
  </si>
  <si>
    <t xml:space="preserve">F</t>
  </si>
  <si>
    <t xml:space="preserve">Bioprocess design</t>
  </si>
  <si>
    <t xml:space="preserve">Other</t>
  </si>
  <si>
    <t xml:space="preserve">Feedstocks</t>
  </si>
  <si>
    <t xml:space="preserve">The paper's novel contribution is an AI/LLM multi-agent framework for literature retrieval and information extraction in microbial protein research, which does not fit any specific fermentation research category; the application domain (waste carbon-utilising microbial protein production) touches on feedstocks but is only the context, not the experimental focus.</t>
  </si>
  <si>
    <t xml:space="preserve">pub.1194325701</t>
  </si>
  <si>
    <t xml:space="preserve">Towards a circular food system: Biomass profile, antioxidant properties, and cytotoxicity of marine and freshwater microalgae cultivated on digestate</t>
  </si>
  <si>
    <t xml:space="preserve">Microalgae offer a sustainable approach for treating nutrient-rich digestate and CO₂ off-gas from anaerobic digestion (AD), while producing biomass rich in valuable metabolites. However, it is essential to assess how cultivation on waste media affects biomass quality, safety, and potential applications in a circular bioeconomy. This study compares the composition and bioactivity of marine and freshwater microalgal biomass cultivated in liquid digestate (LD) versus standard medium. LD contained 2.7 times more nitrogen than the marine f/2 medium (145.48 vs 54.17 mg/L), which led to significant enrichment in protein, omega-3 polyunsaturated fatty acids, pigments, and phenolic contents in Nannochloropsis gaditana and N. oceanica. For instance, N. gaditana biomass grown in LD contained 30.75 % DW protein (vs. 11.48 % DW), 35.77 mg/g DW omega-3 fatty acids (vs 20.64 mg/g DW), 17.8 mg/g DW pigments (vs 1.02 mg/g DW), 5.99 mg GAE/g DW total phenolics (vs 2.00 mg GAE/g DW) compared to standard-medium biomass. These enrichments translated into significantly enhanced antioxidant properties. Conversely, freshwater species (N. limnetica, Chlorella vulgaris, and Tetradesmus obliquus) grown in LD exhibited a higher total lipid content enriched in saturated fatty acids, but lower levels of protein and pigments compared to standard controls. Importantly, all microalgal biomass cultivated in LD, whether marine or freshwater, showed no evidence of cytotoxicity across all tested inclusion levels (0.5–4 μg/mL). Overall, marine Nannochloropsis species cultivated in digestate stand out as promising candidates for sustainable protein and omega-3 fatty-acid production, with safe reintegration in food and feed.</t>
  </si>
  <si>
    <t xml:space="preserve">Ingredient optimisation</t>
  </si>
  <si>
    <t xml:space="preserve">The novel contribution is the use of liquid digestate (a waste stream from anaerobic digestion) as an alternative cultivation medium for microalgae, with the study evaluating how this feedstock affects biomass composition, bioactivity, and safety compared to standard media.</t>
  </si>
  <si>
    <t xml:space="preserve">pub.1192390055</t>
  </si>
  <si>
    <t xml:space="preserve">Fermentation of Monascus purpureus biomass as a new protein-rich food ingredient</t>
  </si>
  <si>
    <t xml:space="preserve">Monascus purpureus, a filamentous fungus known for producing crimson yeast rice, offers not only high protein content but also bioactive compounds, such as alkaloids, phenols, and flavonoids, which provide antioxidant, anti-inflammatory, and anticancer properties. Although traditionally used as a colorant or dietary supplement, it has not been exploited as food biomass. This study optimized growth conditions for M. purpureus using solid state (SSF) and submerged-state fermentation (SmF), achieving biomass yields (dry weight) of 6 g/L in SmF and 4 g/L in SSF, with protein contents of 35 % and 21 %, respectively. Amino acid profiling revealed six essential amino acids, with lysine as the most abundant. The obtained biomass was characterized by gas chromatography coupled to mass spectrometry (GC–MS), identifying 17 compounds in SSF compared to 15 in SmF, including furfural derivatives, and fatty acids. Solid-state and submerged-state fermentation produced biomass with antioxidant levels (3.65 ± 0.14 vs. 3.33 ± 0.10 mmol TE/100 g, respectively). This work highlights the potential of M. purpureus biomass in food formulations, providing emulsifying properties without external additives, although with limitations in gelling and foaming capacities. This research establishes M. purpureus as a viable alternative protein, contributing to a sustainable food system and advancing global food security.</t>
  </si>
  <si>
    <t xml:space="preserve">Strain development</t>
  </si>
  <si>
    <t xml:space="preserve">The study optimises fermentation conditions (SSF vs SmF) for M. purpureus biomass production and comprehensively characterises the resulting ingredient's protein content, amino acid profile, bioactive compounds, and functional properties, making ingredient development the primary focus.</t>
  </si>
  <si>
    <t xml:space="preserve">pub.1193762105</t>
  </si>
  <si>
    <t xml:space="preserve">Soluble recombinant transglutaminase for crosslinking plant protein hydrolysates</t>
  </si>
  <si>
    <t xml:space="preserve">Cold-active transglutaminase (TGase) is highly valuable for their catalytic efficiency under low-temperature conditions, but not commercially available. This study investigated the recombinant expression of a cold-active TGase from Antarctic krill in Escherichia coli, achieving high solubility through induction optimization at 20 °C with 0.1 mM IPTG. The recombinant enzyme (rTGase) retained robust catalytic activity at 4 °C and effectively crosslinked pea protein hydrolysates (PPH), leading to improved molecular weight distribution and structural integrity. Analytical characterization via SDS-PAGE and MALDI-TOF revealed the formation of covalent isopeptide bonds, and spectroscopic and FTIR analyses demonstrated conformational rearrangement and increased molecular compactness in crosslinked PPH (CL-PPH). The rTGase-modified CL-PPH had improved thermal stability confirmed by thermogravimetric analysis. This study explored the production of a novel cold-active rTGase with demonstrated efficacy in tailoring the physicochemical properties of plant protein hydrolysates, providing a promising strategy for functional ingredient development in cold-processed food systems and other temperature-sensitive applications.</t>
  </si>
  <si>
    <t xml:space="preserve">Target molecule selection</t>
  </si>
  <si>
    <t xml:space="preserve">The paper's novel contribution is the recombinant expression and characterisation of a cold-active transglutaminase in E. coli, with its application to crosslink and improve pea protein hydrolysate properties serving as validation of the enzyme's functionality.</t>
  </si>
  <si>
    <t xml:space="preserve">pub.1188825598</t>
  </si>
  <si>
    <t xml:space="preserve">Is There a Specific Role for Fungal Protein Within Food Based Dietary Guidelines? A Roundtable Discussion</t>
  </si>
  <si>
    <t xml:space="preserve">Expanding and aging populations, sustainability drivers and changing attitudes to the way we eat mean that there has been growing interest in non-animal derived protein food sources. Given this shift, there has been an uprise in consumer demand and commercial innovation of meat analogues and alternative protein food sources. The question, with a focus on fungal proteins, is where to best place them within Food-based Dietary Guidelines? A Nutrition Society Member-Led meeting was convened as a roundtable on 12th February 2024 to gather views on whether there is a specific role for fungal protein within Food-based Dietary Guidelines and how this role is best communicated. The intention of the roundtable was to establish areas of consensus or any disparities, and pinpoint future research directions. The roundtable format included three contextual presentations followed by discussions around seven core statements. A group of 11 experts from academia, policymaking and industry participated. There was agreement that health and sustainability research had advanced (for mycoprotein in particular). Subsequently, there is no reason to exclude fungal-derived proteins from Food-based Dietary Guidelines. The panel agreed on the need for an updated database on mycoprotein intakes in different countries along with long-term population studies comparing fungal, plant and meat sources against health and sustainability outcomes. The consensus was that fungal-derived mycoprotein could be represented within Food-based Dietary Guidelines, within a 'non-animal/non-meat' or 'other protein' sector, or as part of a generic protein diversification message.</t>
  </si>
  <si>
    <t xml:space="preserve">Health &amp; nutrition</t>
  </si>
  <si>
    <t xml:space="preserve">This is a roundtable discussion/workshop report covering policy, dietary guidelines, and broad research directions for fungal proteins, spanning multiple topics without a single specific experimental or analytical focus.</t>
  </si>
  <si>
    <t xml:space="preserve">pub.1188899046</t>
  </si>
  <si>
    <t xml:space="preserve">Solid State Fermentation—A Promising Approach to Produce Meat Analogues</t>
  </si>
  <si>
    <t xml:space="preserve">The increasing demand for sustainable dietary options has intensified the development of plant-based meat analogues. Despite growing market availability, these products often fail to replicate conventional meat's sensory and nutritional properties. Solid-state fermentation (SSF) has emerged as a promising biotechnological approach to enhance the quality of plant-derived protein ingredients. This review summarizes recent findings on the use of SSF in meat analogue production, focusing on microbial strains, substrate selection, and fermentation conditions. The reviewed studies indicate that SSF improves protein digestibility, enhances essential amino acid profiles, reduces anti-nutritional factors, and generates desirable flavour compounds. Furthermore, SSF offers advantages over submerged fermentation in energy and water efficiency, supporting its application in sustainable food processing. The findings highlight SSF's potential to address key limitations of current meat alternatives and its relevance for developing nutritionally adequate and sensory-appealing products. Integration of SSF into plant-based protein processing may play a critical role in advancing environmentally friendly protein systems.</t>
  </si>
  <si>
    <t xml:space="preserve">This is a broad review article covering multiple aspects of SSF (microbial strains, substrate selection, fermentation conditions, nutritional and sensory improvements) rather than presenting a single novel experimental contribution in one specific category.</t>
  </si>
  <si>
    <t xml:space="preserve">pub.1196086614</t>
  </si>
  <si>
    <t xml:space="preserve">Evaluating quality of novel alternative protein sources (microbial and insect proteins) using the INFOGEST in vitro digestion model</t>
  </si>
  <si>
    <t xml:space="preserve">Sustainable alternative protein sources are needed for humans and animals, but their quality, including digestibility and Indispensable Amino Acid (IAA) contents, need to be determined. We evaluated the protein quality of novel microbial (MPX) and insect (BSFL) proteins, in comparison with more conventional, Fishmeal (FM) and Pea Protein (PP), using the INFOGEST model. MPX was highly digestible (92.6 %) and similar to PP (99.3 %), but higher than both FM (82.4 %) and BSFL (72.9 %, p &lt; 0.001). The use of 6.25 as conversion factor for N, overestimated the protein content of MPX and BSFL, due to their high non-protein N contents, impacting the measure of quality. Digestible IAA Ratios for MPX and BSFL were underestimated when crude protein was used, but use of total AA resulted in similar Digestible IAA Scores for MPX (0.96) and FM (0.95), with PP (0.72) and BSFL (0.51) being lower (P &lt; 0.001). MPX is the better quality novel protein source.</t>
  </si>
  <si>
    <t xml:space="preserve">The paper's primary focus is measuring in vitro digestibility and indispensable amino acid scores as nutritional quality endpoints for novel protein sources, with digestibility and bioaccessibility as the central research question rather than ingredient improvement.</t>
  </si>
  <si>
    <t xml:space="preserve">pub.1193571360</t>
  </si>
  <si>
    <t xml:space="preserve">In vitro protein digestion and mineral accessibility of edible filamentous fungi cultivated on winery and distillery by-products</t>
  </si>
  <si>
    <t xml:space="preserve">Edible filamentous fungi (mycoprotein) offer a sustainable protein source that supports the upcycling of agri-food industry sidestreams, stimulating circular production systems. This study evaluated the nutritional quality, including protein digestibility and mineral accessibility of three edible fungal species Neurospora intermedia (NI), Aspergillus oryzae (AO), and Rhizopus oryzae (RO), cultivated on winery by-products (grape marc, wine lees, and vinasse) and on synthetic glucose medium as a control. Protein content, amino acid profile, essential minerals, in vitro protein degree of hydrolysis (DH%), and mineral accessibility were assessed. One important hypothesis explored was whether enriched fungal biomass polyphenol levels would negatively influence protein digestibility and mineral accessibility. Wine lees supported the highest biomass protein content (27.2–30.6 % dry weight, dw), followed by grape marc, and vinasse. The amino acid profile revealed that essential amino acids comprised 40.88–51.69 % of the total protein, with lysine (8.43–14.18 %) and leucine (7.62–9.95 %) being the most abundant. Notably, RO grown in grape marc accumulated higher polyphenol level compared to NI and AO, up to 96 mg gallic acid equivalent/g dw. After in vitro digestion, NI and AO revealed higher protein digestibility than RO (38–80 % vs 9–53 % DH), and all fungal species cultivated in wine lees—particularly RO—exhibited the highest levels of accessible iron and zinc Grape marc-grown RO showed significantly reduced protein digestibility and mineral accessibility. These findings present a promising route to produce mycoprotein, while lowering the wine and distillery sector footprint. Polyphenol levels should be optimized to avoid hampering protein digestibility and mineral accessibility.</t>
  </si>
  <si>
    <t xml:space="preserve">The study primarily evaluates and characterises nutritional quality (protein digestibility, amino acid profile, mineral accessibility) of mycoprotein ingredients produced under different cultivation conditions, while the secondary novel contribution is the use of winery and distillery by-products as alternative fermentation feedstocks.</t>
  </si>
  <si>
    <t xml:space="preserve">It’s fine. It’s a borderline case and the LLM changes it’s mind sometimes.</t>
  </si>
  <si>
    <t xml:space="preserve">pub.1190518646</t>
  </si>
  <si>
    <t xml:space="preserve">Development of a Biotechnological Strategy for CO2 Capture in Coke Plant Emissions Using Microalgae</t>
  </si>
  <si>
    <t xml:space="preserve">Coke production generates up to 400 m3/min of flue gases containing 4% CO2. This study evaluated the capacity of the microalga Halochlorella rubescens_UFPS013 to capture CO2 from emissions generated by Excomin SAS (Colombia). A Central Composite Design and response surface methodology were employed to analyze the effects of CO2 concentration and light–dark cycles on biomass production. The statistical model explained 99% of the observed variability, suggesting a robust foundation with room for further improvement. In situ test showed that H. rubescens_UFPS013 tolerated a flue gas flow rate of up to 0.587 L/min, achieving an optimal predicted biomass yield of 2 g/L under a 12.6 h photoperiod on day 20. The generated biomass exhibited significant protein (48.5%) and lipid (9.6%) content, highlighting its potential for industrial applications in the food and energy sectors. These findings underscore the role of H. rubescens_UFPS013 as a viable biotechnological tool for CO2 capture in industrial processes, with prospects for scale-up and continuous optimization, contributing to sustainable solutions in emission reduction and the production of high-value bioproducts.</t>
  </si>
  <si>
    <t xml:space="preserve">The paper evaluates industrial flue gas (CO2 from coke plant emissions) as a carbon feedstock for microalgal cultivation, optimising growth conditions and demonstrating biomass production with food-relevant composition, making the novel feedstock application the primary focus.</t>
  </si>
  <si>
    <t xml:space="preserve">pub.1190448023</t>
  </si>
  <si>
    <t xml:space="preserve">Production of phosphorylated and functional αs1-casein in Escherichia coli</t>
  </si>
  <si>
    <t xml:space="preserve">While the demand for milk proteins is on the rise, sustainability concerns dictate a reduction in animal-based agriculture. Microbial cell factories can be a viable alternative, but their inability to phosphorylate recombinant caseins is a major bottleneck, since phosphorylation is needed for calcium binding and functionality. We propose a solution that involves engineering bacteria to co-express bacterial protein kinases, resulting in recombinant caseins with the native phosphorylation pattern and functional properties. We successfully phosphorylated αs1-casein in Escherichia coli using bacterial kinases, achieving phosphorylation at all native sites. To complement this approach, we developed an alternative phosphomimetic strategy by substituting serine residues with aspartate to mimic phosphorylation. Structural and functional characterization of all the phosphorylated/phosphomimetic recombinant αs1-caseins demonstrated properties comparable with those of bovine α-casein, including calcium-binding affinity, digestibility, and structural integrity. Notably, phosphomimetic αs1-casein may offer a simpler system, while phosphorylated casein more closely resembles bovine casein. This approach has significant implications for the development of alternative protein sources, addressing both sustainability and functional demands in the food industry.</t>
  </si>
  <si>
    <t xml:space="preserve">The paper's novel contribution is the expression and functional validation of recombinant phosphorylated αs1-casein in E. coli, including engineering bacteria to co-express kinases for native phosphorylation and developing a phosphomimetic strategy, which is squarely Target Molecule Selection with strain engineering as a supporting element.</t>
  </si>
  <si>
    <t xml:space="preserve">pub.1187176068</t>
  </si>
  <si>
    <t xml:space="preserve">Umami Enhancing Properties of Enzymatically Hydrolyzed Mycelium of Flammulina velutipes Cultured on Potato Pulp</t>
  </si>
  <si>
    <t xml:space="preserve">The aim of this study was to hydrolyze cultivated fungal mycelium and to evaluate the effect on its taste. Potato pulp, a by-product of the potato starch industry, was therefore successfully utilized as a substrate for submerged cultivation of Flammulina velutipes, yielding a product with an estimated fungal content of 83% ± 3%. The fermentation increased the protein content from 5.3 ± 0.4 g/100 g DM to 13.9 ± 0.1 g/100 g DM with a biological protein value of 86. The fermentate was enzymatically hydrolyzed by Corolase APC-peptidase. After optimization of the hydrolysis conditions, a degree of hydrolysis (DH) of 75.1% ± 1.0% was achieved. The protein hydrolysis increased the contents of free glutamate more than 20-fold from 8.7 ± 0.1 mg/L to 188.7 ± 1.2 mg/L. Elevated glutamate levels led to an umami taste perception in aqueous solution and taste-enhancing properties in vegetable broth. Noteworthy, the fermentate itself exhibited an intrinsic peptidase activity. Without addition of auxiliary peptidases, mycelial enzymes caused a DH of 33.9% ± 0.7% and a free glutamate content of 99.1 ± 0.7 mg/L. For these samples, an increase in umami taste was only observed in vegetable broth, but not in water, indicating taste-enhancing properties but low umami taste. In addition to the nutritional and health benefits of fungi, their hydrolysates are of great interest for use as a protein booster with flavor-enhancing properties.</t>
  </si>
  <si>
    <t xml:space="preserve">The study's novel contribution is the enzymatic hydrolysis of fungal mycelium to improve its umami/taste properties and nutritional profile (ingredient optimisation), while also demonstrating the use of potato pulp waste as a fermentation substrate (feedstocks).</t>
  </si>
  <si>
    <t xml:space="preserve">pub.1192755061</t>
  </si>
  <si>
    <t xml:space="preserve">Food production from air: gas precision fermentation with hydrogen-oxidising bacteria</t>
  </si>
  <si>
    <t xml:space="preserve">The breach of six planetary boundaries highlights the need for sustainable food production. Aerobic hydrogen-oxidising bacteria (HOBs) convert atmospheric CO2 and green hydrogen (H2) into biomass via gas fermentation, a process already used for food-grade single-cell protein production. This approach enables a supply chain independent of agriculture, requiring minimal land and water, with potential for carbon-neutral production and carbon capture. To expand beyond single-cell protein, HOBs must be engineered into cell factories for precision fermentation. Advances in synthetic biology, metabolic engineering, computational modelling, and bioreactor design have accelerated the development of scalable bioprocesses providing a blueprint for gas-based fermentation. We present a path forward using secreted recombinant milk protein as a case study, highlighting key challenges and opportunities.</t>
  </si>
  <si>
    <t xml:space="preserve">This is a perspective/blueprint piece covering multiple aspects (strain engineering, bioprocess design, synthetic biology, and a case study on recombinant milk proteins) rather than reporting novel experimental findings in a single category, making it a broad cross-cutting review/commentary.</t>
  </si>
  <si>
    <t xml:space="preserve">pub.1191524504</t>
  </si>
  <si>
    <t xml:space="preserve">Recombinant napin expression in Pichia pastoris: Structural and functional attributes in comparison with canola-derived napin</t>
  </si>
  <si>
    <t xml:space="preserve">The increasing demand for alternative proteins necessitates efficient production platforms. This study establishes a scalable method for producing recombinant napin (rNapin) using Pichia pastoris and compares it to canola-derived napin (cNapin). While cNapin is processed into a two-chain protein, rNapin remains a single polypeptide, allowing for structural and functional comparisons. Fermentation optimization showed that the GAP promoter increased rNapin yield by 2.4-fold compared to the AOX1 promoter in haploid strains, while further strain engineering using a diploid GAP strain led to an additional 1.5-fold increase. Circular dichroism and nanoDSF analysis confirmed that rNapin retains key secondary structure elements similar to cNapin, though it exhibited greater aggregation and lower thermal stability. In terms of functionality, rNapin demonstrated high solubility across all pH values and superior emulsifying activity under acidic conditions, though it lacked foamability. These findings demonstrate rNapin's potential for food applications and the benefits of P. pastoris optimization for production.</t>
  </si>
  <si>
    <t xml:space="preserve">The paper's novel contribution is the recombinant expression and characterisation of napin in Pichia pastoris, with strain engineering (promoter selection, ploidy) as a secondary focus to improve production of that specific target molecule.</t>
  </si>
  <si>
    <t xml:space="preserve">pub.1186271958</t>
  </si>
  <si>
    <t xml:space="preserve">Semi-dynamic in vitro digestion of honey chlorella vulgaris reveals biochemical and structural insights during gastro-intestinal transit</t>
  </si>
  <si>
    <t xml:space="preserve">Concerns about current food systems have prompted increased exploration of sustainable alternative protein sources, such as microalgae. This study investigated honey Chlorella vulgaris, a chlorophyll-deficient mutant, distinguished by its consumer-friendly honey colour, milder flavour and improved texture. To facilitate the nutritional transition towards this source, a standardised in vitro semi-dynamic INFOGEST digestion model was employed to analyse the digestive behaviour of C. vulgaris, focusing on the biochemical and structural changes during in vitro digestion. Gastric digestion was conducted over 67.5 min with dynamic fluid addition and gastric emptying. Results indicated slow gastric digestion of C. vulgaris due to the initially low pepsin activity and low protein solubility. Significant protein breakdown commenced when the pH dropped to 3.5. By the end of the gastric phase, 11.8 % of the protein and 3.0 % of free amine groups were released, generating new peptides of 0.3-1 kDa. Followed by 2 h static intestinal digestion, some cell structures remained intact, indicating a barrier to nutrient release. Pancreatic enzymes caused substantial protein hydrolysis, generating a higher fraction of 0.1-0.3 kDa peptides, with a notable release of essential amino acids as well as phenolic compounds. This study highlighted that protein insolubility and the cell wall structure of C. vulgaris may impede enzyme effectiveness, leading to a reduced protein breakdown. Furthermore, introduction of processing steps may enhance bioaccessibility in microalgae-derived foods, thereby contributing to the development of nutritional and sustainable food productions.</t>
  </si>
  <si>
    <t xml:space="preserve">The study's primary focus is on digestibility and bioaccessibility of Chlorella vulgaris protein using an in vitro digestion model, with digestibility/nutritional bioaccessibility as the central research question, while secondary insights into biochemical and structural changes relate to ingredient characterisation.</t>
  </si>
  <si>
    <t xml:space="preserve">pub.1187855186</t>
  </si>
  <si>
    <t xml:space="preserve">Carbon and ammonium limitation and nitrogen fixation alter the nutritional profile of purple non-sulphur bacteria grown on H2 and CO2</t>
  </si>
  <si>
    <t xml:space="preserve">Purple non-sulphur bacteria biotechnology represents a promising microbial platform to support the protein transition towards more sustainable food systems, particularly when cultivated photoautohydrogenotrophically using carbon dioxide and green hydrogen. This study explored how carbon and/or nitrogen limitations, as well as biological nitrogen fixation can steer the nutritional composition and growth kinetics of purple non-sulphur bacteria. The essential amino acids fraction remained stable at ∼41 %. Under carbon limitation, carbon-rich isoleucine decreased (-27 %) while nitrogen-rich histidine increased (+18 %), and phosphorus content rose by 40 %. Carbon resp. nitrogen limitation reduced bacteriochlorophyll a and carotenoids by 52 % resp. 34 %. Biological nitrogen fixation raised phenylalanine and tyrosine content by 39 %, but reduced the maximum growth rate 2.8-fold; however, final biomass levels were comparable to NH4+-based cultures. These findings highlight the nutritional tunability and metabolic versatility of purple non-sulphur bacteria, reinforcing their potential as a circular, low-carbon platform for sustainable microbial protein production.</t>
  </si>
  <si>
    <t xml:space="preserve">The study manipulates cultivation conditions (carbon/nitrogen limitation, nitrogen fixation, H2/CO2 feedstocks) to steer the nutritional composition of purple non-sulphur bacteria biomass, with ingredient nutritional profile as the primary outcome, while the use of CO2 and green hydrogen as feedstocks is a secondary novel aspect.</t>
  </si>
  <si>
    <t xml:space="preserve">pub.1193129062</t>
  </si>
  <si>
    <t xml:space="preserve">Designing Culturally Acceptable, Nutritious, and Low Environmental Impact Finnish Diets with Mycoprotein: A Novel Optimization Approach</t>
  </si>
  <si>
    <t xml:space="preserve">Background: Meat alternatives can support a gradual reduction in meat consumption, contributing to more sustainable diets. Optimization is a useful tool to investigate this potential, but neglecting diet acceptability may limit the relevance of the approach.
Objectives: The aim of this study was to develop a new diet optimization model that includes meat alternatives and accounts for diet acceptability, then to apply it to characterize a culturally acceptable, nutritionally adequate, and low-climate impact Finnish diet that incorporates mycoprotein.
Methods: An original quadratic optimization model minimizing the weighted distance from the current diet was designed, with mycoprotein introduced as a new food within the meat group. The model first simulated a nutritionally adequate diet including mycoprotein ("NUTR" diet) and then progressively reduced dietary greenhouse gas emissions (GHGEs) while maintaining total consumption of the meat group. Model performance was assessed against a piecewise linear model, and robustness was tested through a sensitivity analysis.
Results: The meat group in the "NUTR" diet, which included 27.3 g (5.9 g) of mycoprotein, amounted to 82% (87%) of observed meat consumption for an average adult male (female). For further GHGE reductions, red and processed meats were replaced mainly by poultry, followed by mycoprotein with an increasing share. Imposing large reductions in GHGEs while maintaining meat consumption to its "NUTR" level led to larger adjustments in other food groups and raised potential nutritional concerns, whereas these issues were less pronounced for small to moderate GHGE reductions. Compared with the piecewise linear model, the quadratic formulation was less sensitive to baseline assumptions, yielding more robust and realistic diets.
Conclusions: The proposed model advances diet optimization for the study of new foods by incorporating improved considerations of diet acceptability. The Finnish case study illustrates its applicability to simulate climate-friendly, nutritionally adequate diets that integrate mycoprotein, offering a valuable tool for future research on novel foods.</t>
  </si>
  <si>
    <t xml:space="preserve">Impact assessments</t>
  </si>
  <si>
    <t xml:space="preserve">The paper develops a diet optimization model to quantify the environmental (GHGE) and nutritional trade-offs of incorporating mycoprotein into Finnish diets, making structured quantitative impact assessment its primary contribution, with nutritional adequacy as a co-equal analytical focus.</t>
  </si>
  <si>
    <t xml:space="preserve">pub.1187570126</t>
  </si>
  <si>
    <t xml:space="preserve">Mycotoxin-free Aspergillus oryzae strain lineage for alternative and novel protein production at industrial scale</t>
  </si>
  <si>
    <t xml:space="preserve">Advanced industrial strains of Aspergillus oryzae have been used for decades for the production of recombinant proteins including food and feed enzymes at large scale. The A. oryzae strain lineage evaluated in this review derives from the proprietary Novozymes (now Novonesis) strain collection. A. oryzae wild-type strains have the potential to produce three different mycotoxins (aflatoxins (AFL), cyclopiazonic acid (CPA), and 3-nitropropionic acid (3-NPA)). Here, we review the work originally performed at Novozymes to identify a strain (BECh1) that contained a large chromosomal deletion comprising both AFL and CPA gene clusters, significantly improving the safety of the lineage. The description of the deleted region is presented here. As the genetic basis for 3-NPA biosynthesis was recently revealed, we describe here that this A. oryzae lineage contains an additional large deletion that encompasses the 3-NPA biosynthetic genes npaA and npaB, thereby rendering the strains unable to produce any mycotoxin. Further strain development has resulted in strains devoid of penicillin production by inactivation of the penicillin G gene cluster (penG). This strain lineage represents the first example of mycotoxin-free A. oryzae for production of recombinant (alternative) novel food proteins. Recently, bovine beta-lactoglobulin made using a strain of this lineage has received GRAS status and can be commercialized for use in food in the USA. With its history of safe use in food and feed, the lack of toxigenic potential and the ability to differentiate strains with modern technologies, this A. oryzae strain can be considered safe as other organisms with a Quality Presumption of Safety (QPS) status in Europe. QPS is not applicable to filamentous fungi and only granted at the species level to bacteria and a few yeast species. We suggest modernizing the QPS concept to become strain rather than species specific and present arguments to qualify this strain lineage as QPS or QPS-like.Key points• The biosynthetic genes for 3-nitropropionic acid have been recently characterized.• An industrial strain lineage for food protein production lacks all known mycotoxin genes.• Proteins produced in this mycotoxin-free lineage should entail lower regulatory requirements.</t>
  </si>
  <si>
    <t xml:space="preserve">Food safety &amp; quality</t>
  </si>
  <si>
    <t xml:space="preserve">The paper describes the deliberate engineering and characterisation of an Aspergillus oryzae strain lineage with chromosomal deletions eliminating all mycotoxin and penicillin biosynthetic gene clusters, representing active strain modification for safer industrial protein production, with food safety and regulatory implications as the secondary focus.</t>
  </si>
  <si>
    <t xml:space="preserve">pub.1193713945</t>
  </si>
  <si>
    <t xml:space="preserve">In-vitro investigation of mycoprotein: opportunities for older adult nutrition</t>
  </si>
  <si>
    <t xml:space="preserve">Dietary intake is a major determinant of later life course outcomes, with poor dietary intake linked with increased incidence of non-communicable diseases. Protein under-nutrition is a contributing factor to declining health in community dwelling older adults. Mycoprotein is a food ingredient produced from the fermentation of Fusarium venenatum , that is high in protein and fibre, has a complete amino acid profile as well as being low in fat (1) . The aim of this study was to utilise in-vitro gastrointestinal digestion models to determine the extent of variability in the digestibility profile of mycoprotein when comparing a standard adult model, to the older adult model.   Freezed dried Mycoprotein paste was subjected to in-vitro gastrointestinal digestion, using a computer controlled bioreactor system (2) , utilising optimised conditions which simulated both adult and older adult gastrointestinal conditions (3) . Following digestion, absorbable and non-absorbable protein fractions were separated and the protein content determined determined using total nitrogen analysis (Rapid Max N exceed, Elementar UK) and total amino acid analysis via ion exchange chromatography with post-column ninhydrin derivitisation (Hitachi LA8080, Avantor UK). All values were corrected using blank (protein free) digestions containing only digestive enzymes.  After mass balance correction (for protein content of digestive enzymes and non-protein nitrogen), total in-vitro protein digestibility of mycoprotein was 65.0 % (SD 0.03 %) using standard digestion conditions in triplicate. For conditions that simulated older adult digestion, total protein digestibility was reduced by 3.4 %. Digestibility of indispensable amino acids between the two models, were non-significant (p &gt; 0.05). Previously published trials have shown that for plant based feedstocks, protein digestibility reduced by up to 20 % using older adult conditions. As the global food system evolves to meet the nutritional needs of a growing population and challenges of Net Zero, there is potential for high protein plant based alternatives to meet the nutritional needs of an ageing population. This work has demonstrated that the digestion of mycoprotein is largely unaffected by the changing gastrointestinal conditions of older adults and therefore could play an important role in future nutritional support strategies for older adults.</t>
  </si>
  <si>
    <t xml:space="preserve">The study's primary focus is measuring in-vitro protein digestibility of mycoprotein under physiologically relevant older adult gastrointestinal conditions, with digestibility and nutritional bioaccessibility as the central research questions, while ingredient characterisation (amino acid profile, digestibility values) is a secondary element.</t>
  </si>
  <si>
    <t xml:space="preserve">pub.1185959640</t>
  </si>
  <si>
    <t xml:space="preserve">In vitro human gastrointestinal digestibility and colonic fermentation of edible yeast-based protein: A comparative study with whey and casein</t>
  </si>
  <si>
    <t xml:space="preserve">The global protein demand is in constant increase requiring sustainable and healthier alternative proteins for animal and human nutrition. Yeast-based proteins (YBP) represent a non-negligible environmental-friendly fermentation-based solutions with high nutritional quality and bioavailability. Although in vitro studies cannot reflect the full complexity of in vivo digestion, it is considered as useful alternatives to animal models assessing protein digestibility. A 5 h TIM-1 digestion model (TNO Gastro-Intestinal Model) was used to assess the digestibility profile and amino acid bio-accessibility of YBP (3 separate production batches) versus whey and casein as references. Every hour, dialysate and ileal effluent samples were collected. Total nitrogen and free amino acid (FAA) were quantified. To assess the microbial impact, YBP digestate was subjected to 48 h Colon-on-a-Plate batch fermentation, after which the microbial composition by shotgun sequencing and microbial activity by Short-Chain Fatty Acids (SCFAs), Branched-Chain Fatty Acids (BCFAs) (GC-MS) and untargeted metabolomics (LA-REIMS) was analysed (from N = 11 healthy donors of faecal material). YBP, casein and whey were comparable in terms of digestibility. Although YBP showed a different metabolomic fingerprint compared to casein and whey, the microbial activity through SCFA quantification was significantly increased for all proteins compared to blank but not between protein sources. Whey and casein resulted in a higher abundance of Clostridium compared to YBP, while the treatment with YBP resulted in higher abundance of Bacteroides. Altogether, our results suggest that YBP could be a nutritionally relevant alternative protein.</t>
  </si>
  <si>
    <t xml:space="preserve">The paper's primary experimental focus is measuring physiological and digestibility outcomes (amino acid bioaccessibility, colonic fermentation, microbial composition, SCFAs) of yeast-based protein consumption using in vitro gastrointestinal models, with digestibility and nutritional bioaccessibility as the central research questions.</t>
  </si>
  <si>
    <t xml:space="preserve">pub.1184369603</t>
  </si>
  <si>
    <t xml:space="preserve">In vitro digestibility of bioprocessed brewer’s spent yeast: Demonstrating protein quality and gut microbiome modulation potential</t>
  </si>
  <si>
    <t xml:space="preserve">With an ever-increasing global population and dwindling natural resources, a shift towards more sustainable food systems is required. Important aspects to aid in this transition are the reduction of food waste, and a movement towards non-animal protein sources. Brewers spent yeast (BSY) is an abundant by-product of the brewing industry, which is generally regarded as waste, despite its high nutritional value. Previous work has shown that fermentation of BSY with Lactobacillus amylovorus FST 2.11 resulted in changes in composition, functionality, and improved palatability of the processed raw material (PBSY). In this study, in vitro protein digestibility, amino acid bioaccessability, and protein quality of PBSY was explored using the static INFOGEST in vitro model. In vitro protein digestibility of PBSY (73.0 %) was almost two-fold higher than that of CBSY (40.0 %), while PBSY also displayed significantly higher in vitro bioaccessability values for all essential amino acids, except for tryptophan. Investigation of protein quality using the digestible indispensable amino acid score (DIAAS) values and the FAO recommended amino acid scoring pattern for individuals &gt;3 years old showed that the protein quality for CBSY was low (DIAAS of 17.0 %), while PBSY was considered to be of "good" protein quality (DIAAS of 98.2 %). Investigation of the modulation potential of PBSY on the gut microbiome using an in vitro colon model system showed an increase in gut microbiome α-diversity indices and an abundance of beneficial Mediterranean diet-responsive taxa after 24 h. Overall, this study highlights the potential of BSY as raw material for the production of a high-quality food ingredient with potential prebiotic effects, aiding in the reduction food waste and supporting global food systems.</t>
  </si>
  <si>
    <t xml:space="preserve">The primary experimental focus is in vitro protein digestibility, amino acid bioaccessibility, DIAAS protein quality scoring, and gut microbiome modulation — all physiological/nutritional outcome measures — of a bioprocessed brewer's spent yeast ingredient, with digestibility and nutritional bioaccessibility as the central research questions.</t>
  </si>
  <si>
    <t xml:space="preserve">pub.1193856038</t>
  </si>
  <si>
    <t xml:space="preserve">Increasing the Lipid Content of Filamentous Fungi: Potential Alternatives to Conventional Meat through Culture Medium Modification and High-Lipid Yeast Immobilization</t>
  </si>
  <si>
    <t xml:space="preserve">Conventional meat consumption has significant environmental impacts, driving interest in alternatives such as fungal-based meat. A key challenge is its low lipid content, which affects its resemblance to traditional meat. To address this, two strategies were tested to boost lipid levels while maintaining protein content. The study focused on evaluating the potential of two generally recognized as safe (GRAS) classified filamentous fungi, Aspergillus oryzae and Agaricus brunnescens. The first approach involved modifying the culture media to promote Lipid synthesis, using formulations enriched with glucose and olive oil. The second approach employed a novel vacuum infusion method to immobilize high-lipid yeasts within the fungal biomass, assessing both pellet and biofilm morphologies of the two test fungi. Detailed assessments of biomass productivity, Lipid, and protein content were conducted. Considering all the stated values, an optimal lipid increase of 4.66% in dry mass was quantified when immobilizing high-lipid yeasts in A. oryzae biofilms. This falls within the lipid range of traditional meats (2.7–13.3%) and is expected to improve key sensory attributes such as mouthfeel, juiciness, and structural cohesiveness, crucial for consumer acceptance of meat analogues. Notably, protein content remained high at 25.90%, comparable to conventional meat. This study demonstrates that, with targeted treatments, filamentous fungi can be enriched in lipids without compromising protein content, offering a sustainable and promising alternative to traditional meat for the food industry.</t>
  </si>
  <si>
    <t xml:space="preserve">The paper's novel contribution is improving the lipid content of filamentous fungal biomass ingredients through culture medium modification and yeast immobilization, with detailed characterisation of biomass composition, making ingredient optimisation the primary focus; strain/morphology selection (pellet vs. biofilm, two fungal species) is a secondary experimental element.</t>
  </si>
  <si>
    <t xml:space="preserve">pub.1183954386</t>
  </si>
  <si>
    <t xml:space="preserve">Sulfur-containing microbial protein production from sulfide-rich biogas in hollow fiber membrane bioreactors</t>
  </si>
  <si>
    <t xml:space="preserve">Anaerobic digestion of organic waste can unlock the upcycling of waste resources through the valorization of biogas into value-added products. This study proposed the conversion of sulfide-rich biogas into microbial protein (MP) through a microbial fermentation process carried out in hollow fiber membrane bioreactors by means of a consortium of methane- and sulfur-oxidizing bacteria, characterized by the dominance of Methylocystis spp. and Chryseobacterium spp. The efficiency of the gas-to-liquid mass transfer and the effects of biofilm formation on gas diffusion, as well as the effects of gas loading rate (10 L/d and 15 L/d) and sulfide content of the biogas (1500, 3000 and 4000 ppm of H2S) on the fermentation performance were evaluated. Biomass concentrations up to 768.5 (± 17.2) mg of volatile suspended solids (VSS) per liter were achieved when treating biogas containing 1500 ppm of H2S. Increasing sulfide concentrations (up to 4000 ppm of H2S) had negligible effects on the biomass productivity and yield. The biomass had a high protein (up to 64.7 %) and amino acids (up to 510.3 mg/g VSS) content, with beneficial effects of H2S on the content of sulfur-containing amino acids. Switching from 1500 ppm to 4000 ppm of H2S increased the content of methionine and cysteine by 57 % and 39 %, respectively.</t>
  </si>
  <si>
    <t xml:space="preserve">The paper's novel contribution is the use of sulfide-rich biogas (a waste stream) as a feedstock for microbial protein production, while also evaluating hollow fiber membrane bioreactor design and gas loading parameters as part of the fermentation process engineering.</t>
  </si>
  <si>
    <t xml:space="preserve">pub.1188562954</t>
  </si>
  <si>
    <t xml:space="preserve">Policy Analysis on Microbial Biomass Value Chains</t>
  </si>
  <si>
    <t xml:space="preserve">Alternative protein sources as a means for fighting food insecurity have become more prevalent in various initiatives. Nevertheless, there are only a few cases with actual microbial food and feed production on an industrial scale. The overall landscape is developing, but as there are very few functional plants, it is not clear whether the regulatory framework is robust enough to ensure product safety and whether the regulatory framework does not include any unnecessary hurdles for alternative food and feed to reach the market. In this paper, a content analysis was performed of various European Level documents referred to microbial biomass value chains, including the potential substrates of agro-industrial sources. The literature sources were gathered using a snow-balling approach and further analysis was done on a keyword basis screening the documents for corresponding paragraphs. Quantitative sorting was done by assessing the keyword count, document types, and timeline. As a result, regulatory gaps and hurdles for microbial biomass production from agro-industrial side streams were elucidated.</t>
  </si>
  <si>
    <t xml:space="preserve">The paper's primary methodological contribution is a systematic regulatory policy analysis identifying gaps and hurdles in the European regulatory framework for microbial biomass value chains, which fits the impact assessments category's inclusion of regulatory policy analysis.</t>
  </si>
  <si>
    <t xml:space="preserve">pub.1190464946</t>
  </si>
  <si>
    <t xml:space="preserve">Scientific and technological challenges of recombinant egg protein production</t>
  </si>
  <si>
    <t xml:space="preserve">Eggs are among the most widely consumed and versatile animal-derived foods and are valued for their exceptional nutritional and functional properties. However, conventional egg production is associated with significant environmental, ethical, and health concerns, increasing the global consumer demand for sustainable animal protein. To address these challenges, recombinant egg protein production through precision fermentation has emerged as a promising alternative. Yet, this alternative production path is still in its infancy, and current efforts in research have not yet led to a widespread adoption of recombinant egg protein. This review provides an overview of the bioprocesses used to produce recombinant egg proteins, highlighting their nutritional, bio-functional, and techno-functional significance. The current state of the art of recombinant egg protein production is presented, with a comparison of different microbial expression hosts in terms of suitability and associated challenges. Only six egg proteins were reported to be expressed at laboratory scale, including ovalbumin (3.7 g/L with Escherichia coli EcN) and ovomucoid (3.2 g/L with Komagataella phaffii). The realization of large-scale production of functional egg proteins remains challenging. These challenges include posttranslational modifications, achieving functionality and cost parity to natural egg proteins, efficient resource bioconversion, and optimizing the bioprocess chain (upstream, bioproduction, and downstream processes). This requires further improvements and research to increase protein titers, space-time yields, and production rates. Nevertheless, recombinant egg protein produced via precision fermentation holds great promise as a functional food ingredient. With further advancements, this approach could contribute to global protein demand, enhance food security, and strengthen food system resilience while providing a more sustainable and ethical alternative to conventional egg production.</t>
  </si>
  <si>
    <t xml:space="preserve">This review focuses specifically on recombinant egg protein expression across microbial hosts, covering protein titers, expression systems, and bioprocess challenges — making it a single-topic review centered on target molecule selection and production bioprocesses.</t>
  </si>
  <si>
    <t xml:space="preserve">pub.1188911530</t>
  </si>
  <si>
    <t xml:space="preserve">Risk evaluation of a future B2B cell factory process producing cellular agriculture ingredients</t>
  </si>
  <si>
    <t xml:space="preserve">Cellular agriculture can help to meet the growing global demand for proteins and other food products by producing, e.g., single-cell protein (SCP) through fermentation, simultaneously enhancing sustainability and resource efficiency. However, our path toward 2040 may involve crises related to energy, water and raw material availability, contaminated production processes, logistics or increased costs. In this study, we assessed the risks of a cell factory operating in 2040, which could face challenges such as freshwater shortages, power outages, and scarcity of chemicals and other materials. The envisioned cell factory utilises various side streams as raw materials and operates in an urban area. We employed the qualitative HAZSCAN (Hazardous Scenario Analysis) method to assess the occupational, product, and environmental safety of a fully operational hypothetical business to business (B2B) cell factory producing cellular agriculture ingredients. The analysis was conducted by a working group, including experts from VTT and industrial representatives, through five focused meetings to prepare activity and process model, systematically identify hazards, and estimate their severity and probability. Risk was then classified using a tailored risk matrix. Hazards causing production interruptions, impairment to occupational health and product safety, as well as environmental safety, were identified and their risks were assessed. Future risks may arise from resource scarcity, the quality of raw materials or logistical issues related to raw materials. Risks related to utilities stem from the availability of electricity, steam, or water. Operational risks can originate from maintenance challenges, process quality control, storage and handling of materials, insufficient instructions for operators, and potential leaks into the environment. Additionally, risks may be caused by disruptions in information transfer or vandalism. The analysis emphasised the need for comprehensive safety and risk management methods that consider both process safety and environmental impacts.</t>
  </si>
  <si>
    <t xml:space="preserve">The paper applies a qualitative hazard analysis (HAZSCAN) method to assess occupational, process, product, and environmental safety risks of a hypothetical cell factory, which is a process/occupational safety assessment rather than a food safety or ingredient quality study, placing it outside the specific technical categories and into Other, with Food safety &amp; quality as the closest secondary category given the product safety component.</t>
  </si>
  <si>
    <t xml:space="preserve">pub.1188518301</t>
  </si>
  <si>
    <t xml:space="preserve">Use of Enriched Mine Water to Grow the Cyanobacterium Arthrospira platensis in Photobioreactors</t>
  </si>
  <si>
    <t xml:space="preserve">The demand for sustainable and high-nutritional food sources is forcing the industrial sector to find alternatives to animal proteins. Microalgae and macroalgae showed remarkable protein and bioactive compound content, offering a promising solution for the food industry. However, the high production cost represents the main concern related to microalgae development. Thus, strategies that can reduce production costs, preserve the environment, and improve the nutritional characteristics of microalgae are required. Exploiting water from dismissed mines could lead to energy savings in production by opening new industrial opportunities to produce microalgae. Arthrospira platensis (Spirulina) can be grown in open ponds and photobioreactors; the composition of the growth medium and the light radiation could affect its biochemical composition. This work investigated the influence of mine water with the addition of Zarrouk growth medium on the biochemical composition of the final dried Spirulina. The trials were performed in vertical tubular photobioreactors (PBRs) exposed to the same light radiance. Samples were compared with standard growing conditions using distilled water with the addition of Zarrouk medium. Spirulina strains showed good tolerance to medium/high concentrations of Cl-, SO42- and nitrogen in mine water. The experiment lasted 12 days, showing significant differences in protein, lipids, and carbohydrates between trials. Spirulina grown in mine water showed higher protein levels, 52.64 ± 2.51 g·100 g-1 dry weight. On the other hand, Spirulina grown in distilled water had higher lipids and carbohydrate levels, accounting for 9.22 ± 1.01 and 31.72 ± 1.57 g·100 g-1 dry weight. At the end of the experiment, both trials showed similar growth and pigment concentration. The availability of a high amount of mine water at no cost and at the ideal temperature for Spirulina cultivation increases environmental sustainability and reduces production costs. The results in terms of biomass were comparable to those of standard cultivation, whereas proteins showed higher values. Moreover, coupling renewable energy sources can further reduce production costs, with promising industrial and market developments.</t>
  </si>
  <si>
    <t xml:space="preserve">The novel contribution is the use of dismissed mine water as an alternative, low-cost feedstock for Spirulina cultivation, with the primary experimental focus on how this input material affects biomass biochemical composition (protein, lipid, carbohydrate content).</t>
  </si>
  <si>
    <t xml:space="preserve">pub.1193597030</t>
  </si>
  <si>
    <t xml:space="preserve">Fungal fermentation: The blueprint for transforming industrial side streams and residues</t>
  </si>
  <si>
    <t xml:space="preserve">The escalating generation of industrial side streams and organic residues presents both a challenge and an opportunity for sustainable biotechnological solutions. Filamentous fungi, with their metabolic versatility and ability to secrete a wide spectrum of enzymes, have emerged as promising agents for transforming diverse waste substrates into high-value products within the biorefinery concept. This review explores the multifaceted applications of fungal fermentation (submerged, solid-state, and sequential) for valorizing agri-food, lignocellulosic, and marine residues into mycoproteins, enzymes, biochemicals, biomaterials, and agricultural applications. Emphasis is placed on the scalability, functional diversity, nutritional potential, and environmental relevance of fungal-derived products, particularly in addressing global protein demand, chemicals, materials and sustainable biomanufacturing. Furthermore, challenges, substrate heterogeneity, safety concerns, and emerging tools, such as AI and multi-omics, are discussed in the context of process optimization and regulatory acceptance. This paper highlights fungal fermentation as a pivotal biotechnology tool in advancing circular bioeconomy goals by contributing to sustainable food production, resource recovery, and the development of novel compounds of interest.</t>
  </si>
  <si>
    <t xml:space="preserve">This is a broad review article covering multiple topics (mycoproteins, enzymes, biochemicals, biomaterials, fermentation modes, AI, multi-omics, regulatory issues) across diverse waste substrates, spanning too many categories to assign a single specific primary classification.</t>
  </si>
  <si>
    <t xml:space="preserve">pub.1195294390</t>
  </si>
  <si>
    <t xml:space="preserve">Arthrospira platensis as Protein-Rich Source for Human Nutrition</t>
  </si>
  <si>
    <t xml:space="preserve">The continuing growth of the world's population, combined with climate change, poses a growing challenge to ensuring food security in the 21st century. Animal protein, e.g., from beef, is a particularly rich source of protein, but there is by no means enough arable land on earth to transfer the animal meat-rich nutritional style of the early industrialized countries to the global South. A hitherto largely neglected option for the production of proteins is the cultivation of microalgae and cyanobacteria, which already have a long history of use as a human or animal food for their nutritional and environmental merits. In particular, Limnospira platensis (Spirulina and formerly Arthrospira platensis)-a filamentous cyanobacterium-is considered the "food of the future" since it is a viable source of vegan protein. In this manuscript, we review the scientific literature as well as national and intergovernmental agency statements regarding the quality and quantity of AP-based proteins. The content of AP protein is discussed in relation to other species and different cultivation conditions, as well as to traditional crops and animal husbandry. The amino acid profile and quality assessment of AP as a dietary protein are discussed. In addition, the environmental aspects of AP production are considered, and the role of AP in efforts to bridge the 'protein gap' to improve nutrition and food security is discussed.</t>
  </si>
  <si>
    <t xml:space="preserve">This is a broad review article spanning protein content, amino acid quality, cultivation conditions, environmental aspects, and food security implications of Arthrospira platensis, covering multiple research categories rather than a single focused novel contribution.</t>
  </si>
  <si>
    <t xml:space="preserve">HERE DOWN – ADDED FROM v5 full / v6 (v5-incorrect) – new corrections</t>
  </si>
  <si>
    <t xml:space="preserve">pub.1194350608</t>
  </si>
  <si>
    <t xml:space="preserve">Alternative protein and microbial food production with Yarrowia lipolytica: precision, biomass and traditional fermentation strategies</t>
  </si>
  <si>
    <t xml:space="preserve">Background With the rapid growth of the global population, humanity is expected to face significant challenges by 2050, such as food crises, resource shortages, and climate change. The emergence of cellular agriculture not only offers promising solutions to these issues and enhances animal welfare but also provides a sustainable, healthy, and safe approach for the development of future food systems. Precision fermentation, which utilizes microorganisms as cellular factories to produce high-value functional products, plays a pivotal role in the field of cellular agriculture. Additionally, with the increasing demand for high-quality protein-containing food, identifying alternative food sources is essential. Production of alternative proteins via fermentation results in the smallest carbon footprint and generates more stable products, attracting significant interest from both academia and the food industry. Scope and approach This review discusses the production of alternative proteins in Yarrowia lipolytica via fermentation. It addresses the advantages of using Y. lipolytica as a protein production platform, improvements in production through fermentation strategies, examples of expressed proteins from literature and patents, and the current regulatory aspects and social considerations. Key findings and conclusions Y. lipolytica have a safe usage status, a capacity to utilize various feedstocks, and unique advantages in protein production. Through precision fermentation, specific proteins can be produced, and at scale production can be achieved with appropriate parameter optimization. Additionally, Y. lipolytica is expected to play a critical role in the field of food fermentation due to its rich nutritional profile and desirable organoleptic properties. It not only provides a valuable source of alternative proteins but also improves food flavours, enriches nutritional value, and facilitates the development of new functional foods, thus broadening the scope for future food innovation.</t>
  </si>
  <si>
    <t xml:space="preserve">This is a broad review article covering multiple aspects of Y. lipolytica use in food production — including precision fermentation, biomass fermentation, traditional fermentation, feedstocks, regulatory aspects, and social considerations — spanning too many categories to assign a single specific primary focus.</t>
  </si>
  <si>
    <t xml:space="preserve">The study primarily characterises and evaluates the nutritional quality (protein digestibility, amino acid profile, mineral accessibility) of mycoprotein ingredients produced from different fungal species cultivated on winery/distillery by-products, with the by-products serving as the novel feedstock inputs driving the investigation.</t>
  </si>
  <si>
    <t xml:space="preserve">pub.1185062057</t>
  </si>
  <si>
    <t xml:space="preserve">Casein micelle reassembly affects the interfacial properties of fluid-fluid interfaces</t>
  </si>
  <si>
    <t xml:space="preserve">HYPOTHESIS: Precision fermentation is a novel approach to produce microbial-based caseins, which promises to be important in the production of animal-free dairy. Caseins are important stabilizers in foam- and emulsion-based dairy products. A solid understanding of how caseins behave at the air-water and oil-water interfaces is essential for the development of new products based on microbial-based caseins. Here, we compared the interfacial behavior of air-water and oil-water interfaces stabilized by bovine casein micelles (CM), sodium caseinate, and reassembled casein micelles (RCM) made from sodium caseinate. The effects of reassembly are important to assess, since precision fermentation produces individual casein fractions (i.e., caseinate) instead of micelles.
EXPERIMENTS: The micellar structure of RCM and CM increased the interfacial stiffness of oil-water interfaces compared to caseinate and -free caseinate. A combination of the general stress decomposition and Fourier-transform rheology revealed that the micellar structure is able to resist the network weakening by polar oils better than -free caseinate through the presence of interfacial aggregates. The behavior of RCM and CM at the air-water interfaces was different from oil-water interfaces. RCM did not have higher interfacial stiffness compared to a -free caseinate sample, while CM did. Surprisingly, imaging the microstructure with atomic force microscopy (AFM) on Langmuir-Blodgett films did not reveal many differences in microstructure between RCM and CM. However, AFM showed an increased interfacial connectivity in all samples containing compared to -free samples.
FINDINGS: This study showed that oil-water interfacial viscoelasticity is dominated by aggregated casein due to a high subphase polarity. Hence, the highly aggregated RCM successfully mimicked the oil-water functionality of CM. Aggregation was not as important for air-water which resulted in a different functionality of RCM and CM.</t>
  </si>
  <si>
    <t xml:space="preserve">The study characterises and compares the interfacial functional properties (foam/emulsion stabilisation) of reassembled casein micelles derived from caseinate — the form produced by precision fermentation — against native bovine casein micelles, with the primary goal of assessing ingredient functionality for animal-free dairy applications.</t>
  </si>
  <si>
    <t xml:space="preserve">pub.1193857323</t>
  </si>
  <si>
    <t xml:space="preserve">Uncoupling protein production from growth: different strategies for intracellular and secreted proteins in yeast</t>
  </si>
  <si>
    <t xml:space="preserve">BackgroundPrecision fermentation offers a sustainable alternative production route for proteins but still suffers from moderate productivities and low yields. Especially compared to biomass yields, recombinant protein yields on substrate are very low. Uncoupling recombinant protein production from growth would allow higher product yields, but requires that productivity is maintained. So far, two-phase production processes mostly rely on inducers to activate recombinant protein production after an initial growth phase, e.g., a change in carbon source. On large scale, specific growth rates can be controlled by nutrient availability, and we aim to use this as trigger to uncouple recombinant protein production from growth.ResultsWe investigated the correlation between low specific growth rates (0.02 h− 1 &lt; µ &lt; 0.1 h− 1) and specific recombinant protein production rates, both for intracellularly accumulating and secreted proteins. By comparing two differently regulated promoters, the strong, constitutive PTEF1 and stress-induced PHSP12, we show that recombinant protein production rates and yields in Saccharomyces cerevisiae can be partially uncoupled from growth. The optimal strategy thereby differs for intracellular and secreted production. The PHSP12 resulted in increased product yields of intracellular protein at very low growth rates, including a 10-fold increase in intracellular protein titer, while titers remained virtually constant for the benchmark PTEF1. The PTEF1 on the other hand led to increased protein secretion rates and efficiencies at lower specific growth rates cumulating in higher extracellular protein titers.ConclusionOur results demonstrate that promoter selection plays a critical role in production performance under slow growing conditions. Moreover, it highlights that optimising intracellular and extracellular recombinant protein production requires distinct, strategy-specific approaches.</t>
  </si>
  <si>
    <t xml:space="preserve">The paper's novel contribution is a two-phase fermentation strategy that uncouples recombinant protein production from growth by controlling specific growth rates, with promoter selection as a key process lever — this is primarily a bioprocess engineering study, though recombinant protein expression in yeast is the production context.</t>
  </si>
  <si>
    <t xml:space="preserve">pub.1196249843</t>
  </si>
  <si>
    <t xml:space="preserve">Pleurotus djamor Mycelium: Sustainable Production of a Promising Protein Source from Carrot Side Streams</t>
  </si>
  <si>
    <t xml:space="preserve">Innovative protein sources are urgently needed to feed a growing global population and to support the increasing shift toward vegetarian and vegan lifestyles. Mycelia of edible fungi offer a sustainable and efficient alternative food source. In this study, 106 fungal strains were explored for their ability to ferment two different liquid carrot side streams. Among the candidates, Pleurotus djamor demonstrated exceptional potential, with high yields of biomass of ∼15 g L-1 and high protein contents of 31.0 ± 5.9 (optimized orange carrot medium) or 21.6 ± 1.9 g 100 g-1 (optimized black carrot medium), respectively. When used in burger patties and vegan sausage analogs, the mycelia outperformed vegetable proteins in sensory tests, highlighting their viability as a nutritious, versatile, and consumer-accepted protein alternative.</t>
  </si>
  <si>
    <t xml:space="preserve">The study's primary novelty is using carrot side streams (waste/byproduct streams) as fermentation substrates, while also screening 106 fungal strains to identify Pleurotus djamor as the superior performer.</t>
  </si>
  <si>
    <t xml:space="preserve">pub.1183660277</t>
  </si>
  <si>
    <t xml:space="preserve">Use of a coaxial nozzle-assisted 3D printing and ionic crosslinking to control the texture of a mycoprotein-based food product</t>
  </si>
  <si>
    <t xml:space="preserve">This work innovatively merges engineered food structures with additive manufacturing technology to tailor food for different dysphagia levels using filamentous Fungus Aspergillus oryzae biomass through a co-axial 3D food printing process. In order to 3D print samples with different textures, calcium chloride (CaCl2) and calcium gluconolactate (Gluco) were tested at different concentrations alongside three alginate concentrations. The structural and morphological analysis of the printed samples was conducted before cooking, followed by texture analysis and the measurement of cutting strength on cooked samples. Dysphagia food level classification was measured following the International Dysphagia Diet Standardisation Initiative (IDDSI) guidelines. Results revealed that Gluco minimally altered texture but affected appearance, resulting in soft samples (hardness ≈ 1.3 N) with fibrous structures, while CaCl2 increased hardness (from ≈ 1 N to 4.68 N) through alginate-ion Ca2+ interaction. All samples passed the IDDSI test, confirming suitability for dysphagic individuals. This successfully engineered personalised food with tailored texture meeting nutritional requirements.</t>
  </si>
  <si>
    <t xml:space="preserve">Texturization methods</t>
  </si>
  <si>
    <t xml:space="preserve">End product formulation</t>
  </si>
  <si>
    <t xml:space="preserve">The paper's novel contribution is a coaxial 3D printing process with ionic crosslinking to control texture of a mycoprotein-based product, directly developing a texturization method for a finished food product targeting dysphagia levels.</t>
  </si>
  <si>
    <t xml:space="preserve">pub.1184382762</t>
  </si>
  <si>
    <t xml:space="preserve">Hot or not? Modulating the functionality of artificial casein micelles with the preparation temperature</t>
  </si>
  <si>
    <t xml:space="preserve">Identifying optimal conditions for the efficient future production of artificial casein micelles (ACM) with precision fermentation-derived caseins is essential for their application in future foods. However, casein micelles naturally form under physiological conditions with little variation, rendering it difficult to study how temperature and other factors affect their assembly. This study evaluated whether the temperature during the artificial assembly of caseins into casein micelles has a lasting impact on ACM properties and functionality. ACM were prepared at temperatures between 5 and 65 °C and stored and analysed at a fixed temperature. Micelle formation was most efficient at 37 °C, yielding the highest level of micellar casein. Casein aggregation occurred at both lower and higher temperatures, with the fraction of serum casein increasing at higher temperatures, leading to reduced micellar casein levels. Additionally, the fraction of micellar calcium phosphate and magnesium, as well as the size of calcium phosphate nanoclusters, increased with higher preparation temperatures, while micellar size and hydration decreased, resulting in denser structures. These structural and compositional changes impacted functionality, with ACM prepared at intermediate temperatures (25 and 37 °C) producing the firmest curds upon rennet coagulation, while foam stability improved for ACM prepared at lower and especially higher (65 °C) temperatures. The preparation temperature thus had irreversible effects on the ACM properties, offering a means to tailor ACM to specific applications in future foods.</t>
  </si>
  <si>
    <t xml:space="preserve">The study investigates how preparation temperature affects the structural, compositional, and functional properties of artificial casein micelles assembled from precision fermentation-derived caseins, with the primary goal of optimising ingredient properties for food applications.</t>
  </si>
  <si>
    <t xml:space="preserve">pub.1184728302</t>
  </si>
  <si>
    <t xml:space="preserve">The future of algal proteins: Innovations in extraction and modifications, functional properties, and sustainable food applications</t>
  </si>
  <si>
    <t xml:space="preserve">With the global population expected to reach 10 billion in the next 30 years, the demand for food is projected to increase by 70%, putting immense pressure on agricultural land and resources. Traditional protein sources, such as animal products, contribute significantly to environmental degradation, including high greenhouse gas emissions and deforestation. Therefore, it is crucial to explore sustainable protein alternatives that align with environmental and social norms. Algae, both microalgae and macroalgae, offer a promising solution as a sustainable protein source due to their rich nutritional content, including essential amino acids, vitamins, and minerals. Algal proteins can be cultivated in various environments, such as freshwater, saltwater, and wastewater, making them resource-efficient. The aim of this review is to explore the diverse sources of algal protein and the advanced extraction techniques, such as Pulsed Electric Field (PEF) and Ultrasound-Assisted Extraction (UAE), that can enhance protein yield and functionality. The novelty lies in highlighting algae's potential to address the growing global demand for sustainable protein while reducing environmental impacts. The results show that algae, compared to traditional animal protein sources, offer significant health benefits, such as being a rich source of bioactive compounds with antihypertensive and immune-stimulating properties. Additionally, algae require less water and land for production, making them a viable alternative to meet the increasing protein demand sustainably. This study underscores the importance of algal proteins as part of future food security strategies.</t>
  </si>
  <si>
    <t xml:space="preserve">This is a broad review article spanning multiple topics including extraction methods, functional properties, nutritional benefits, and sustainability of algal proteins, making it too cross-cutting to assign a single specific research category as primary.</t>
  </si>
  <si>
    <t xml:space="preserve">pub.1185304263</t>
  </si>
  <si>
    <t xml:space="preserve">Assessment of different nitrogen sources and bioreactor cultivation strategies during growth of Aurantiochytrium limacinum on spruce sugars</t>
  </si>
  <si>
    <t xml:space="preserve">Heterotrophic microbial production of omega-3 fatty acids for feed and food applications is an attractive alternative to the use of fish oils. In this study we have converted enzymatic hydrolysates of wood to oils rich in DHA by applying Aurantiochytrium limacinum SR21 in controlled bioreactor fermentation processes. FTIR was used as a rapid method to evaluate the effects of dissolved oxygen (DO), C/N ratios, and nitrogen sources on protein-to-lipid ratios in the produced microbial biomass. A biomass concentration of 21.7 g/L containing 29.1 % total fatty acid (TFA), out of which 35.1 % was docosahexaenoic acid (DHA), was obtained in batch cultivations using 20 % DO, a medium C/N ratio of 10gC/gN and a 50: 50 blend of complex organic nitrogen, in the form of yeast extract and peptone, and NaNO3. A continuous cultivation strategy (D = 0.3 day−1) led to much lower biomass and lipid titers compared to a batch process, indicating that a single vessel chemostat set-up may not be suitable for lipid production by A. limacinum SR21.</t>
  </si>
  <si>
    <t xml:space="preserve">The study investigates enzymatic hydrolysates of spruce wood as novel fermentation substrates and evaluates different nitrogen sources for DHA-rich oil production, with secondary focus on bioreactor cultivation strategies (batch vs. continuous) to optimize yield.</t>
  </si>
  <si>
    <t xml:space="preserve">pub.1184103027</t>
  </si>
  <si>
    <t xml:space="preserve">Recombinant Production of Bovine αS1-Casein in Genome-Reduced Bacillus subtilis Strain IIG-Bs-20-5-1</t>
  </si>
  <si>
    <t xml:space="preserve">BACKGROUND: Cow's milk represents an important protein source. Here, especially casein proteins are important components, which might be a promising source of alternative protein production by microbial expression systems. Nevertheless, caseins are difficult-to-produce proteins, making heterologous production challenging. However, the potential of genome-reduced Bacillus subtilis was applied for the recombinant production of bovine αS1-casein protein.
METHODS: A plasmid-based gene expression system was established in B. subtilis allowing the production of his-tagged codon-optimized bovine αS1-casein. Upscaling in a fed-batch bioreactor system for high cell-density fermentation processes allowed for efficient recombinant αS1-casein production. After increasing the molecular abundance of the recombinant αS1-casein protein using immobilized metal affinity chromatography, zeta potential and particle size distribution were determined in comparison to native bovine αS1-casein.
RESULTS: Non-sporulating B. subtilis strain BMV9 and genome-reduced B. subtilis strain IIG-Bs-20-5-1 were applied for recombinant αS1-casein production. Casein was detectable only in the insoluble protein fraction of the genome-reduced B. subtilis strain. Subsequent high cell-density fed-batch bioreactor cultivations using strain IIG-Bs-20-5-1 resulted in a volumetric casein titer of 56.9 mg/L and a yield of 1.6 mgcasein/gCDW after reducing the B. subtilis protein content. Comparative analyses of zeta potential and particle size between pre-cleaned recombinant and native αS1-casein showed pH-mediated differences in aggregation behavior.
CONCLUSIONS: The study demonstrates the potential of B. subtilis for the recombinant production of bovine αS1-casein and underlines the potential of genome reduction for the bioproduction of difficult-to-produce proteins.</t>
  </si>
  <si>
    <t xml:space="preserve">The paper's novel contribution is the recombinant expression of bovine αS1-casein in Bacillus subtilis, with genome-reduced strain IIG-Bs-20-5-1 used specifically to enable production of this difficult-to-express target protein.</t>
  </si>
  <si>
    <t xml:space="preserve">n</t>
  </si>
  <si>
    <t xml:space="preserve">top2_correct</t>
  </si>
  <si>
    <t xml:space="preserve">primary_acc</t>
  </si>
  <si>
    <t xml:space="preserve">top2_acc</t>
  </si>
  <si>
    <t xml:space="preserve">0%</t>
  </si>
  <si>
    <t xml:space="preserve">50%</t>
  </si>
  <si>
    <t xml:space="preserve">100%</t>
  </si>
  <si>
    <t xml:space="preserve">62%</t>
  </si>
  <si>
    <t xml:space="preserve">88%</t>
  </si>
  <si>
    <t xml:space="preserve">33%</t>
  </si>
  <si>
    <t xml:space="preserve">67%</t>
  </si>
  <si>
    <t xml:space="preserve">metric</t>
  </si>
  <si>
    <t xml:space="preserve">value</t>
  </si>
  <si>
    <t xml:space="preserve">top1_accuracy</t>
  </si>
  <si>
    <t xml:space="preserve">56%</t>
  </si>
  <si>
    <t xml:space="preserve">top2_accuracy</t>
  </si>
  <si>
    <t xml:space="preserve">78%</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</si>
</sst>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4">
    <fill>
      <patternFill patternType="none"/>
    </fill>
    <fill>
      <patternFill patternType="gray125"/>
    </fill>
    <fill>
      <patternFill patternType="solid">
        <fgColor rgb="FF81D41A"/>
        <bgColor rgb="FF969696"/>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9"/>
  <sheetViews>
    <sheetView showFormulas="false" showGridLines="true" showRowColHeaders="true" showZeros="true" rightToLeft="false" tabSelected="true" showOutlineSymbols="true" defaultGridColor="true" view="normal" topLeftCell="A25" colorId="64" zoomScale="100" zoomScaleNormal="100" zoomScalePageLayoutView="100" workbookViewId="0">
      <selection pane="topLeft" activeCell="M30" activeCellId="0" sqref="M30"/>
    </sheetView>
  </sheetViews>
  <sheetFormatPr defaultColWidth="8.34375" defaultRowHeight="15" customHeight="false" zeroHeight="false" outlineLevelRow="0" outlineLevelCol="0"/>
  <cols>
    <col collapsed="false" customWidth="true" hidden="false" outlineLevel="0" max="12" min="12" style="1" width="19.79"/>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L1" s="2" t="s">
        <v>10</v>
      </c>
    </row>
    <row r="2" customFormat="false" ht="15" hidden="false" customHeight="false" outlineLevel="0" collapsed="false">
      <c r="A2" s="1" t="s">
        <v>11</v>
      </c>
      <c r="B2" s="1" t="s">
        <v>12</v>
      </c>
      <c r="C2" s="1" t="s">
        <v>13</v>
      </c>
      <c r="D2" s="1" t="s">
        <v>14</v>
      </c>
      <c r="E2" s="1" t="s">
        <v>15</v>
      </c>
      <c r="F2" s="1" t="s">
        <v>16</v>
      </c>
      <c r="G2" s="1" t="s">
        <v>17</v>
      </c>
      <c r="H2" s="1" t="s">
        <v>18</v>
      </c>
      <c r="I2" s="3" t="b">
        <f aca="false">FALSE()</f>
        <v>0</v>
      </c>
      <c r="J2" s="1" t="b">
        <f aca="false">FALSE()</f>
        <v>0</v>
      </c>
      <c r="L2" s="4" t="s">
        <v>16</v>
      </c>
    </row>
    <row r="3" customFormat="false" ht="15" hidden="false" customHeight="false" outlineLevel="0" collapsed="false">
      <c r="A3" s="1" t="s">
        <v>19</v>
      </c>
      <c r="B3" s="1" t="s">
        <v>20</v>
      </c>
      <c r="C3" s="1" t="s">
        <v>21</v>
      </c>
      <c r="D3" s="1" t="s">
        <v>14</v>
      </c>
      <c r="E3" s="1" t="s">
        <v>22</v>
      </c>
      <c r="F3" s="1" t="s">
        <v>17</v>
      </c>
      <c r="G3" s="1" t="s">
        <v>22</v>
      </c>
      <c r="H3" s="1" t="s">
        <v>23</v>
      </c>
      <c r="I3" s="3" t="b">
        <f aca="false">FALSE()</f>
        <v>0</v>
      </c>
      <c r="J3" s="1" t="b">
        <f aca="false">TRUE()</f>
        <v>1</v>
      </c>
      <c r="L3" s="2" t="s">
        <v>17</v>
      </c>
    </row>
    <row r="4" customFormat="false" ht="15" hidden="false" customHeight="false" outlineLevel="0" collapsed="false">
      <c r="A4" s="1" t="s">
        <v>24</v>
      </c>
      <c r="B4" s="1" t="s">
        <v>25</v>
      </c>
      <c r="C4" s="1" t="s">
        <v>26</v>
      </c>
      <c r="D4" s="1" t="s">
        <v>14</v>
      </c>
      <c r="E4" s="1" t="s">
        <v>27</v>
      </c>
      <c r="F4" s="1" t="s">
        <v>22</v>
      </c>
      <c r="G4" s="1" t="s">
        <v>27</v>
      </c>
      <c r="H4" s="1" t="s">
        <v>28</v>
      </c>
      <c r="I4" s="3" t="b">
        <f aca="false">FALSE()</f>
        <v>0</v>
      </c>
      <c r="J4" s="1" t="b">
        <f aca="false">TRUE()</f>
        <v>1</v>
      </c>
      <c r="L4" s="2" t="s">
        <v>22</v>
      </c>
    </row>
    <row r="5" customFormat="false" ht="15" hidden="false" customHeight="false" outlineLevel="0" collapsed="false">
      <c r="A5" s="1" t="s">
        <v>29</v>
      </c>
      <c r="B5" s="1" t="s">
        <v>30</v>
      </c>
      <c r="C5" s="1" t="s">
        <v>31</v>
      </c>
      <c r="D5" s="1" t="s">
        <v>14</v>
      </c>
      <c r="E5" s="1" t="s">
        <v>32</v>
      </c>
      <c r="F5" s="1" t="s">
        <v>32</v>
      </c>
      <c r="G5" s="1" t="s">
        <v>22</v>
      </c>
      <c r="H5" s="1" t="s">
        <v>33</v>
      </c>
      <c r="I5" s="3" t="b">
        <f aca="false">TRUE()</f>
        <v>1</v>
      </c>
      <c r="J5" s="1" t="b">
        <f aca="false">TRUE()</f>
        <v>1</v>
      </c>
      <c r="L5" s="2"/>
    </row>
    <row r="6" customFormat="false" ht="15" hidden="false" customHeight="false" outlineLevel="0" collapsed="false">
      <c r="A6" s="1" t="s">
        <v>34</v>
      </c>
      <c r="B6" s="1" t="s">
        <v>35</v>
      </c>
      <c r="C6" s="1" t="s">
        <v>36</v>
      </c>
      <c r="D6" s="1" t="s">
        <v>14</v>
      </c>
      <c r="E6" s="1" t="s">
        <v>37</v>
      </c>
      <c r="F6" s="1" t="s">
        <v>16</v>
      </c>
      <c r="G6" s="1" t="s">
        <v>37</v>
      </c>
      <c r="H6" s="1" t="s">
        <v>38</v>
      </c>
      <c r="I6" s="3" t="b">
        <f aca="false">FALSE()</f>
        <v>0</v>
      </c>
      <c r="J6" s="1" t="b">
        <f aca="false">TRUE()</f>
        <v>1</v>
      </c>
      <c r="L6" s="2" t="s">
        <v>16</v>
      </c>
    </row>
    <row r="7" customFormat="false" ht="15" hidden="false" customHeight="false" outlineLevel="0" collapsed="false">
      <c r="A7" s="1" t="s">
        <v>39</v>
      </c>
      <c r="B7" s="1" t="s">
        <v>40</v>
      </c>
      <c r="C7" s="1" t="s">
        <v>41</v>
      </c>
      <c r="D7" s="1" t="s">
        <v>14</v>
      </c>
      <c r="E7" s="1" t="s">
        <v>16</v>
      </c>
      <c r="F7" s="1" t="s">
        <v>16</v>
      </c>
      <c r="G7" s="1" t="s">
        <v>22</v>
      </c>
      <c r="H7" s="1" t="s">
        <v>42</v>
      </c>
      <c r="I7" s="3" t="b">
        <f aca="false">TRUE()</f>
        <v>1</v>
      </c>
      <c r="J7" s="1" t="b">
        <f aca="false">TRUE()</f>
        <v>1</v>
      </c>
      <c r="L7" s="2"/>
    </row>
    <row r="8" customFormat="false" ht="15" hidden="false" customHeight="false" outlineLevel="0" collapsed="false">
      <c r="A8" s="1" t="s">
        <v>43</v>
      </c>
      <c r="B8" s="1" t="s">
        <v>44</v>
      </c>
      <c r="C8" s="1" t="s">
        <v>45</v>
      </c>
      <c r="D8" s="1" t="s">
        <v>14</v>
      </c>
      <c r="E8" s="1" t="s">
        <v>37</v>
      </c>
      <c r="F8" s="1" t="s">
        <v>37</v>
      </c>
      <c r="G8" s="1" t="s">
        <v>22</v>
      </c>
      <c r="H8" s="1" t="s">
        <v>46</v>
      </c>
      <c r="I8" s="3" t="b">
        <f aca="false">TRUE()</f>
        <v>1</v>
      </c>
      <c r="J8" s="1" t="b">
        <f aca="false">TRUE()</f>
        <v>1</v>
      </c>
      <c r="L8" s="2"/>
    </row>
    <row r="9" customFormat="false" ht="15" hidden="false" customHeight="false" outlineLevel="0" collapsed="false">
      <c r="A9" s="1" t="s">
        <v>47</v>
      </c>
      <c r="B9" s="1" t="s">
        <v>48</v>
      </c>
      <c r="C9" s="1" t="s">
        <v>49</v>
      </c>
      <c r="D9" s="1" t="s">
        <v>14</v>
      </c>
      <c r="E9" s="1" t="s">
        <v>37</v>
      </c>
      <c r="F9" s="1" t="s">
        <v>22</v>
      </c>
      <c r="G9" s="1" t="s">
        <v>17</v>
      </c>
      <c r="H9" s="1" t="s">
        <v>50</v>
      </c>
      <c r="I9" s="1" t="b">
        <f aca="false">FALSE()</f>
        <v>0</v>
      </c>
      <c r="J9" s="1" t="b">
        <f aca="false">FALSE()</f>
        <v>0</v>
      </c>
      <c r="L9" s="2" t="s">
        <v>17</v>
      </c>
      <c r="M9" s="1" t="s">
        <v>51</v>
      </c>
    </row>
    <row r="10" customFormat="false" ht="15" hidden="false" customHeight="false" outlineLevel="0" collapsed="false">
      <c r="A10" s="1" t="s">
        <v>52</v>
      </c>
      <c r="B10" s="1" t="s">
        <v>53</v>
      </c>
      <c r="C10" s="1" t="s">
        <v>54</v>
      </c>
      <c r="D10" s="1" t="s">
        <v>14</v>
      </c>
      <c r="E10" s="1" t="s">
        <v>17</v>
      </c>
      <c r="F10" s="1" t="s">
        <v>17</v>
      </c>
      <c r="G10" s="1" t="s">
        <v>27</v>
      </c>
      <c r="H10" s="1" t="s">
        <v>55</v>
      </c>
      <c r="I10" s="3" t="b">
        <f aca="false">TRUE()</f>
        <v>1</v>
      </c>
      <c r="J10" s="1" t="b">
        <f aca="false">TRUE()</f>
        <v>1</v>
      </c>
      <c r="L10" s="2"/>
    </row>
    <row r="11" customFormat="false" ht="15" hidden="false" customHeight="false" outlineLevel="0" collapsed="false">
      <c r="A11" s="1" t="s">
        <v>56</v>
      </c>
      <c r="B11" s="1" t="s">
        <v>57</v>
      </c>
      <c r="C11" s="1" t="s">
        <v>58</v>
      </c>
      <c r="D11" s="1" t="s">
        <v>14</v>
      </c>
      <c r="E11" s="1" t="s">
        <v>32</v>
      </c>
      <c r="F11" s="1" t="s">
        <v>32</v>
      </c>
      <c r="G11" s="1" t="s">
        <v>27</v>
      </c>
      <c r="H11" s="1" t="s">
        <v>59</v>
      </c>
      <c r="I11" s="3" t="b">
        <f aca="false">TRUE()</f>
        <v>1</v>
      </c>
      <c r="J11" s="1" t="b">
        <f aca="false">TRUE()</f>
        <v>1</v>
      </c>
      <c r="L11" s="2"/>
    </row>
    <row r="12" customFormat="false" ht="15" hidden="false" customHeight="false" outlineLevel="0" collapsed="false">
      <c r="A12" s="1" t="s">
        <v>60</v>
      </c>
      <c r="B12" s="1" t="s">
        <v>61</v>
      </c>
      <c r="C12" s="1" t="s">
        <v>62</v>
      </c>
      <c r="D12" s="1" t="s">
        <v>14</v>
      </c>
      <c r="E12" s="1" t="s">
        <v>17</v>
      </c>
      <c r="F12" s="1" t="s">
        <v>22</v>
      </c>
      <c r="G12" s="1" t="s">
        <v>17</v>
      </c>
      <c r="H12" s="1" t="s">
        <v>63</v>
      </c>
      <c r="I12" s="3" t="b">
        <f aca="false">FALSE()</f>
        <v>0</v>
      </c>
      <c r="J12" s="1" t="b">
        <f aca="false">TRUE()</f>
        <v>1</v>
      </c>
      <c r="L12" s="2" t="s">
        <v>22</v>
      </c>
    </row>
    <row r="13" customFormat="false" ht="15" hidden="false" customHeight="false" outlineLevel="0" collapsed="false">
      <c r="A13" s="1" t="s">
        <v>64</v>
      </c>
      <c r="B13" s="1" t="s">
        <v>65</v>
      </c>
      <c r="C13" s="1" t="s">
        <v>66</v>
      </c>
      <c r="D13" s="1" t="s">
        <v>14</v>
      </c>
      <c r="E13" s="1" t="s">
        <v>16</v>
      </c>
      <c r="F13" s="1" t="s">
        <v>16</v>
      </c>
      <c r="G13" s="1" t="s">
        <v>32</v>
      </c>
      <c r="H13" s="1" t="s">
        <v>67</v>
      </c>
      <c r="I13" s="3" t="b">
        <f aca="false">TRUE()</f>
        <v>1</v>
      </c>
      <c r="J13" s="1" t="b">
        <f aca="false">TRUE()</f>
        <v>1</v>
      </c>
      <c r="L13" s="2"/>
    </row>
    <row r="14" customFormat="false" ht="15" hidden="false" customHeight="false" outlineLevel="0" collapsed="false">
      <c r="A14" s="1" t="s">
        <v>68</v>
      </c>
      <c r="B14" s="1" t="s">
        <v>69</v>
      </c>
      <c r="C14" s="1" t="s">
        <v>70</v>
      </c>
      <c r="D14" s="1" t="s">
        <v>14</v>
      </c>
      <c r="E14" s="1" t="s">
        <v>32</v>
      </c>
      <c r="F14" s="1" t="s">
        <v>32</v>
      </c>
      <c r="G14" s="1" t="s">
        <v>27</v>
      </c>
      <c r="H14" s="1" t="s">
        <v>71</v>
      </c>
      <c r="I14" s="3" t="b">
        <f aca="false">TRUE()</f>
        <v>1</v>
      </c>
      <c r="J14" s="1" t="b">
        <f aca="false">TRUE()</f>
        <v>1</v>
      </c>
      <c r="L14" s="2"/>
    </row>
    <row r="15" customFormat="false" ht="15" hidden="false" customHeight="false" outlineLevel="0" collapsed="false">
      <c r="A15" s="1" t="s">
        <v>72</v>
      </c>
      <c r="B15" s="1" t="s">
        <v>73</v>
      </c>
      <c r="C15" s="1" t="s">
        <v>74</v>
      </c>
      <c r="D15" s="1" t="s">
        <v>14</v>
      </c>
      <c r="E15" s="1" t="s">
        <v>37</v>
      </c>
      <c r="F15" s="1" t="s">
        <v>37</v>
      </c>
      <c r="G15" s="1" t="s">
        <v>22</v>
      </c>
      <c r="H15" s="1" t="s">
        <v>75</v>
      </c>
      <c r="I15" s="3" t="b">
        <f aca="false">TRUE()</f>
        <v>1</v>
      </c>
      <c r="J15" s="1" t="b">
        <f aca="false">TRUE()</f>
        <v>1</v>
      </c>
      <c r="L15" s="2"/>
    </row>
    <row r="16" customFormat="false" ht="15" hidden="false" customHeight="false" outlineLevel="0" collapsed="false">
      <c r="A16" s="1" t="s">
        <v>76</v>
      </c>
      <c r="B16" s="1" t="s">
        <v>77</v>
      </c>
      <c r="C16" s="1" t="s">
        <v>78</v>
      </c>
      <c r="D16" s="1" t="s">
        <v>14</v>
      </c>
      <c r="E16" s="1" t="s">
        <v>27</v>
      </c>
      <c r="F16" s="1" t="s">
        <v>22</v>
      </c>
      <c r="G16" s="1" t="s">
        <v>17</v>
      </c>
      <c r="H16" s="1" t="s">
        <v>79</v>
      </c>
      <c r="I16" s="3" t="b">
        <f aca="false">FALSE()</f>
        <v>0</v>
      </c>
      <c r="J16" s="1" t="b">
        <f aca="false">FALSE()</f>
        <v>0</v>
      </c>
      <c r="L16" s="2" t="s">
        <v>22</v>
      </c>
    </row>
    <row r="17" customFormat="false" ht="3024.05" hidden="false" customHeight="false" outlineLevel="0" collapsed="false">
      <c r="A17" s="1" t="s">
        <v>80</v>
      </c>
      <c r="B17" s="1" t="s">
        <v>81</v>
      </c>
      <c r="C17" s="5" t="s">
        <v>82</v>
      </c>
      <c r="D17" s="1" t="s">
        <v>14</v>
      </c>
      <c r="E17" s="1" t="s">
        <v>37</v>
      </c>
      <c r="F17" s="1" t="s">
        <v>83</v>
      </c>
      <c r="G17" s="1" t="s">
        <v>37</v>
      </c>
      <c r="H17" s="1" t="s">
        <v>84</v>
      </c>
      <c r="I17" s="3" t="b">
        <f aca="false">FALSE()</f>
        <v>0</v>
      </c>
      <c r="J17" s="1" t="b">
        <f aca="false">TRUE()</f>
        <v>1</v>
      </c>
      <c r="L17" s="2" t="s">
        <v>83</v>
      </c>
    </row>
    <row r="18" customFormat="false" ht="15" hidden="false" customHeight="false" outlineLevel="0" collapsed="false">
      <c r="A18" s="1" t="s">
        <v>85</v>
      </c>
      <c r="B18" s="1" t="s">
        <v>86</v>
      </c>
      <c r="C18" s="1" t="s">
        <v>87</v>
      </c>
      <c r="D18" s="1" t="s">
        <v>14</v>
      </c>
      <c r="E18" s="1" t="s">
        <v>27</v>
      </c>
      <c r="F18" s="1" t="s">
        <v>27</v>
      </c>
      <c r="G18" s="1" t="s">
        <v>88</v>
      </c>
      <c r="H18" s="1" t="s">
        <v>89</v>
      </c>
      <c r="I18" s="3" t="b">
        <f aca="false">TRUE()</f>
        <v>1</v>
      </c>
      <c r="J18" s="1" t="b">
        <f aca="false">TRUE()</f>
        <v>1</v>
      </c>
      <c r="L18" s="2"/>
    </row>
    <row r="19" customFormat="false" ht="15" hidden="false" customHeight="false" outlineLevel="0" collapsed="false">
      <c r="A19" s="1" t="s">
        <v>90</v>
      </c>
      <c r="B19" s="1" t="s">
        <v>91</v>
      </c>
      <c r="C19" s="1" t="s">
        <v>92</v>
      </c>
      <c r="D19" s="1" t="s">
        <v>14</v>
      </c>
      <c r="E19" s="1" t="s">
        <v>37</v>
      </c>
      <c r="F19" s="1" t="s">
        <v>37</v>
      </c>
      <c r="G19" s="1" t="s">
        <v>22</v>
      </c>
      <c r="H19" s="1" t="s">
        <v>93</v>
      </c>
      <c r="I19" s="3" t="b">
        <f aca="false">TRUE()</f>
        <v>1</v>
      </c>
      <c r="J19" s="1" t="b">
        <f aca="false">TRUE()</f>
        <v>1</v>
      </c>
      <c r="L19" s="2"/>
    </row>
    <row r="20" customFormat="false" ht="15" hidden="false" customHeight="false" outlineLevel="0" collapsed="false">
      <c r="A20" s="1" t="s">
        <v>94</v>
      </c>
      <c r="B20" s="1" t="s">
        <v>95</v>
      </c>
      <c r="C20" s="1" t="s">
        <v>96</v>
      </c>
      <c r="D20" s="1" t="s">
        <v>14</v>
      </c>
      <c r="E20" s="1" t="s">
        <v>37</v>
      </c>
      <c r="F20" s="1" t="s">
        <v>37</v>
      </c>
      <c r="G20" s="1" t="s">
        <v>22</v>
      </c>
      <c r="H20" s="1" t="s">
        <v>97</v>
      </c>
      <c r="I20" s="3" t="b">
        <f aca="false">TRUE()</f>
        <v>1</v>
      </c>
      <c r="J20" s="1" t="b">
        <f aca="false">TRUE()</f>
        <v>1</v>
      </c>
      <c r="L20" s="2"/>
    </row>
    <row r="21" customFormat="false" ht="15" hidden="false" customHeight="false" outlineLevel="0" collapsed="false">
      <c r="A21" s="1" t="s">
        <v>98</v>
      </c>
      <c r="B21" s="1" t="s">
        <v>99</v>
      </c>
      <c r="C21" s="1" t="s">
        <v>100</v>
      </c>
      <c r="D21" s="1" t="s">
        <v>14</v>
      </c>
      <c r="E21" s="1" t="s">
        <v>37</v>
      </c>
      <c r="F21" s="1" t="s">
        <v>37</v>
      </c>
      <c r="G21" s="1" t="s">
        <v>22</v>
      </c>
      <c r="H21" s="1" t="s">
        <v>101</v>
      </c>
      <c r="I21" s="3" t="b">
        <f aca="false">TRUE()</f>
        <v>1</v>
      </c>
      <c r="J21" s="1" t="b">
        <f aca="false">TRUE()</f>
        <v>1</v>
      </c>
      <c r="L21" s="2"/>
    </row>
    <row r="22" customFormat="false" ht="15" hidden="false" customHeight="false" outlineLevel="0" collapsed="false">
      <c r="A22" s="1" t="s">
        <v>102</v>
      </c>
      <c r="B22" s="1" t="s">
        <v>103</v>
      </c>
      <c r="C22" s="1" t="s">
        <v>104</v>
      </c>
      <c r="D22" s="1" t="s">
        <v>14</v>
      </c>
      <c r="E22" s="1" t="s">
        <v>15</v>
      </c>
      <c r="F22" s="1" t="s">
        <v>22</v>
      </c>
      <c r="G22" s="1" t="s">
        <v>27</v>
      </c>
      <c r="H22" s="1" t="s">
        <v>105</v>
      </c>
      <c r="I22" s="3" t="b">
        <f aca="false">FALSE()</f>
        <v>0</v>
      </c>
      <c r="J22" s="1" t="b">
        <f aca="false">FALSE()</f>
        <v>0</v>
      </c>
      <c r="L22" s="4" t="s">
        <v>22</v>
      </c>
    </row>
    <row r="23" customFormat="false" ht="15" hidden="false" customHeight="false" outlineLevel="0" collapsed="false">
      <c r="A23" s="1" t="s">
        <v>106</v>
      </c>
      <c r="B23" s="1" t="s">
        <v>107</v>
      </c>
      <c r="C23" s="1" t="s">
        <v>108</v>
      </c>
      <c r="D23" s="1" t="s">
        <v>14</v>
      </c>
      <c r="E23" s="1" t="s">
        <v>17</v>
      </c>
      <c r="F23" s="1" t="s">
        <v>17</v>
      </c>
      <c r="G23" s="1" t="s">
        <v>15</v>
      </c>
      <c r="H23" s="1" t="s">
        <v>109</v>
      </c>
      <c r="I23" s="3" t="b">
        <f aca="false">TRUE()</f>
        <v>1</v>
      </c>
      <c r="J23" s="1" t="b">
        <f aca="false">TRUE()</f>
        <v>1</v>
      </c>
      <c r="L23" s="2"/>
    </row>
    <row r="24" customFormat="false" ht="15" hidden="false" customHeight="false" outlineLevel="0" collapsed="false">
      <c r="A24" s="1" t="s">
        <v>110</v>
      </c>
      <c r="B24" s="1" t="s">
        <v>111</v>
      </c>
      <c r="C24" s="1" t="s">
        <v>112</v>
      </c>
      <c r="D24" s="1" t="s">
        <v>14</v>
      </c>
      <c r="E24" s="1" t="s">
        <v>88</v>
      </c>
      <c r="F24" s="1" t="s">
        <v>83</v>
      </c>
      <c r="G24" s="1" t="s">
        <v>16</v>
      </c>
      <c r="H24" s="1" t="s">
        <v>113</v>
      </c>
      <c r="I24" s="3" t="b">
        <f aca="false">FALSE()</f>
        <v>0</v>
      </c>
      <c r="J24" s="1" t="b">
        <f aca="false">FALSE()</f>
        <v>0</v>
      </c>
      <c r="L24" s="2" t="s">
        <v>83</v>
      </c>
    </row>
    <row r="25" customFormat="false" ht="15" hidden="false" customHeight="false" outlineLevel="0" collapsed="false">
      <c r="A25" s="1" t="s">
        <v>114</v>
      </c>
      <c r="B25" s="1" t="s">
        <v>115</v>
      </c>
      <c r="C25" s="1" t="s">
        <v>116</v>
      </c>
      <c r="D25" s="1" t="s">
        <v>14</v>
      </c>
      <c r="E25" s="1" t="s">
        <v>32</v>
      </c>
      <c r="F25" s="1" t="s">
        <v>32</v>
      </c>
      <c r="G25" s="1" t="s">
        <v>15</v>
      </c>
      <c r="H25" s="1" t="s">
        <v>117</v>
      </c>
      <c r="I25" s="3" t="b">
        <f aca="false">TRUE()</f>
        <v>1</v>
      </c>
      <c r="J25" s="1" t="b">
        <f aca="false">TRUE()</f>
        <v>1</v>
      </c>
      <c r="L25" s="2"/>
    </row>
    <row r="26" customFormat="false" ht="15" hidden="false" customHeight="false" outlineLevel="0" collapsed="false">
      <c r="A26" s="1" t="s">
        <v>118</v>
      </c>
      <c r="B26" s="1" t="s">
        <v>119</v>
      </c>
      <c r="C26" s="1" t="s">
        <v>120</v>
      </c>
      <c r="D26" s="1" t="s">
        <v>14</v>
      </c>
      <c r="E26" s="1" t="s">
        <v>16</v>
      </c>
      <c r="F26" s="1" t="s">
        <v>16</v>
      </c>
      <c r="G26" s="1" t="s">
        <v>88</v>
      </c>
      <c r="H26" s="1" t="s">
        <v>121</v>
      </c>
      <c r="I26" s="3" t="b">
        <f aca="false">TRUE()</f>
        <v>1</v>
      </c>
      <c r="J26" s="1" t="b">
        <f aca="false">TRUE()</f>
        <v>1</v>
      </c>
      <c r="L26" s="2"/>
    </row>
    <row r="27" customFormat="false" ht="15" hidden="false" customHeight="false" outlineLevel="0" collapsed="false">
      <c r="A27" s="1" t="s">
        <v>122</v>
      </c>
      <c r="B27" s="1" t="s">
        <v>123</v>
      </c>
      <c r="C27" s="1" t="s">
        <v>124</v>
      </c>
      <c r="D27" s="1" t="s">
        <v>14</v>
      </c>
      <c r="E27" s="1" t="s">
        <v>15</v>
      </c>
      <c r="F27" s="1" t="s">
        <v>17</v>
      </c>
      <c r="G27" s="1" t="s">
        <v>22</v>
      </c>
      <c r="H27" s="1" t="s">
        <v>125</v>
      </c>
      <c r="I27" s="3" t="b">
        <f aca="false">FALSE()</f>
        <v>0</v>
      </c>
      <c r="J27" s="1" t="b">
        <f aca="false">FALSE()</f>
        <v>0</v>
      </c>
      <c r="L27" s="2" t="s">
        <v>17</v>
      </c>
    </row>
    <row r="28" customFormat="false" ht="15" hidden="false" customHeight="false" outlineLevel="0" collapsed="false">
      <c r="A28" s="1" t="s">
        <v>126</v>
      </c>
      <c r="B28" s="1" t="s">
        <v>127</v>
      </c>
      <c r="C28" s="1" t="s">
        <v>128</v>
      </c>
      <c r="D28" s="1" t="s">
        <v>14</v>
      </c>
      <c r="E28" s="1" t="s">
        <v>17</v>
      </c>
      <c r="F28" s="1" t="s">
        <v>16</v>
      </c>
      <c r="G28" s="1" t="s">
        <v>17</v>
      </c>
      <c r="H28" s="1" t="s">
        <v>129</v>
      </c>
      <c r="I28" s="3" t="b">
        <f aca="false">FALSE()</f>
        <v>0</v>
      </c>
      <c r="J28" s="1" t="b">
        <f aca="false">TRUE()</f>
        <v>1</v>
      </c>
      <c r="L28" s="2" t="s">
        <v>16</v>
      </c>
    </row>
    <row r="29" customFormat="false" ht="15" hidden="false" customHeight="false" outlineLevel="0" collapsed="false">
      <c r="A29" s="0" t="s">
        <v>130</v>
      </c>
      <c r="B29" s="0" t="s">
        <v>131</v>
      </c>
      <c r="C29" s="0" t="s">
        <v>132</v>
      </c>
      <c r="D29" s="0" t="s">
        <v>14</v>
      </c>
      <c r="E29" s="0" t="s">
        <v>22</v>
      </c>
      <c r="F29" s="6" t="s">
        <v>16</v>
      </c>
      <c r="G29" s="0" t="s">
        <v>37</v>
      </c>
      <c r="H29" s="0" t="s">
        <v>133</v>
      </c>
      <c r="I29" s="7" t="b">
        <f aca="false">FALSE()</f>
        <v>0</v>
      </c>
      <c r="J29" s="8" t="b">
        <f aca="false">FALSE()</f>
        <v>0</v>
      </c>
      <c r="L29" s="0" t="s">
        <v>16</v>
      </c>
      <c r="M29" s="9" t="s">
        <v>134</v>
      </c>
    </row>
    <row r="30" customFormat="false" ht="15" hidden="false" customHeight="false" outlineLevel="0" collapsed="false">
      <c r="A30" s="0" t="s">
        <v>135</v>
      </c>
      <c r="B30" s="0" t="s">
        <v>136</v>
      </c>
      <c r="C30" s="0" t="s">
        <v>137</v>
      </c>
      <c r="D30" s="0" t="s">
        <v>14</v>
      </c>
      <c r="E30" s="0" t="s">
        <v>27</v>
      </c>
      <c r="F30" s="0" t="s">
        <v>16</v>
      </c>
      <c r="G30" s="0" t="s">
        <v>32</v>
      </c>
      <c r="H30" s="0" t="s">
        <v>138</v>
      </c>
      <c r="I30" s="7" t="b">
        <f aca="false">FALSE()</f>
        <v>0</v>
      </c>
      <c r="J30" s="8" t="b">
        <f aca="false">FALSE()</f>
        <v>0</v>
      </c>
      <c r="L30" s="0" t="s">
        <v>16</v>
      </c>
    </row>
    <row r="31" customFormat="false" ht="15" hidden="false" customHeight="false" outlineLevel="0" collapsed="false">
      <c r="A31" s="0" t="s">
        <v>47</v>
      </c>
      <c r="B31" s="0" t="s">
        <v>48</v>
      </c>
      <c r="C31" s="0" t="s">
        <v>49</v>
      </c>
      <c r="D31" s="0" t="s">
        <v>14</v>
      </c>
      <c r="E31" s="0" t="s">
        <v>17</v>
      </c>
      <c r="F31" s="0" t="s">
        <v>22</v>
      </c>
      <c r="G31" s="0" t="s">
        <v>17</v>
      </c>
      <c r="H31" s="0" t="s">
        <v>139</v>
      </c>
      <c r="I31" s="8" t="b">
        <f aca="false">FALSE()</f>
        <v>0</v>
      </c>
      <c r="J31" s="8" t="b">
        <f aca="false">TRUE()</f>
        <v>1</v>
      </c>
      <c r="L31" s="0"/>
    </row>
    <row r="32" customFormat="false" ht="34.2" hidden="false" customHeight="false" outlineLevel="0" collapsed="false">
      <c r="A32" s="0" t="s">
        <v>140</v>
      </c>
      <c r="B32" s="0" t="s">
        <v>141</v>
      </c>
      <c r="C32" s="10" t="s">
        <v>142</v>
      </c>
      <c r="D32" s="0" t="s">
        <v>14</v>
      </c>
      <c r="E32" s="0" t="s">
        <v>22</v>
      </c>
      <c r="F32" s="0" t="s">
        <v>22</v>
      </c>
      <c r="G32" s="0" t="s">
        <v>32</v>
      </c>
      <c r="H32" s="0" t="s">
        <v>143</v>
      </c>
      <c r="I32" s="7" t="b">
        <f aca="false">TRUE()</f>
        <v>1</v>
      </c>
      <c r="J32" s="8" t="b">
        <f aca="false">TRUE()</f>
        <v>1</v>
      </c>
      <c r="L32" s="0"/>
    </row>
    <row r="33" customFormat="false" ht="15" hidden="false" customHeight="false" outlineLevel="0" collapsed="false">
      <c r="A33" s="0" t="s">
        <v>144</v>
      </c>
      <c r="B33" s="0" t="s">
        <v>145</v>
      </c>
      <c r="C33" s="0" t="s">
        <v>146</v>
      </c>
      <c r="D33" s="0" t="s">
        <v>14</v>
      </c>
      <c r="E33" s="0" t="s">
        <v>27</v>
      </c>
      <c r="F33" s="0" t="s">
        <v>15</v>
      </c>
      <c r="G33" s="0" t="s">
        <v>32</v>
      </c>
      <c r="H33" s="0" t="s">
        <v>147</v>
      </c>
      <c r="I33" s="7" t="b">
        <f aca="false">FALSE()</f>
        <v>0</v>
      </c>
      <c r="J33" s="8" t="b">
        <f aca="false">FALSE()</f>
        <v>0</v>
      </c>
      <c r="L33" s="0" t="s">
        <v>15</v>
      </c>
    </row>
    <row r="34" customFormat="false" ht="15" hidden="false" customHeight="false" outlineLevel="0" collapsed="false">
      <c r="A34" s="0" t="s">
        <v>148</v>
      </c>
      <c r="B34" s="0" t="s">
        <v>149</v>
      </c>
      <c r="C34" s="0" t="s">
        <v>150</v>
      </c>
      <c r="D34" s="0" t="s">
        <v>14</v>
      </c>
      <c r="E34" s="0" t="s">
        <v>27</v>
      </c>
      <c r="F34" s="0" t="s">
        <v>17</v>
      </c>
      <c r="G34" s="0" t="s">
        <v>27</v>
      </c>
      <c r="H34" s="0" t="s">
        <v>151</v>
      </c>
      <c r="I34" s="7" t="b">
        <f aca="false">FALSE()</f>
        <v>0</v>
      </c>
      <c r="J34" s="8" t="b">
        <f aca="false">TRUE()</f>
        <v>1</v>
      </c>
      <c r="L34" s="0"/>
    </row>
    <row r="35" customFormat="false" ht="15" hidden="false" customHeight="false" outlineLevel="0" collapsed="false">
      <c r="A35" s="0" t="s">
        <v>152</v>
      </c>
      <c r="B35" s="0" t="s">
        <v>153</v>
      </c>
      <c r="C35" s="0" t="s">
        <v>154</v>
      </c>
      <c r="D35" s="0" t="s">
        <v>14</v>
      </c>
      <c r="E35" s="0" t="s">
        <v>155</v>
      </c>
      <c r="F35" s="0" t="s">
        <v>155</v>
      </c>
      <c r="G35" s="0" t="s">
        <v>156</v>
      </c>
      <c r="H35" s="0" t="s">
        <v>157</v>
      </c>
      <c r="I35" s="7" t="b">
        <f aca="false">TRUE()</f>
        <v>1</v>
      </c>
      <c r="J35" s="8" t="b">
        <f aca="false">TRUE()</f>
        <v>1</v>
      </c>
      <c r="L35" s="0"/>
    </row>
    <row r="36" customFormat="false" ht="15" hidden="false" customHeight="false" outlineLevel="0" collapsed="false">
      <c r="A36" s="0" t="s">
        <v>158</v>
      </c>
      <c r="B36" s="0" t="s">
        <v>159</v>
      </c>
      <c r="C36" s="0" t="s">
        <v>160</v>
      </c>
      <c r="D36" s="0" t="s">
        <v>14</v>
      </c>
      <c r="E36" s="0" t="s">
        <v>22</v>
      </c>
      <c r="F36" s="0" t="s">
        <v>22</v>
      </c>
      <c r="G36" s="0" t="s">
        <v>32</v>
      </c>
      <c r="H36" s="0" t="s">
        <v>161</v>
      </c>
      <c r="I36" s="7" t="b">
        <f aca="false">TRUE()</f>
        <v>1</v>
      </c>
      <c r="J36" s="8" t="b">
        <f aca="false">TRUE()</f>
        <v>1</v>
      </c>
      <c r="L36" s="0"/>
    </row>
    <row r="37" customFormat="false" ht="15" hidden="false" customHeight="false" outlineLevel="0" collapsed="false">
      <c r="A37" s="0" t="s">
        <v>162</v>
      </c>
      <c r="B37" s="0" t="s">
        <v>163</v>
      </c>
      <c r="C37" s="0" t="s">
        <v>164</v>
      </c>
      <c r="D37" s="0" t="s">
        <v>14</v>
      </c>
      <c r="E37" s="0" t="s">
        <v>22</v>
      </c>
      <c r="F37" s="0" t="s">
        <v>16</v>
      </c>
      <c r="G37" s="0" t="s">
        <v>22</v>
      </c>
      <c r="H37" s="0" t="s">
        <v>165</v>
      </c>
      <c r="I37" s="7" t="b">
        <f aca="false">FALSE()</f>
        <v>0</v>
      </c>
      <c r="J37" s="8" t="b">
        <f aca="false">TRUE()</f>
        <v>1</v>
      </c>
      <c r="L37" s="0" t="s">
        <v>16</v>
      </c>
    </row>
    <row r="38" customFormat="false" ht="15" hidden="false" customHeight="false" outlineLevel="0" collapsed="false">
      <c r="A38" s="0" t="s">
        <v>166</v>
      </c>
      <c r="B38" s="0" t="s">
        <v>167</v>
      </c>
      <c r="C38" s="0" t="s">
        <v>168</v>
      </c>
      <c r="D38" s="0" t="s">
        <v>14</v>
      </c>
      <c r="E38" s="0" t="s">
        <v>15</v>
      </c>
      <c r="F38" s="0" t="s">
        <v>17</v>
      </c>
      <c r="G38" s="0" t="s">
        <v>15</v>
      </c>
      <c r="H38" s="0" t="s">
        <v>169</v>
      </c>
      <c r="I38" s="7" t="b">
        <f aca="false">FALSE()</f>
        <v>0</v>
      </c>
      <c r="J38" s="8" t="b">
        <f aca="false">TRUE()</f>
        <v>1</v>
      </c>
      <c r="L38" s="0" t="s">
        <v>17</v>
      </c>
    </row>
    <row r="39" customFormat="false" ht="45.1" hidden="false" customHeight="false" outlineLevel="0" collapsed="false">
      <c r="A39" s="0" t="s">
        <v>170</v>
      </c>
      <c r="B39" s="0" t="s">
        <v>171</v>
      </c>
      <c r="C39" s="10" t="s">
        <v>172</v>
      </c>
      <c r="D39" s="0" t="s">
        <v>14</v>
      </c>
      <c r="E39" s="0" t="s">
        <v>27</v>
      </c>
      <c r="F39" s="0" t="s">
        <v>32</v>
      </c>
      <c r="G39" s="0" t="s">
        <v>27</v>
      </c>
      <c r="H39" s="0" t="s">
        <v>173</v>
      </c>
      <c r="I39" s="7" t="b">
        <f aca="false">FALSE()</f>
        <v>0</v>
      </c>
      <c r="J39" s="8" t="b">
        <f aca="false">TRUE()</f>
        <v>1</v>
      </c>
      <c r="L39" s="0" t="s">
        <v>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1" t="s">
        <v>4</v>
      </c>
      <c r="B1" s="1" t="s">
        <v>174</v>
      </c>
      <c r="C1" s="1" t="s">
        <v>8</v>
      </c>
      <c r="D1" s="1" t="s">
        <v>175</v>
      </c>
      <c r="E1" s="1" t="s">
        <v>176</v>
      </c>
      <c r="F1" s="1" t="s">
        <v>177</v>
      </c>
    </row>
    <row r="2" customFormat="false" ht="15" hidden="false" customHeight="false" outlineLevel="0" collapsed="false">
      <c r="A2" s="1" t="s">
        <v>15</v>
      </c>
      <c r="B2" s="1" t="n">
        <v>3</v>
      </c>
      <c r="C2" s="1" t="n">
        <v>0</v>
      </c>
      <c r="D2" s="1" t="n">
        <v>0</v>
      </c>
      <c r="E2" s="1" t="s">
        <v>178</v>
      </c>
      <c r="F2" s="1" t="s">
        <v>178</v>
      </c>
    </row>
    <row r="3" customFormat="false" ht="15" hidden="false" customHeight="false" outlineLevel="0" collapsed="false">
      <c r="A3" s="1" t="s">
        <v>17</v>
      </c>
      <c r="B3" s="1" t="n">
        <v>4</v>
      </c>
      <c r="C3" s="1" t="n">
        <v>2</v>
      </c>
      <c r="D3" s="1" t="n">
        <v>4</v>
      </c>
      <c r="E3" s="1" t="s">
        <v>179</v>
      </c>
      <c r="F3" s="1" t="s">
        <v>180</v>
      </c>
    </row>
    <row r="4" customFormat="false" ht="15" hidden="false" customHeight="false" outlineLevel="0" collapsed="false">
      <c r="A4" s="1" t="s">
        <v>88</v>
      </c>
      <c r="B4" s="1" t="n">
        <v>1</v>
      </c>
      <c r="C4" s="1" t="n">
        <v>0</v>
      </c>
      <c r="D4" s="1" t="n">
        <v>0</v>
      </c>
      <c r="E4" s="1" t="s">
        <v>178</v>
      </c>
      <c r="F4" s="1" t="s">
        <v>178</v>
      </c>
    </row>
    <row r="5" customFormat="false" ht="15" hidden="false" customHeight="false" outlineLevel="0" collapsed="false">
      <c r="A5" s="1" t="s">
        <v>37</v>
      </c>
      <c r="B5" s="1" t="n">
        <v>8</v>
      </c>
      <c r="C5" s="1" t="n">
        <v>5</v>
      </c>
      <c r="D5" s="1" t="n">
        <v>7</v>
      </c>
      <c r="E5" s="1" t="s">
        <v>181</v>
      </c>
      <c r="F5" s="1" t="s">
        <v>182</v>
      </c>
    </row>
    <row r="6" customFormat="false" ht="15" hidden="false" customHeight="false" outlineLevel="0" collapsed="false">
      <c r="A6" s="1" t="s">
        <v>22</v>
      </c>
      <c r="B6" s="1" t="n">
        <v>1</v>
      </c>
      <c r="C6" s="1" t="n">
        <v>0</v>
      </c>
      <c r="D6" s="1" t="n">
        <v>1</v>
      </c>
      <c r="E6" s="1" t="s">
        <v>178</v>
      </c>
      <c r="F6" s="1" t="s">
        <v>180</v>
      </c>
    </row>
    <row r="7" customFormat="false" ht="15" hidden="false" customHeight="false" outlineLevel="0" collapsed="false">
      <c r="A7" s="1" t="s">
        <v>16</v>
      </c>
      <c r="B7" s="1" t="n">
        <v>3</v>
      </c>
      <c r="C7" s="1" t="n">
        <v>3</v>
      </c>
      <c r="D7" s="1" t="n">
        <v>3</v>
      </c>
      <c r="E7" s="1" t="s">
        <v>180</v>
      </c>
      <c r="F7" s="1" t="s">
        <v>180</v>
      </c>
    </row>
    <row r="8" customFormat="false" ht="15" hidden="false" customHeight="false" outlineLevel="0" collapsed="false">
      <c r="A8" s="1" t="s">
        <v>27</v>
      </c>
      <c r="B8" s="1" t="n">
        <v>3</v>
      </c>
      <c r="C8" s="1" t="n">
        <v>1</v>
      </c>
      <c r="D8" s="1" t="n">
        <v>2</v>
      </c>
      <c r="E8" s="1" t="s">
        <v>183</v>
      </c>
      <c r="F8" s="1" t="s">
        <v>184</v>
      </c>
    </row>
    <row r="9" customFormat="false" ht="15" hidden="false" customHeight="false" outlineLevel="0" collapsed="false">
      <c r="A9" s="1" t="s">
        <v>32</v>
      </c>
      <c r="B9" s="1" t="n">
        <v>4</v>
      </c>
      <c r="C9" s="1" t="n">
        <v>4</v>
      </c>
      <c r="D9" s="1" t="n">
        <v>4</v>
      </c>
      <c r="E9" s="1" t="s">
        <v>180</v>
      </c>
      <c r="F9" s="1" t="s">
        <v>180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1" t="s">
        <v>185</v>
      </c>
      <c r="B1" s="1" t="s">
        <v>186</v>
      </c>
      <c r="C1" s="1" t="s">
        <v>174</v>
      </c>
    </row>
    <row r="2" customFormat="false" ht="15" hidden="false" customHeight="false" outlineLevel="0" collapsed="false">
      <c r="A2" s="1" t="s">
        <v>187</v>
      </c>
      <c r="B2" s="1" t="s">
        <v>188</v>
      </c>
      <c r="C2" s="1" t="n">
        <v>27</v>
      </c>
    </row>
    <row r="3" customFormat="false" ht="15" hidden="false" customHeight="false" outlineLevel="0" collapsed="false">
      <c r="A3" s="1" t="s">
        <v>189</v>
      </c>
      <c r="B3" s="1" t="s">
        <v>190</v>
      </c>
      <c r="C3" s="1" t="n">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2026-06-25T12:16:13Z</dcterms:created>
  <dc:creator>openpyxl</dc:creator>
  <dc:description/>
  <dc:language>en-GB</dc:language>
  <cp:lastModifiedBy/>
  <dcterms:modified xsi:type="dcterms:W3CDTF">2026-06-25T15:40:36Z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