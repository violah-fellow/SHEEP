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<sst xmlns="http://schemas.openxmlformats.org/spreadsheetml/2006/main" count="277" uniqueCount="147">
  <si>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</si>
  <si>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</si>
  <si>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</si>
  <si>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</si>
  <si>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</si>
  <si>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</si>
  <si>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</si>
  <si>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</si>
  <si>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</si>
  <si>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</si>
  <si>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</si>
  <si>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</si>
  <si>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</si>
  <si>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</si>
  <si>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</si>
  <si>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</si>
  <si>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</si>
  <si>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</si>
  <si>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This paper presents an AI/LLM framework tool for literature retrieval and information extraction in microbial protein research, which is a methodological/software contribution that does not fit any specific alternative protein research category; the secondary focus on waste carbon utilisation and side-streams as feedstocks for microbial protein production is the domain application context.</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</si>
  <si>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</si>
  <si>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</si>
  <si>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</si>
  <si>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</si>
  <si>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study's primary novelty is using liquid digestate (a waste stream) as an alternative cultivation medium for microalgae, while the secondary focus is characterising the resulting biomass composition, bioactivity, and safety as a potential food/feed ingredient.</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</si>
  <si>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</si>
  <si>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</si>
  <si>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</si>
  <si>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</si>
  <si>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and characterises the resulting ingredient's protein content, amino acid profile, bioactive compounds, and functional properties (emulsification, gelling, foaming), making ingredient characterisation and optimisation the primary focus; strain development is secondary as growth conditions were systematically varied to maximise biomass yield.</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</si>
  <si>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</si>
  <si>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</si>
  <si>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</si>
  <si>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</si>
  <si>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paper's primary contribution is the recombinant expression and characterisation of a cold-active transglutaminase in E. coli, with its application to crosslink and improve pea protein hydrolysate properties serving as a secondary focus.</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</si>
  <si>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</si>
  <si>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</si>
  <si>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</si>
  <si>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</si>
  <si>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spanning health, sustainability, and consumer aspects without a single specific experimental or analytical focus.</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</si>
  <si>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</si>
  <si>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</si>
  <si>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</si>
  <si>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review focuses on how SSF improves plant-based protein ingredient properties (digestibility, amino acid profiles, anti-nutritional factors, flavour), but as a broad review covering multiple aspects (strains, substrates, fermentation conditions, nutritional and sensory outcomes), the secondary category defaults to Other.</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</si>
  <si>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</si>
  <si>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</si>
  <si>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</si>
  <si>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in vitro digestibility and indispensable amino acid scores as nutritional quality endpoints for novel protein sources, with physiological relevance (protein quality assessment) as the central research question, while ingredient characterisation is a secondary aspect.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</si>
  <si>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</si>
  <si>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</si>
  <si>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</si>
  <si>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characterises nutritional quality (protein digestibility, amino acid profile, mineral accessibility) of mycoprotein ingredients produced under different cultivation conditions, with winery/distillery by-products as novel alternative feedstocks — making ingredient characterisation the primary focus and feedstock innovation the secondary contribution.</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</si>
  <si>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</si>
  <si>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</si>
  <si>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</si>
  <si>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study uses industrial flue gas CO2 as a carbon source for microalgal cultivation, making it a novel feedstock application, while also evaluating a specific microalgal strain's tolerance and biomass production performance under these conditions.</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</si>
  <si>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</si>
  <si>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</si>
  <si>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</si>
  <si>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primary contribution is the recombinant expression and functional characterisation of phosphorylated αs1-casein in E. coli, including engineering bacteria to co-express kinases for native phosphorylation — a target molecule validation study — with secondary strain engineering elements involved in enabling that expression.</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</si>
  <si>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</si>
  <si>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</si>
  <si>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</si>
  <si>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 primarily characterises and improves the sensory and functional properties (umami taste, glutamate content, degree of hydrolysis) of a mycelium-derived ingredient through enzymatic hydrolysis, while also featuring potato pulp waste as a novel fermentation substrate.</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</si>
  <si>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</si>
  <si>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</si>
  <si>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</si>
  <si>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is a perspective/blueprint piece covering multiple aspects (strain engineering, bioprocess design, feedstocks, and recombinant protein production) rather than presenting novel experimental findings in any single category, though recombinant milk protein production via precision fermentation is used as a case study.</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</si>
  <si>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</si>
  <si>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</si>
  <si>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</si>
  <si>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primary contribution is the recombinant expression and functional characterisation of napin in Pichia pastoris, with secondary focus on strain engineering (promoter selection, haploid vs. diploid strains) to improve yield.</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</si>
  <si>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</si>
  <si>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</si>
  <si>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</si>
  <si>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Chlorella vulgaris protein using an in vitro digestion model, with physiological relevance as the central research question, while secondarily characterising the ingredient's biochemical and structural properties during digestion.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</si>
  <si>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</si>
  <si>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</si>
  <si>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</si>
  <si>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how varying carbon/nitrogen limitation and nitrogen fixation conditions alter the nutritional composition of purple non-sulphur bacteria biomass, making ingredient characterisation and optimisation the primary focus, while the use of H2/CO2 as alternative feedstocks is a secondary novel contribution.</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</si>
  <si>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</si>
  <si>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</si>
  <si>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</si>
  <si>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</si>
  <si>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 develops a diet optimization model to quantify greenhouse gas emission reductions and nutritional adequacy of Finnish diets incorporating mycoprotein, making its primary contribution a structured quantitative assessment of system-level environmental and nutritional impacts rather than ingredient characterisation or product development.</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</si>
  <si>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</si>
  <si>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</si>
  <si>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</si>
  <si>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</si>
  <si>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describes the deliberate engineering and characterisation of an Aspergillus oryzae strain lineage with chromosomal deletions eliminating mycotoxin and penicillin biosynthetic gene clusters, which is active strain modification; the safety and regulatory implications of this mycotoxin-free lineage for food protein production constitute a secondary food safety focus.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</si>
  <si>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</si>
  <si>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</si>
  <si>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</si>
  <si>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and amino acid bioaccessibility of mycoprotein as a physiological/nutritional outcome in older adult versus standard gastrointestinal conditions, with digestibility as the central research question; ingredient characterisation is secondary.</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</si>
  <si>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</si>
  <si>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</si>
  <si>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</si>
  <si>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study's primary focus is measuring physiological/digestibility outcomes (amino acid bioaccessibility, colonic fermentation, microbial composition, SCFAs) as health-relevant endpoints, while secondarily characterising the nutritional properties of yeast-based protein as an ingredient compared to whey and casein.</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</si>
  <si>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</si>
  <si>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</si>
  <si>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</si>
  <si>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as physiological/nutritional endpoints, with ingredient characterisation of the bioprocessed yeast as a secondary contribution.</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</si>
  <si>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</si>
  <si>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</si>
  <si>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</si>
  <si>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study directly investigates upstream cultivation modifications (culture medium enrichment) and a novel vacuum infusion technique to improve the lipid content of fungal biomass ingredients while maintaining protein levels, making ingredient property improvement the primary focus; strain/morphology comparisons across two fungal species and two morphologies (pellet vs. biofilm) represent a secondary systematic screening element.</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</si>
  <si>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</si>
  <si>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</si>
  <si>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</si>
  <si>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study's primary contribution is the engineering and evaluation of hollow fiber membrane bioreactors for microbial protein production from biogas, assessing mass transfer, biofilm formation, and gas loading rates; secondarily, it investigates sulfide-rich biogas as a novel waste-stream feedstock and its effects on biomass and amino acid composition.</t>
  </si>
  <si>
    <t xml:space="preserve">Borderline, but should be feedstocks – that’s what is really changing and being assessed.</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</si>
  <si>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</si>
  <si>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</si>
  <si>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</si>
  <si>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paper conducts a structured policy/regulatory content analysis of European documents governing microbial biomass value chains, which qualifies as a systematic stakeholder-led assessment of system-level viability and policy interventions, though its regulatory and policy focus also gives it a broad cross-cutting character.</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</si>
  <si>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</si>
  <si>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</si>
  <si>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</si>
  <si>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The review focuses specifically on recombinant egg protein expression across microbial hosts and the challenges of producing functional egg proteins via precision fermentation, with secondary emphasis on bioprocess chain optimisation (upstream, bioproduction, downstream) for these target molecules.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</si>
  <si>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</si>
  <si>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</si>
  <si>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</si>
  <si>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conducts a structured hazard and risk assessment (HAZSCAN) of a hypothetical cell factory producing SCP/cellular agriculture ingredients, focusing on occupational, product, and environmental safety — this fits Food safety &amp; quality, though the broad scope including occupational and environmental/process safety and the hypothetical/prospective nature pushes secondary classification toward Other.</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</si>
  <si>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</si>
  <si>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</si>
  <si>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</si>
  <si>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study's primary novelty is the use of mine water as an alternative feedstock for Spirulina cultivation, while the biochemical composition (protein, lipid, carbohydrate content) of the resulting biomass is characterised as a secondary focus on ingredient properties.</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</si>
  <si>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</si>
  <si>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</si>
  <si>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</si>
  <si>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topics (mycoproteins, enzymes, biochemicals, biomaterials, fermentation types, safety, AI/multi-omics) across diverse waste substrates, making it too cross-cutting for any single specific category; the closest secondary theme is the valorisation of industrial side streams and residues as novel feedstocks.</t>
  </si>
  <si>
    <t xml:space="preserve">n</t>
  </si>
  <si>
    <t xml:space="preserve">top2_correct</t>
  </si>
  <si>
    <t xml:space="preserve">primary_acc</t>
  </si>
  <si>
    <t xml:space="preserve">top2_acc</t>
  </si>
  <si>
    <t xml:space="preserve">0%</t>
  </si>
  <si>
    <t xml:space="preserve">25%</t>
  </si>
  <si>
    <t xml:space="preserve">100%</t>
  </si>
  <si>
    <t xml:space="preserve">62%</t>
  </si>
  <si>
    <t xml:space="preserve">88%</t>
  </si>
  <si>
    <t xml:space="preserve">33%</t>
  </si>
  <si>
    <t xml:space="preserve">67%</t>
  </si>
  <si>
    <t xml:space="preserve">metric</t>
  </si>
  <si>
    <t xml:space="preserve">value</t>
  </si>
  <si>
    <t xml:space="preserve">top1_accuracy</t>
  </si>
  <si>
    <t xml:space="preserve">44%</t>
  </si>
  <si>
    <t xml:space="preserve">top2_accuracy</t>
  </si>
  <si>
    <t xml:space="preserve">78%</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</si>
</sst>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 activeCellId="0" sqref="L1:L28"/>
    </sheetView>
  </sheetViews>
  <sheetFormatPr defaultColWidth="8.34375" defaultRowHeight="15" customHeight="false" zeroHeight="false" outlineLevelRow="0" outlineLevelCol="0"/>
  <cols>
    <col collapsed="false" customWidth="true" hidden="false" outlineLevel="0" max="12" min="12" style="1" width="19.7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2" t="s">
        <v>10</v>
      </c>
    </row>
    <row r="2" customFormat="false" ht="15" hidden="false" customHeight="false" outlineLevel="0" collapsed="false">
      <c r="A2" s="1" t="s">
        <v>11</v>
      </c>
      <c r="B2" s="1" t="s">
        <v>12</v>
      </c>
      <c r="C2" s="1" t="s">
        <v>13</v>
      </c>
      <c r="D2" s="1" t="s">
        <v>14</v>
      </c>
      <c r="E2" s="1" t="s">
        <v>15</v>
      </c>
      <c r="F2" s="1" t="s">
        <v>16</v>
      </c>
      <c r="G2" s="1" t="s">
        <v>17</v>
      </c>
      <c r="H2" s="1" t="s">
        <v>18</v>
      </c>
      <c r="I2" s="3" t="b">
        <f aca="false">FALSE()</f>
        <v>0</v>
      </c>
      <c r="J2" s="1" t="b">
        <f aca="false">FALSE()</f>
        <v>0</v>
      </c>
      <c r="L2" s="4" t="s">
        <v>16</v>
      </c>
    </row>
    <row r="3" customFormat="false" ht="15" hidden="false" customHeight="false" outlineLevel="0" collapsed="false">
      <c r="A3" s="1" t="s">
        <v>19</v>
      </c>
      <c r="B3" s="1" t="s">
        <v>20</v>
      </c>
      <c r="C3" s="1" t="s">
        <v>21</v>
      </c>
      <c r="D3" s="1" t="s">
        <v>14</v>
      </c>
      <c r="E3" s="1" t="s">
        <v>22</v>
      </c>
      <c r="F3" s="1" t="s">
        <v>17</v>
      </c>
      <c r="G3" s="1" t="s">
        <v>22</v>
      </c>
      <c r="H3" s="1" t="s">
        <v>23</v>
      </c>
      <c r="I3" s="3" t="b">
        <f aca="false">FALSE()</f>
        <v>0</v>
      </c>
      <c r="J3" s="1" t="b">
        <f aca="false">TRUE()</f>
        <v>1</v>
      </c>
      <c r="L3" s="2" t="s">
        <v>17</v>
      </c>
    </row>
    <row r="4" customFormat="false" ht="15" hidden="false" customHeight="false" outlineLevel="0" collapsed="false">
      <c r="A4" s="1" t="s">
        <v>24</v>
      </c>
      <c r="B4" s="1" t="s">
        <v>25</v>
      </c>
      <c r="C4" s="1" t="s">
        <v>26</v>
      </c>
      <c r="D4" s="1" t="s">
        <v>14</v>
      </c>
      <c r="E4" s="1" t="s">
        <v>27</v>
      </c>
      <c r="F4" s="1" t="s">
        <v>22</v>
      </c>
      <c r="G4" s="1" t="s">
        <v>27</v>
      </c>
      <c r="H4" s="1" t="s">
        <v>28</v>
      </c>
      <c r="I4" s="3" t="b">
        <f aca="false">FALSE()</f>
        <v>0</v>
      </c>
      <c r="J4" s="1" t="b">
        <f aca="false">TRUE()</f>
        <v>1</v>
      </c>
      <c r="L4" s="2" t="s">
        <v>22</v>
      </c>
    </row>
    <row r="5" customFormat="false" ht="15" hidden="false" customHeight="false" outlineLevel="0" collapsed="false">
      <c r="A5" s="1" t="s">
        <v>29</v>
      </c>
      <c r="B5" s="1" t="s">
        <v>30</v>
      </c>
      <c r="C5" s="1" t="s">
        <v>31</v>
      </c>
      <c r="D5" s="1" t="s">
        <v>14</v>
      </c>
      <c r="E5" s="1" t="s">
        <v>32</v>
      </c>
      <c r="F5" s="1" t="s">
        <v>32</v>
      </c>
      <c r="G5" s="1" t="s">
        <v>22</v>
      </c>
      <c r="H5" s="1" t="s">
        <v>33</v>
      </c>
      <c r="I5" s="3" t="b">
        <f aca="false">TRUE()</f>
        <v>1</v>
      </c>
      <c r="J5" s="1" t="b">
        <f aca="false">TRUE()</f>
        <v>1</v>
      </c>
      <c r="L5" s="2"/>
    </row>
    <row r="6" customFormat="false" ht="15" hidden="false" customHeight="false" outlineLevel="0" collapsed="false">
      <c r="A6" s="1" t="s">
        <v>34</v>
      </c>
      <c r="B6" s="1" t="s">
        <v>35</v>
      </c>
      <c r="C6" s="1" t="s">
        <v>36</v>
      </c>
      <c r="D6" s="1" t="s">
        <v>14</v>
      </c>
      <c r="E6" s="1" t="s">
        <v>37</v>
      </c>
      <c r="F6" s="1" t="s">
        <v>16</v>
      </c>
      <c r="G6" s="1" t="s">
        <v>37</v>
      </c>
      <c r="H6" s="1" t="s">
        <v>38</v>
      </c>
      <c r="I6" s="3" t="b">
        <f aca="false">FALSE()</f>
        <v>0</v>
      </c>
      <c r="J6" s="1" t="b">
        <f aca="false">TRUE()</f>
        <v>1</v>
      </c>
      <c r="L6" s="2" t="s">
        <v>16</v>
      </c>
    </row>
    <row r="7" customFormat="false" ht="15" hidden="false" customHeight="false" outlineLevel="0" collapsed="false">
      <c r="A7" s="1" t="s">
        <v>39</v>
      </c>
      <c r="B7" s="1" t="s">
        <v>40</v>
      </c>
      <c r="C7" s="1" t="s">
        <v>41</v>
      </c>
      <c r="D7" s="1" t="s">
        <v>14</v>
      </c>
      <c r="E7" s="1" t="s">
        <v>16</v>
      </c>
      <c r="F7" s="1" t="s">
        <v>22</v>
      </c>
      <c r="G7" s="1" t="s">
        <v>16</v>
      </c>
      <c r="H7" s="1" t="s">
        <v>42</v>
      </c>
      <c r="I7" s="5" t="b">
        <f aca="false">FALSE()</f>
        <v>0</v>
      </c>
      <c r="J7" s="1" t="b">
        <f aca="false">TRUE()</f>
        <v>1</v>
      </c>
      <c r="L7" s="2"/>
    </row>
    <row r="8" customFormat="false" ht="15" hidden="false" customHeight="false" outlineLevel="0" collapsed="false">
      <c r="A8" s="1" t="s">
        <v>43</v>
      </c>
      <c r="B8" s="1" t="s">
        <v>44</v>
      </c>
      <c r="C8" s="1" t="s">
        <v>45</v>
      </c>
      <c r="D8" s="1" t="s">
        <v>14</v>
      </c>
      <c r="E8" s="1" t="s">
        <v>37</v>
      </c>
      <c r="F8" s="1" t="s">
        <v>37</v>
      </c>
      <c r="G8" s="1" t="s">
        <v>22</v>
      </c>
      <c r="H8" s="1" t="s">
        <v>46</v>
      </c>
      <c r="I8" s="3" t="b">
        <f aca="false">TRUE()</f>
        <v>1</v>
      </c>
      <c r="J8" s="1" t="b">
        <f aca="false">TRUE()</f>
        <v>1</v>
      </c>
      <c r="L8" s="2"/>
    </row>
    <row r="9" customFormat="false" ht="15" hidden="false" customHeight="false" outlineLevel="0" collapsed="false">
      <c r="A9" s="1" t="s">
        <v>47</v>
      </c>
      <c r="B9" s="1" t="s">
        <v>48</v>
      </c>
      <c r="C9" s="1" t="s">
        <v>49</v>
      </c>
      <c r="D9" s="1" t="s">
        <v>14</v>
      </c>
      <c r="E9" s="1" t="s">
        <v>37</v>
      </c>
      <c r="F9" s="1" t="s">
        <v>22</v>
      </c>
      <c r="G9" s="1" t="s">
        <v>17</v>
      </c>
      <c r="H9" s="1" t="s">
        <v>50</v>
      </c>
      <c r="I9" s="5" t="b">
        <f aca="false">FALSE()</f>
        <v>0</v>
      </c>
      <c r="J9" s="1" t="b">
        <f aca="false">FALSE()</f>
        <v>0</v>
      </c>
      <c r="L9" s="2" t="s">
        <v>17</v>
      </c>
    </row>
    <row r="10" customFormat="false" ht="15" hidden="false" customHeight="false" outlineLevel="0" collapsed="false">
      <c r="A10" s="1" t="s">
        <v>51</v>
      </c>
      <c r="B10" s="1" t="s">
        <v>52</v>
      </c>
      <c r="C10" s="1" t="s">
        <v>53</v>
      </c>
      <c r="D10" s="1" t="s">
        <v>14</v>
      </c>
      <c r="E10" s="1" t="s">
        <v>17</v>
      </c>
      <c r="F10" s="1" t="s">
        <v>17</v>
      </c>
      <c r="G10" s="1" t="s">
        <v>27</v>
      </c>
      <c r="H10" s="1" t="s">
        <v>54</v>
      </c>
      <c r="I10" s="3" t="b">
        <f aca="false">TRUE()</f>
        <v>1</v>
      </c>
      <c r="J10" s="1" t="b">
        <f aca="false">TRUE()</f>
        <v>1</v>
      </c>
      <c r="L10" s="2"/>
    </row>
    <row r="11" customFormat="false" ht="15" hidden="false" customHeight="false" outlineLevel="0" collapsed="false">
      <c r="A11" s="1" t="s">
        <v>55</v>
      </c>
      <c r="B11" s="1" t="s">
        <v>56</v>
      </c>
      <c r="C11" s="1" t="s">
        <v>57</v>
      </c>
      <c r="D11" s="1" t="s">
        <v>14</v>
      </c>
      <c r="E11" s="1" t="s">
        <v>32</v>
      </c>
      <c r="F11" s="1" t="s">
        <v>32</v>
      </c>
      <c r="G11" s="1" t="s">
        <v>27</v>
      </c>
      <c r="H11" s="1" t="s">
        <v>58</v>
      </c>
      <c r="I11" s="3" t="b">
        <f aca="false">TRUE()</f>
        <v>1</v>
      </c>
      <c r="J11" s="1" t="b">
        <f aca="false">TRUE()</f>
        <v>1</v>
      </c>
      <c r="L11" s="2"/>
    </row>
    <row r="12" customFormat="false" ht="15" hidden="false" customHeight="false" outlineLevel="0" collapsed="false">
      <c r="A12" s="1" t="s">
        <v>59</v>
      </c>
      <c r="B12" s="1" t="s">
        <v>60</v>
      </c>
      <c r="C12" s="1" t="s">
        <v>61</v>
      </c>
      <c r="D12" s="1" t="s">
        <v>14</v>
      </c>
      <c r="E12" s="1" t="s">
        <v>17</v>
      </c>
      <c r="F12" s="1" t="s">
        <v>22</v>
      </c>
      <c r="G12" s="1" t="s">
        <v>17</v>
      </c>
      <c r="H12" s="1" t="s">
        <v>62</v>
      </c>
      <c r="I12" s="3" t="b">
        <f aca="false">FALSE()</f>
        <v>0</v>
      </c>
      <c r="J12" s="1" t="b">
        <f aca="false">TRUE()</f>
        <v>1</v>
      </c>
      <c r="L12" s="2" t="s">
        <v>22</v>
      </c>
    </row>
    <row r="13" customFormat="false" ht="15" hidden="false" customHeight="false" outlineLevel="0" collapsed="false">
      <c r="A13" s="1" t="s">
        <v>63</v>
      </c>
      <c r="B13" s="1" t="s">
        <v>64</v>
      </c>
      <c r="C13" s="1" t="s">
        <v>65</v>
      </c>
      <c r="D13" s="1" t="s">
        <v>14</v>
      </c>
      <c r="E13" s="1" t="s">
        <v>16</v>
      </c>
      <c r="F13" s="1" t="s">
        <v>16</v>
      </c>
      <c r="G13" s="1" t="s">
        <v>32</v>
      </c>
      <c r="H13" s="1" t="s">
        <v>66</v>
      </c>
      <c r="I13" s="3" t="b">
        <f aca="false">TRUE()</f>
        <v>1</v>
      </c>
      <c r="J13" s="1" t="b">
        <f aca="false">TRUE()</f>
        <v>1</v>
      </c>
      <c r="L13" s="2"/>
    </row>
    <row r="14" customFormat="false" ht="15" hidden="false" customHeight="false" outlineLevel="0" collapsed="false">
      <c r="A14" s="1" t="s">
        <v>67</v>
      </c>
      <c r="B14" s="1" t="s">
        <v>68</v>
      </c>
      <c r="C14" s="1" t="s">
        <v>69</v>
      </c>
      <c r="D14" s="1" t="s">
        <v>14</v>
      </c>
      <c r="E14" s="1" t="s">
        <v>32</v>
      </c>
      <c r="F14" s="1" t="s">
        <v>32</v>
      </c>
      <c r="G14" s="1" t="s">
        <v>27</v>
      </c>
      <c r="H14" s="1" t="s">
        <v>70</v>
      </c>
      <c r="I14" s="3" t="b">
        <f aca="false">TRUE()</f>
        <v>1</v>
      </c>
      <c r="J14" s="1" t="b">
        <f aca="false">TRUE()</f>
        <v>1</v>
      </c>
      <c r="L14" s="2"/>
    </row>
    <row r="15" customFormat="false" ht="15" hidden="false" customHeight="false" outlineLevel="0" collapsed="false">
      <c r="A15" s="1" t="s">
        <v>71</v>
      </c>
      <c r="B15" s="1" t="s">
        <v>72</v>
      </c>
      <c r="C15" s="1" t="s">
        <v>73</v>
      </c>
      <c r="D15" s="1" t="s">
        <v>14</v>
      </c>
      <c r="E15" s="1" t="s">
        <v>37</v>
      </c>
      <c r="F15" s="1" t="s">
        <v>37</v>
      </c>
      <c r="G15" s="1" t="s">
        <v>22</v>
      </c>
      <c r="H15" s="1" t="s">
        <v>74</v>
      </c>
      <c r="I15" s="3" t="b">
        <f aca="false">TRUE()</f>
        <v>1</v>
      </c>
      <c r="J15" s="1" t="b">
        <f aca="false">TRUE()</f>
        <v>1</v>
      </c>
      <c r="L15" s="2"/>
    </row>
    <row r="16" customFormat="false" ht="15" hidden="false" customHeight="false" outlineLevel="0" collapsed="false">
      <c r="A16" s="1" t="s">
        <v>75</v>
      </c>
      <c r="B16" s="1" t="s">
        <v>76</v>
      </c>
      <c r="C16" s="1" t="s">
        <v>77</v>
      </c>
      <c r="D16" s="1" t="s">
        <v>14</v>
      </c>
      <c r="E16" s="1" t="s">
        <v>27</v>
      </c>
      <c r="F16" s="1" t="s">
        <v>22</v>
      </c>
      <c r="G16" s="1" t="s">
        <v>17</v>
      </c>
      <c r="H16" s="1" t="s">
        <v>78</v>
      </c>
      <c r="I16" s="3" t="b">
        <f aca="false">FALSE()</f>
        <v>0</v>
      </c>
      <c r="J16" s="1" t="b">
        <f aca="false">FALSE()</f>
        <v>0</v>
      </c>
      <c r="L16" s="2" t="s">
        <v>22</v>
      </c>
    </row>
    <row r="17" customFormat="false" ht="56" hidden="false" customHeight="false" outlineLevel="0" collapsed="false">
      <c r="A17" s="1" t="s">
        <v>79</v>
      </c>
      <c r="B17" s="1" t="s">
        <v>80</v>
      </c>
      <c r="C17" s="6" t="s">
        <v>81</v>
      </c>
      <c r="D17" s="1" t="s">
        <v>14</v>
      </c>
      <c r="E17" s="1" t="s">
        <v>37</v>
      </c>
      <c r="F17" s="1" t="s">
        <v>82</v>
      </c>
      <c r="G17" s="1" t="s">
        <v>37</v>
      </c>
      <c r="H17" s="1" t="s">
        <v>83</v>
      </c>
      <c r="I17" s="3" t="b">
        <f aca="false">FALSE()</f>
        <v>0</v>
      </c>
      <c r="J17" s="1" t="b">
        <f aca="false">TRUE()</f>
        <v>1</v>
      </c>
      <c r="L17" s="2" t="s">
        <v>82</v>
      </c>
    </row>
    <row r="18" customFormat="false" ht="15" hidden="false" customHeight="false" outlineLevel="0" collapsed="false">
      <c r="A18" s="1" t="s">
        <v>84</v>
      </c>
      <c r="B18" s="1" t="s">
        <v>85</v>
      </c>
      <c r="C18" s="1" t="s">
        <v>86</v>
      </c>
      <c r="D18" s="1" t="s">
        <v>14</v>
      </c>
      <c r="E18" s="1" t="s">
        <v>27</v>
      </c>
      <c r="F18" s="1" t="s">
        <v>27</v>
      </c>
      <c r="G18" s="1" t="s">
        <v>87</v>
      </c>
      <c r="H18" s="1" t="s">
        <v>88</v>
      </c>
      <c r="I18" s="3" t="b">
        <f aca="false">TRUE()</f>
        <v>1</v>
      </c>
      <c r="J18" s="1" t="b">
        <f aca="false">TRUE()</f>
        <v>1</v>
      </c>
      <c r="L18" s="2"/>
    </row>
    <row r="19" customFormat="false" ht="15" hidden="false" customHeight="false" outlineLevel="0" collapsed="false">
      <c r="A19" s="1" t="s">
        <v>89</v>
      </c>
      <c r="B19" s="1" t="s">
        <v>90</v>
      </c>
      <c r="C19" s="1" t="s">
        <v>91</v>
      </c>
      <c r="D19" s="1" t="s">
        <v>14</v>
      </c>
      <c r="E19" s="1" t="s">
        <v>37</v>
      </c>
      <c r="F19" s="1" t="s">
        <v>37</v>
      </c>
      <c r="G19" s="1" t="s">
        <v>22</v>
      </c>
      <c r="H19" s="1" t="s">
        <v>92</v>
      </c>
      <c r="I19" s="3" t="b">
        <f aca="false">TRUE()</f>
        <v>1</v>
      </c>
      <c r="J19" s="1" t="b">
        <f aca="false">TRUE()</f>
        <v>1</v>
      </c>
      <c r="L19" s="2"/>
    </row>
    <row r="20" customFormat="false" ht="15" hidden="false" customHeight="false" outlineLevel="0" collapsed="false">
      <c r="A20" s="1" t="s">
        <v>93</v>
      </c>
      <c r="B20" s="1" t="s">
        <v>94</v>
      </c>
      <c r="C20" s="1" t="s">
        <v>95</v>
      </c>
      <c r="D20" s="1" t="s">
        <v>14</v>
      </c>
      <c r="E20" s="1" t="s">
        <v>37</v>
      </c>
      <c r="F20" s="1" t="s">
        <v>37</v>
      </c>
      <c r="G20" s="1" t="s">
        <v>22</v>
      </c>
      <c r="H20" s="1" t="s">
        <v>96</v>
      </c>
      <c r="I20" s="3" t="b">
        <f aca="false">TRUE()</f>
        <v>1</v>
      </c>
      <c r="J20" s="1" t="b">
        <f aca="false">TRUE()</f>
        <v>1</v>
      </c>
      <c r="L20" s="2"/>
    </row>
    <row r="21" customFormat="false" ht="15" hidden="false" customHeight="false" outlineLevel="0" collapsed="false">
      <c r="A21" s="1" t="s">
        <v>97</v>
      </c>
      <c r="B21" s="1" t="s">
        <v>98</v>
      </c>
      <c r="C21" s="1" t="s">
        <v>99</v>
      </c>
      <c r="D21" s="1" t="s">
        <v>14</v>
      </c>
      <c r="E21" s="1" t="s">
        <v>37</v>
      </c>
      <c r="F21" s="1" t="s">
        <v>37</v>
      </c>
      <c r="G21" s="1" t="s">
        <v>22</v>
      </c>
      <c r="H21" s="1" t="s">
        <v>100</v>
      </c>
      <c r="I21" s="3" t="b">
        <f aca="false">TRUE()</f>
        <v>1</v>
      </c>
      <c r="J21" s="1" t="b">
        <f aca="false">TRUE()</f>
        <v>1</v>
      </c>
      <c r="L21" s="2"/>
    </row>
    <row r="22" customFormat="false" ht="15" hidden="false" customHeight="false" outlineLevel="0" collapsed="false">
      <c r="A22" s="1" t="s">
        <v>101</v>
      </c>
      <c r="B22" s="1" t="s">
        <v>102</v>
      </c>
      <c r="C22" s="1" t="s">
        <v>103</v>
      </c>
      <c r="D22" s="1" t="s">
        <v>14</v>
      </c>
      <c r="E22" s="1" t="s">
        <v>15</v>
      </c>
      <c r="F22" s="1" t="s">
        <v>22</v>
      </c>
      <c r="G22" s="1" t="s">
        <v>27</v>
      </c>
      <c r="H22" s="1" t="s">
        <v>104</v>
      </c>
      <c r="I22" s="3" t="b">
        <f aca="false">FALSE()</f>
        <v>0</v>
      </c>
      <c r="J22" s="1" t="b">
        <f aca="false">FALSE()</f>
        <v>0</v>
      </c>
      <c r="L22" s="4" t="s">
        <v>22</v>
      </c>
    </row>
    <row r="23" customFormat="false" ht="15" hidden="false" customHeight="false" outlineLevel="0" collapsed="false">
      <c r="A23" s="1" t="s">
        <v>105</v>
      </c>
      <c r="B23" s="1" t="s">
        <v>106</v>
      </c>
      <c r="C23" s="1" t="s">
        <v>107</v>
      </c>
      <c r="D23" s="1" t="s">
        <v>14</v>
      </c>
      <c r="E23" s="1" t="s">
        <v>17</v>
      </c>
      <c r="F23" s="1" t="s">
        <v>15</v>
      </c>
      <c r="G23" s="1" t="s">
        <v>17</v>
      </c>
      <c r="H23" s="1" t="s">
        <v>108</v>
      </c>
      <c r="I23" s="7" t="b">
        <f aca="false">FALSE()</f>
        <v>0</v>
      </c>
      <c r="J23" s="1" t="b">
        <f aca="false">TRUE()</f>
        <v>1</v>
      </c>
      <c r="L23" s="2"/>
      <c r="M23" s="1" t="s">
        <v>109</v>
      </c>
    </row>
    <row r="24" customFormat="false" ht="15" hidden="false" customHeight="false" outlineLevel="0" collapsed="false">
      <c r="A24" s="1" t="s">
        <v>110</v>
      </c>
      <c r="B24" s="1" t="s">
        <v>111</v>
      </c>
      <c r="C24" s="1" t="s">
        <v>112</v>
      </c>
      <c r="D24" s="1" t="s">
        <v>14</v>
      </c>
      <c r="E24" s="1" t="s">
        <v>87</v>
      </c>
      <c r="F24" s="1" t="s">
        <v>82</v>
      </c>
      <c r="G24" s="1" t="s">
        <v>16</v>
      </c>
      <c r="H24" s="1" t="s">
        <v>113</v>
      </c>
      <c r="I24" s="3" t="b">
        <f aca="false">FALSE()</f>
        <v>0</v>
      </c>
      <c r="J24" s="1" t="b">
        <f aca="false">FALSE()</f>
        <v>0</v>
      </c>
      <c r="L24" s="2" t="s">
        <v>82</v>
      </c>
    </row>
    <row r="25" customFormat="false" ht="15" hidden="false" customHeight="false" outlineLevel="0" collapsed="false">
      <c r="A25" s="1" t="s">
        <v>114</v>
      </c>
      <c r="B25" s="1" t="s">
        <v>115</v>
      </c>
      <c r="C25" s="1" t="s">
        <v>116</v>
      </c>
      <c r="D25" s="1" t="s">
        <v>14</v>
      </c>
      <c r="E25" s="1" t="s">
        <v>32</v>
      </c>
      <c r="F25" s="1" t="s">
        <v>32</v>
      </c>
      <c r="G25" s="1" t="s">
        <v>15</v>
      </c>
      <c r="H25" s="1" t="s">
        <v>117</v>
      </c>
      <c r="I25" s="3" t="b">
        <f aca="false">TRUE()</f>
        <v>1</v>
      </c>
      <c r="J25" s="1" t="b">
        <f aca="false">TRUE()</f>
        <v>1</v>
      </c>
      <c r="L25" s="2"/>
    </row>
    <row r="26" customFormat="false" ht="15" hidden="false" customHeight="false" outlineLevel="0" collapsed="false">
      <c r="A26" s="1" t="s">
        <v>118</v>
      </c>
      <c r="B26" s="1" t="s">
        <v>119</v>
      </c>
      <c r="C26" s="1" t="s">
        <v>120</v>
      </c>
      <c r="D26" s="1" t="s">
        <v>14</v>
      </c>
      <c r="E26" s="1" t="s">
        <v>16</v>
      </c>
      <c r="F26" s="1" t="s">
        <v>87</v>
      </c>
      <c r="G26" s="1" t="s">
        <v>16</v>
      </c>
      <c r="H26" s="1" t="s">
        <v>121</v>
      </c>
      <c r="I26" s="5" t="b">
        <f aca="false">FALSE()</f>
        <v>0</v>
      </c>
      <c r="J26" s="1" t="b">
        <f aca="false">TRUE()</f>
        <v>1</v>
      </c>
      <c r="L26" s="2"/>
    </row>
    <row r="27" customFormat="false" ht="15" hidden="false" customHeight="false" outlineLevel="0" collapsed="false">
      <c r="A27" s="1" t="s">
        <v>122</v>
      </c>
      <c r="B27" s="1" t="s">
        <v>123</v>
      </c>
      <c r="C27" s="1" t="s">
        <v>124</v>
      </c>
      <c r="D27" s="1" t="s">
        <v>14</v>
      </c>
      <c r="E27" s="1" t="s">
        <v>15</v>
      </c>
      <c r="F27" s="1" t="s">
        <v>17</v>
      </c>
      <c r="G27" s="1" t="s">
        <v>22</v>
      </c>
      <c r="H27" s="1" t="s">
        <v>125</v>
      </c>
      <c r="I27" s="3" t="b">
        <f aca="false">FALSE()</f>
        <v>0</v>
      </c>
      <c r="J27" s="1" t="b">
        <f aca="false">FALSE()</f>
        <v>0</v>
      </c>
      <c r="L27" s="2" t="s">
        <v>17</v>
      </c>
    </row>
    <row r="28" customFormat="false" ht="15" hidden="false" customHeight="false" outlineLevel="0" collapsed="false">
      <c r="A28" s="1" t="s">
        <v>126</v>
      </c>
      <c r="B28" s="1" t="s">
        <v>127</v>
      </c>
      <c r="C28" s="1" t="s">
        <v>128</v>
      </c>
      <c r="D28" s="1" t="s">
        <v>14</v>
      </c>
      <c r="E28" s="1" t="s">
        <v>17</v>
      </c>
      <c r="F28" s="1" t="s">
        <v>16</v>
      </c>
      <c r="G28" s="1" t="s">
        <v>17</v>
      </c>
      <c r="H28" s="1" t="s">
        <v>129</v>
      </c>
      <c r="I28" s="3" t="b">
        <f aca="false">FALSE()</f>
        <v>0</v>
      </c>
      <c r="J28" s="1" t="b">
        <f aca="false">TRUE()</f>
        <v>1</v>
      </c>
      <c r="L28"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L1:L28 A1"/>
    </sheetView>
  </sheetViews>
  <sheetFormatPr defaultColWidth="8.34375" defaultRowHeight="15" customHeight="false" zeroHeight="false" outlineLevelRow="0" outlineLevelCol="0"/>
  <sheetData>
    <row r="1" customFormat="false" ht="15" hidden="false" customHeight="false" outlineLevel="0" collapsed="false">
      <c r="A1" s="1" t="s">
        <v>4</v>
      </c>
      <c r="B1" s="1" t="s">
        <v>130</v>
      </c>
      <c r="C1" s="1" t="s">
        <v>8</v>
      </c>
      <c r="D1" s="1" t="s">
        <v>131</v>
      </c>
      <c r="E1" s="1" t="s">
        <v>132</v>
      </c>
      <c r="F1" s="1" t="s">
        <v>133</v>
      </c>
    </row>
    <row r="2" customFormat="false" ht="15" hidden="false" customHeight="false" outlineLevel="0" collapsed="false">
      <c r="A2" s="1" t="s">
        <v>15</v>
      </c>
      <c r="B2" s="1" t="n">
        <v>3</v>
      </c>
      <c r="C2" s="1" t="n">
        <v>0</v>
      </c>
      <c r="D2" s="1" t="n">
        <v>0</v>
      </c>
      <c r="E2" s="1" t="s">
        <v>134</v>
      </c>
      <c r="F2" s="1" t="s">
        <v>134</v>
      </c>
    </row>
    <row r="3" customFormat="false" ht="15" hidden="false" customHeight="false" outlineLevel="0" collapsed="false">
      <c r="A3" s="1" t="s">
        <v>17</v>
      </c>
      <c r="B3" s="1" t="n">
        <v>4</v>
      </c>
      <c r="C3" s="1" t="n">
        <v>1</v>
      </c>
      <c r="D3" s="1" t="n">
        <v>4</v>
      </c>
      <c r="E3" s="1" t="s">
        <v>135</v>
      </c>
      <c r="F3" s="1" t="s">
        <v>136</v>
      </c>
    </row>
    <row r="4" customFormat="false" ht="15" hidden="false" customHeight="false" outlineLevel="0" collapsed="false">
      <c r="A4" s="1" t="s">
        <v>87</v>
      </c>
      <c r="B4" s="1" t="n">
        <v>1</v>
      </c>
      <c r="C4" s="1" t="n">
        <v>0</v>
      </c>
      <c r="D4" s="1" t="n">
        <v>0</v>
      </c>
      <c r="E4" s="1" t="s">
        <v>134</v>
      </c>
      <c r="F4" s="1" t="s">
        <v>134</v>
      </c>
    </row>
    <row r="5" customFormat="false" ht="15" hidden="false" customHeight="false" outlineLevel="0" collapsed="false">
      <c r="A5" s="1" t="s">
        <v>37</v>
      </c>
      <c r="B5" s="1" t="n">
        <v>8</v>
      </c>
      <c r="C5" s="1" t="n">
        <v>5</v>
      </c>
      <c r="D5" s="1" t="n">
        <v>7</v>
      </c>
      <c r="E5" s="1" t="s">
        <v>137</v>
      </c>
      <c r="F5" s="1" t="s">
        <v>138</v>
      </c>
    </row>
    <row r="6" customFormat="false" ht="15" hidden="false" customHeight="false" outlineLevel="0" collapsed="false">
      <c r="A6" s="1" t="s">
        <v>22</v>
      </c>
      <c r="B6" s="1" t="n">
        <v>1</v>
      </c>
      <c r="C6" s="1" t="n">
        <v>0</v>
      </c>
      <c r="D6" s="1" t="n">
        <v>1</v>
      </c>
      <c r="E6" s="1" t="s">
        <v>134</v>
      </c>
      <c r="F6" s="1" t="s">
        <v>136</v>
      </c>
    </row>
    <row r="7" customFormat="false" ht="15" hidden="false" customHeight="false" outlineLevel="0" collapsed="false">
      <c r="A7" s="1" t="s">
        <v>16</v>
      </c>
      <c r="B7" s="1" t="n">
        <v>3</v>
      </c>
      <c r="C7" s="1" t="n">
        <v>1</v>
      </c>
      <c r="D7" s="1" t="n">
        <v>3</v>
      </c>
      <c r="E7" s="1" t="s">
        <v>139</v>
      </c>
      <c r="F7" s="1" t="s">
        <v>136</v>
      </c>
    </row>
    <row r="8" customFormat="false" ht="15" hidden="false" customHeight="false" outlineLevel="0" collapsed="false">
      <c r="A8" s="1" t="s">
        <v>27</v>
      </c>
      <c r="B8" s="1" t="n">
        <v>3</v>
      </c>
      <c r="C8" s="1" t="n">
        <v>1</v>
      </c>
      <c r="D8" s="1" t="n">
        <v>2</v>
      </c>
      <c r="E8" s="1" t="s">
        <v>139</v>
      </c>
      <c r="F8" s="1" t="s">
        <v>140</v>
      </c>
    </row>
    <row r="9" customFormat="false" ht="15" hidden="false" customHeight="false" outlineLevel="0" collapsed="false">
      <c r="A9" s="1" t="s">
        <v>32</v>
      </c>
      <c r="B9" s="1" t="n">
        <v>4</v>
      </c>
      <c r="C9" s="1" t="n">
        <v>4</v>
      </c>
      <c r="D9" s="1" t="n">
        <v>4</v>
      </c>
      <c r="E9" s="1" t="s">
        <v>136</v>
      </c>
      <c r="F9" s="1"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L1:L28 A1"/>
    </sheetView>
  </sheetViews>
  <sheetFormatPr defaultColWidth="8.34375" defaultRowHeight="15" customHeight="false" zeroHeight="false" outlineLevelRow="0" outlineLevelCol="0"/>
  <sheetData>
    <row r="1" customFormat="false" ht="15" hidden="false" customHeight="false" outlineLevel="0" collapsed="false">
      <c r="A1" s="1" t="s">
        <v>141</v>
      </c>
      <c r="B1" s="1" t="s">
        <v>142</v>
      </c>
      <c r="C1" s="1" t="s">
        <v>130</v>
      </c>
    </row>
    <row r="2" customFormat="false" ht="15" hidden="false" customHeight="false" outlineLevel="0" collapsed="false">
      <c r="A2" s="1" t="s">
        <v>143</v>
      </c>
      <c r="B2" s="1" t="s">
        <v>144</v>
      </c>
      <c r="C2" s="1" t="n">
        <v>27</v>
      </c>
    </row>
    <row r="3" customFormat="false" ht="15" hidden="false" customHeight="false" outlineLevel="0" collapsed="false">
      <c r="A3" s="1" t="s">
        <v>145</v>
      </c>
      <c r="B3" s="1" t="s">
        <v>146</v>
      </c>
      <c r="C3" s="1"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2026-06-25T11:17:28Z</dcterms:created>
  <dc:creator>openpyxl</dc:creator>
  <dc:description/>
  <dc:language>en-GB</dc:language>
  <cp:lastModifiedBy/>
  <dcterms:modified xsi:type="dcterms:W3CDTF">2026-06-25T12:55:42Z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