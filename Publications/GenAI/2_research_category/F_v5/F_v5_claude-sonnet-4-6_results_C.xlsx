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<sst xmlns="http://schemas.openxmlformats.org/spreadsheetml/2006/main" count="277" uniqueCount="146">
  <si>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</si>
  <si>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</si>
  <si>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</si>
  <si>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</si>
  <si>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</si>
  <si>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</si>
  <si>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</si>
  <si>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</si>
  <si>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</si>
  <si>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</si>
  <si>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</si>
  <si>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</si>
  <si>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</si>
  <si>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</si>
  <si>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</si>
  <si>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</si>
  <si>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Other</t>
  </si>
  <si>
    <t xml:space="preserve">Feedstocks</t>
  </si>
  <si>
    <t xml:space="preserve">The paper's novel contribution is an AI/LLM multi-agent framework for literature retrieval and information extraction in microbial protein research, which does not fit any specific alternative protein research category; the application domain (waste carbon-utilising microbial protein production) touches on feedstocks but is only the context, not the experimental focus.</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</si>
  <si>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</si>
  <si>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</si>
  <si>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</si>
  <si>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</si>
  <si>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novel contribution is evaluating liquid digestate (a waste stream from anaerobic digestion) as an alternative cultivation medium for microalgae, comparing how this feedstock affects biomass composition, bioactivity, and safety relative to standard media.</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</si>
  <si>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</si>
  <si>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</si>
  <si>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</si>
  <si>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</si>
  <si>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(SSF vs SmF) for M. purpureus biomass and characterises the resulting ingredient's protein content, amino acid profile, bioactive compounds, and functional properties, making ingredient characterisation and optimisation the primary focus.</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</si>
  <si>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</si>
  <si>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</si>
  <si>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</si>
  <si>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</si>
  <si>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paper's novel contribution is the recombinant expression and characterisation of a cold-active transglutaminase in E. coli, with its application to crosslink and improve pea protein hydrolysate properties serving as validation of the enzyme's functionality.</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</si>
  <si>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</si>
  <si>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</si>
  <si>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</si>
  <si>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</si>
  <si>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This is a roundtable discussion/workshop report covering policy, dietary guidelines, and broad considerations around fungal protein placement, spanning health, sustainability, and consumer communication without a specific experimental or analytical focus.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</si>
  <si>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</si>
  <si>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</si>
  <si>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</si>
  <si>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improvements) rather than presenting a single novel experimental contribution in one specific category.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</si>
  <si>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</si>
  <si>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</si>
  <si>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</si>
  <si>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protein digestibility and indispensable amino acid scores as nutritional/physiological quality metrics using the INFOGEST in vitro digestion model, with digestibility and bioaccessibility as the central research questions rather than ingredient property improvement.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</si>
  <si>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</si>
  <si>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</si>
  <si>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</si>
  <si>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study's novel contribution is evaluating winery and distillery by-products (grape marc, wine lees, vinasse) as fermentation substrates for edible filamentous fungi, while the primary measured outcomes are protein digestibility and mineral accessibility, which are nutritional/bioaccessibility endpoints.</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</si>
  <si>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</si>
  <si>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</si>
  <si>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</si>
  <si>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evaluates industrial flue gas (CO2 from coke plant emissions) as a carbon feedstock for microalgal cultivation, optimising growth conditions to produce biomass, which is a novel feedstock application; strain tolerance screening of H. rubescens_UFPS013 to flue gas conditions is a secondary focus.</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</si>
  <si>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</si>
  <si>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</si>
  <si>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</si>
  <si>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paper's novel contribution is the expression and functional validation of recombinant αs1-casein in E. coli with native phosphorylation, achieved by engineering bacteria to co-express protein kinases — a clear case of target molecule identification, expression, and characterisation via precision fermentation.</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</si>
  <si>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</si>
  <si>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</si>
  <si>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</si>
  <si>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study primarily focuses on improving the functional (umami/flavour-enhancing) and nutritional properties of a mycelium-derived ingredient through enzymatic hydrolysis, while also demonstrating the use of potato pulp (an industrial by-product) as the fermentation substrate.</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</si>
  <si>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</si>
  <si>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</si>
  <si>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</si>
  <si>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This is a perspective/blueprint piece covering multiple aspects (strain engineering, bioprocess design, synthetic biology, and recombinant protein production) rather than reporting novel experimental findings in a single category, though it uses recombinant milk protein precision fermentation as a case study.</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</si>
  <si>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</si>
  <si>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</si>
  <si>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</si>
  <si>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paper's novel contribution is the recombinant expression and characterisation of napin in Pichia pastoris, with strain engineering (promoter selection, ploidy) as a secondary focus to improve production of this specific target molecule.</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</si>
  <si>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</si>
  <si>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</si>
  <si>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</si>
  <si>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focus is on digestibility and bioaccessibility of Chlorella vulgaris protein using an in vitro digestion model, with digestibility/nutritional bioaccessibility as the central research question, while secondary insights into biochemical and structural changes during digestion also inform ingredient properties.</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</si>
  <si>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</si>
  <si>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</si>
  <si>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</si>
  <si>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varying carbon/nitrogen limitation and nitrogen fixation conditions alter the nutritional composition (amino acid profile, pigments, phosphorus) of purple non-sulphur bacteria biomass, with the primary goal of improving and tuning ingredient properties, while also exploring H2/CO2 as a low-carbon feedstock input.</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</si>
  <si>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</si>
  <si>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</si>
  <si>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</si>
  <si>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</si>
  <si>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paper's novel contribution is a diet optimization model quantifying greenhouse gas emission reductions and nutritional adequacy of Finnish diets incorporating mycoprotein, making it primarily a structured quantitative assessment of system-level environmental and nutritional impacts.</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</si>
  <si>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</si>
  <si>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</si>
  <si>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</si>
  <si>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</si>
  <si>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describes the deliberate engineering and characterisation of an Aspergillus oryzae strain lineage with chromosomal deletions eliminating all mycotoxin and penicillin biosynthetic gene clusters, representing active strain modification for safer industrial protein production.</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</si>
  <si>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</si>
  <si>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</si>
  <si>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</si>
  <si>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questions, while ingredient characterisation (amino acid profile, digestibility fractions) is secondary.</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</si>
  <si>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</si>
  <si>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</si>
  <si>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</si>
  <si>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outcomes of yeast-based protein digestion — digestibility, amino acid bioaccessibility, colonic fermentation, microbial composition, and SCFA production — using in vitro gut models, making Health &amp; Nutrition the primary category, with Ingredient Optimisation secondary as the study also characterises the nutritional quality of the yeast-based protein ingredient relative to dairy references.</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</si>
  <si>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</si>
  <si>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</si>
  <si>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</si>
  <si>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primary experimental focus is in vitro protein digestibility, amino acid bioaccessibility, DIAAS protein quality scoring, and gut microbiome modulation — all physiological/nutritional outcome measures — with the bioprocessed brewer's spent yeast ingredient as the subject of study.</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</si>
  <si>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</si>
  <si>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</si>
  <si>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</si>
  <si>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study experimentally modifies culture media and develops a novel yeast immobilization method to improve the lipid content of filamentous fungal biomass as an ingredient, with detailed characterisation of biomass composition, making ingredient optimisation the primary focus; strain/organism selection across two GRAS fungi (A. oryzae and A. brunnescens) in different morphologies is a secondary experimental element.</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</si>
  <si>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</si>
  <si>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</si>
  <si>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</si>
  <si>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novel contribution is the use of sulfide-rich biogas (a waste stream) as a feedstock for microbial protein production, with the hollow fiber membrane bioreactor design and gas loading conditions serving as the engineering context for evaluating that feedstock's utilisation.</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</si>
  <si>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</si>
  <si>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</si>
  <si>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</si>
  <si>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is a policy and regulatory content analysis of European documents on microbial biomass value chains, which does not fit neatly into a specific technical research category but has some overlap with impact assessments through its structured analysis of regulatory frameworks and systemic hurdles.</t>
  </si>
  <si>
    <t xml:space="preserve">Previously Impact Assessments, but I prefer it as other because it’s not really a formal impact assessment in the way that I would define.</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</si>
  <si>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</si>
  <si>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</si>
  <si>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</si>
  <si>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This review focuses specifically on recombinant egg protein expression across microbial hosts, covering protein titers, expression systems, and functional characterisation — squarely within target molecule selection — with bioprocess design (upstream, bioproduction, downstream) as the secondary focus.</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</si>
  <si>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</si>
  <si>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</si>
  <si>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</si>
  <si>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The paper applies a qualitative hazard analysis (HAZSCAN) method to assess occupational, process, product, and environmental safety risks of a hypothetical cell factory, which is a process/occupational safety assessment rather than a food safety or ingredient quality study, placing it outside the specific technical categories and best fitting Other, with Food safety &amp; quality as a secondary consideration given the product safety component.</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</si>
  <si>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</si>
  <si>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</si>
  <si>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</si>
  <si>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novel contribution is the use of mine water as an alternative, low-cost feedstock for Spirulina cultivation, with the study also characterising how this feedstock affects the biochemical composition (protein, lipid, carbohydrate content) of the resulting biomass ingredient.</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</si>
  <si>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</si>
  <si>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</si>
  <si>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</si>
  <si>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aspects of fungal fermentation across diverse substrates and product types (mycoproteins, enzymes, biochemicals, biomaterials), spanning several research categories rather than focusing on a single novel contribution.</t>
  </si>
  <si>
    <t xml:space="preserve">n</t>
  </si>
  <si>
    <t xml:space="preserve">top2_correct</t>
  </si>
  <si>
    <t xml:space="preserve">primary_acc</t>
  </si>
  <si>
    <t xml:space="preserve">top2_acc</t>
  </si>
  <si>
    <t xml:space="preserve">0%</t>
  </si>
  <si>
    <t xml:space="preserve">50%</t>
  </si>
  <si>
    <t xml:space="preserve">100%</t>
  </si>
  <si>
    <t xml:space="preserve">62%</t>
  </si>
  <si>
    <t xml:space="preserve">33%</t>
  </si>
  <si>
    <t xml:space="preserve">67%</t>
  </si>
  <si>
    <t xml:space="preserve">metric</t>
  </si>
  <si>
    <t xml:space="preserve">value</t>
  </si>
  <si>
    <t xml:space="preserve">top1_accuracy</t>
  </si>
  <si>
    <t xml:space="preserve">56%</t>
  </si>
  <si>
    <t xml:space="preserve">top2_accuracy</t>
  </si>
  <si>
    <t xml:space="preserve">81%</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</si>
</sst>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81D41A"/>
        <bgColor rgb="FF96969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24" activeCellId="0" sqref="L24"/>
    </sheetView>
  </sheetViews>
  <sheetFormatPr defaultColWidth="8.34375" defaultRowHeight="15" customHeight="false" zeroHeight="false" outlineLevelRow="0" outlineLevelCol="0"/>
  <cols>
    <col collapsed="false" customWidth="true" hidden="false" outlineLevel="0" max="12" min="12" style="1"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L1" s="2" t="s">
        <v>10</v>
      </c>
    </row>
    <row r="2" customFormat="false" ht="15" hidden="false" customHeight="false" outlineLevel="0" collapsed="false">
      <c r="A2" s="1" t="s">
        <v>11</v>
      </c>
      <c r="B2" s="1" t="s">
        <v>12</v>
      </c>
      <c r="C2" s="1" t="s">
        <v>13</v>
      </c>
      <c r="D2" s="1" t="s">
        <v>14</v>
      </c>
      <c r="E2" s="1" t="s">
        <v>15</v>
      </c>
      <c r="F2" s="1" t="s">
        <v>16</v>
      </c>
      <c r="G2" s="1" t="s">
        <v>17</v>
      </c>
      <c r="H2" s="1" t="s">
        <v>18</v>
      </c>
      <c r="I2" s="3" t="b">
        <f aca="false">FALSE()</f>
        <v>0</v>
      </c>
      <c r="J2" s="1" t="b">
        <f aca="false">FALSE()</f>
        <v>0</v>
      </c>
      <c r="L2" s="4" t="s">
        <v>16</v>
      </c>
    </row>
    <row r="3" customFormat="false" ht="15" hidden="false" customHeight="false" outlineLevel="0" collapsed="false">
      <c r="A3" s="1" t="s">
        <v>19</v>
      </c>
      <c r="B3" s="1" t="s">
        <v>20</v>
      </c>
      <c r="C3" s="1" t="s">
        <v>21</v>
      </c>
      <c r="D3" s="1" t="s">
        <v>14</v>
      </c>
      <c r="E3" s="1" t="s">
        <v>22</v>
      </c>
      <c r="F3" s="1" t="s">
        <v>17</v>
      </c>
      <c r="G3" s="1" t="s">
        <v>22</v>
      </c>
      <c r="H3" s="1" t="s">
        <v>23</v>
      </c>
      <c r="I3" s="3" t="b">
        <f aca="false">FALSE()</f>
        <v>0</v>
      </c>
      <c r="J3" s="1" t="b">
        <f aca="false">TRUE()</f>
        <v>1</v>
      </c>
      <c r="L3" s="2" t="s">
        <v>17</v>
      </c>
    </row>
    <row r="4" customFormat="false" ht="15" hidden="false" customHeight="false" outlineLevel="0" collapsed="false">
      <c r="A4" s="1" t="s">
        <v>24</v>
      </c>
      <c r="B4" s="1" t="s">
        <v>25</v>
      </c>
      <c r="C4" s="1" t="s">
        <v>26</v>
      </c>
      <c r="D4" s="1" t="s">
        <v>14</v>
      </c>
      <c r="E4" s="1" t="s">
        <v>27</v>
      </c>
      <c r="F4" s="1" t="s">
        <v>22</v>
      </c>
      <c r="G4" s="1" t="s">
        <v>27</v>
      </c>
      <c r="H4" s="1" t="s">
        <v>28</v>
      </c>
      <c r="I4" s="3" t="b">
        <f aca="false">FALSE()</f>
        <v>0</v>
      </c>
      <c r="J4" s="1" t="b">
        <f aca="false">TRUE()</f>
        <v>1</v>
      </c>
      <c r="L4" s="2" t="s">
        <v>22</v>
      </c>
    </row>
    <row r="5" customFormat="false" ht="15" hidden="false" customHeight="false" outlineLevel="0" collapsed="false">
      <c r="A5" s="1" t="s">
        <v>29</v>
      </c>
      <c r="B5" s="1" t="s">
        <v>30</v>
      </c>
      <c r="C5" s="1" t="s">
        <v>31</v>
      </c>
      <c r="D5" s="1" t="s">
        <v>14</v>
      </c>
      <c r="E5" s="1" t="s">
        <v>32</v>
      </c>
      <c r="F5" s="1" t="s">
        <v>32</v>
      </c>
      <c r="G5" s="1" t="s">
        <v>22</v>
      </c>
      <c r="H5" s="1" t="s">
        <v>33</v>
      </c>
      <c r="I5" s="3" t="b">
        <f aca="false">TRUE()</f>
        <v>1</v>
      </c>
      <c r="J5" s="1" t="b">
        <f aca="false">TRUE()</f>
        <v>1</v>
      </c>
      <c r="L5" s="2"/>
    </row>
    <row r="6" customFormat="false" ht="15" hidden="false" customHeight="false" outlineLevel="0" collapsed="false">
      <c r="A6" s="1" t="s">
        <v>34</v>
      </c>
      <c r="B6" s="1" t="s">
        <v>35</v>
      </c>
      <c r="C6" s="1" t="s">
        <v>36</v>
      </c>
      <c r="D6" s="1" t="s">
        <v>14</v>
      </c>
      <c r="E6" s="1" t="s">
        <v>37</v>
      </c>
      <c r="F6" s="1" t="s">
        <v>16</v>
      </c>
      <c r="G6" s="1" t="s">
        <v>37</v>
      </c>
      <c r="H6" s="1" t="s">
        <v>38</v>
      </c>
      <c r="I6" s="3" t="b">
        <f aca="false">FALSE()</f>
        <v>0</v>
      </c>
      <c r="J6" s="1" t="b">
        <f aca="false">TRUE()</f>
        <v>1</v>
      </c>
      <c r="L6" s="2" t="s">
        <v>16</v>
      </c>
    </row>
    <row r="7" customFormat="false" ht="15" hidden="false" customHeight="false" outlineLevel="0" collapsed="false">
      <c r="A7" s="1" t="s">
        <v>39</v>
      </c>
      <c r="B7" s="1" t="s">
        <v>40</v>
      </c>
      <c r="C7" s="1" t="s">
        <v>41</v>
      </c>
      <c r="D7" s="1" t="s">
        <v>14</v>
      </c>
      <c r="E7" s="1" t="s">
        <v>16</v>
      </c>
      <c r="F7" s="1" t="s">
        <v>16</v>
      </c>
      <c r="G7" s="1" t="s">
        <v>22</v>
      </c>
      <c r="H7" s="1" t="s">
        <v>42</v>
      </c>
      <c r="I7" s="3" t="b">
        <f aca="false">TRUE()</f>
        <v>1</v>
      </c>
      <c r="J7" s="1" t="b">
        <f aca="false">TRUE()</f>
        <v>1</v>
      </c>
      <c r="L7" s="2"/>
    </row>
    <row r="8" customFormat="false" ht="15" hidden="false" customHeight="false" outlineLevel="0" collapsed="false">
      <c r="A8" s="1" t="s">
        <v>43</v>
      </c>
      <c r="B8" s="1" t="s">
        <v>44</v>
      </c>
      <c r="C8" s="1" t="s">
        <v>45</v>
      </c>
      <c r="D8" s="1" t="s">
        <v>14</v>
      </c>
      <c r="E8" s="1" t="s">
        <v>37</v>
      </c>
      <c r="F8" s="1" t="s">
        <v>37</v>
      </c>
      <c r="G8" s="1" t="s">
        <v>22</v>
      </c>
      <c r="H8" s="1" t="s">
        <v>46</v>
      </c>
      <c r="I8" s="3" t="b">
        <f aca="false">TRUE()</f>
        <v>1</v>
      </c>
      <c r="J8" s="1" t="b">
        <f aca="false">TRUE()</f>
        <v>1</v>
      </c>
      <c r="L8" s="2"/>
    </row>
    <row r="9" customFormat="false" ht="15" hidden="false" customHeight="false" outlineLevel="0" collapsed="false">
      <c r="A9" s="1" t="s">
        <v>47</v>
      </c>
      <c r="B9" s="1" t="s">
        <v>48</v>
      </c>
      <c r="C9" s="1" t="s">
        <v>49</v>
      </c>
      <c r="D9" s="1" t="s">
        <v>14</v>
      </c>
      <c r="E9" s="1" t="s">
        <v>37</v>
      </c>
      <c r="F9" s="1" t="s">
        <v>17</v>
      </c>
      <c r="G9" s="1" t="s">
        <v>37</v>
      </c>
      <c r="H9" s="1" t="s">
        <v>50</v>
      </c>
      <c r="I9" s="3" t="b">
        <f aca="false">FALSE()</f>
        <v>0</v>
      </c>
      <c r="J9" s="1" t="b">
        <f aca="false">TRUE()</f>
        <v>1</v>
      </c>
      <c r="L9" s="2" t="s">
        <v>17</v>
      </c>
    </row>
    <row r="10" customFormat="false" ht="15" hidden="false" customHeight="false" outlineLevel="0" collapsed="false">
      <c r="A10" s="1" t="s">
        <v>51</v>
      </c>
      <c r="B10" s="1" t="s">
        <v>52</v>
      </c>
      <c r="C10" s="1" t="s">
        <v>53</v>
      </c>
      <c r="D10" s="1" t="s">
        <v>14</v>
      </c>
      <c r="E10" s="1" t="s">
        <v>17</v>
      </c>
      <c r="F10" s="1" t="s">
        <v>17</v>
      </c>
      <c r="G10" s="1" t="s">
        <v>27</v>
      </c>
      <c r="H10" s="1" t="s">
        <v>54</v>
      </c>
      <c r="I10" s="3" t="b">
        <f aca="false">TRUE()</f>
        <v>1</v>
      </c>
      <c r="J10" s="1" t="b">
        <f aca="false">TRUE()</f>
        <v>1</v>
      </c>
      <c r="L10" s="2"/>
    </row>
    <row r="11" customFormat="false" ht="15" hidden="false" customHeight="false" outlineLevel="0" collapsed="false">
      <c r="A11" s="1" t="s">
        <v>55</v>
      </c>
      <c r="B11" s="1" t="s">
        <v>56</v>
      </c>
      <c r="C11" s="1" t="s">
        <v>57</v>
      </c>
      <c r="D11" s="1" t="s">
        <v>14</v>
      </c>
      <c r="E11" s="1" t="s">
        <v>32</v>
      </c>
      <c r="F11" s="1" t="s">
        <v>32</v>
      </c>
      <c r="G11" s="1" t="s">
        <v>27</v>
      </c>
      <c r="H11" s="1" t="s">
        <v>58</v>
      </c>
      <c r="I11" s="3" t="b">
        <f aca="false">TRUE()</f>
        <v>1</v>
      </c>
      <c r="J11" s="1" t="b">
        <f aca="false">TRUE()</f>
        <v>1</v>
      </c>
      <c r="L11" s="2"/>
    </row>
    <row r="12" customFormat="false" ht="15" hidden="false" customHeight="false" outlineLevel="0" collapsed="false">
      <c r="A12" s="1" t="s">
        <v>59</v>
      </c>
      <c r="B12" s="1" t="s">
        <v>60</v>
      </c>
      <c r="C12" s="1" t="s">
        <v>61</v>
      </c>
      <c r="D12" s="1" t="s">
        <v>14</v>
      </c>
      <c r="E12" s="1" t="s">
        <v>17</v>
      </c>
      <c r="F12" s="1" t="s">
        <v>22</v>
      </c>
      <c r="G12" s="1" t="s">
        <v>17</v>
      </c>
      <c r="H12" s="1" t="s">
        <v>62</v>
      </c>
      <c r="I12" s="3" t="b">
        <f aca="false">FALSE()</f>
        <v>0</v>
      </c>
      <c r="J12" s="1" t="b">
        <f aca="false">TRUE()</f>
        <v>1</v>
      </c>
      <c r="L12" s="2" t="s">
        <v>22</v>
      </c>
    </row>
    <row r="13" customFormat="false" ht="15" hidden="false" customHeight="false" outlineLevel="0" collapsed="false">
      <c r="A13" s="1" t="s">
        <v>63</v>
      </c>
      <c r="B13" s="1" t="s">
        <v>64</v>
      </c>
      <c r="C13" s="1" t="s">
        <v>65</v>
      </c>
      <c r="D13" s="1" t="s">
        <v>14</v>
      </c>
      <c r="E13" s="1" t="s">
        <v>16</v>
      </c>
      <c r="F13" s="1" t="s">
        <v>16</v>
      </c>
      <c r="G13" s="1" t="s">
        <v>32</v>
      </c>
      <c r="H13" s="1" t="s">
        <v>66</v>
      </c>
      <c r="I13" s="3" t="b">
        <f aca="false">TRUE()</f>
        <v>1</v>
      </c>
      <c r="J13" s="1" t="b">
        <f aca="false">TRUE()</f>
        <v>1</v>
      </c>
      <c r="L13" s="2"/>
    </row>
    <row r="14" customFormat="false" ht="15" hidden="false" customHeight="false" outlineLevel="0" collapsed="false">
      <c r="A14" s="1" t="s">
        <v>67</v>
      </c>
      <c r="B14" s="1" t="s">
        <v>68</v>
      </c>
      <c r="C14" s="1" t="s">
        <v>69</v>
      </c>
      <c r="D14" s="1" t="s">
        <v>14</v>
      </c>
      <c r="E14" s="1" t="s">
        <v>32</v>
      </c>
      <c r="F14" s="1" t="s">
        <v>32</v>
      </c>
      <c r="G14" s="1" t="s">
        <v>27</v>
      </c>
      <c r="H14" s="1" t="s">
        <v>70</v>
      </c>
      <c r="I14" s="3" t="b">
        <f aca="false">TRUE()</f>
        <v>1</v>
      </c>
      <c r="J14" s="1" t="b">
        <f aca="false">TRUE()</f>
        <v>1</v>
      </c>
      <c r="L14" s="2"/>
    </row>
    <row r="15" customFormat="false" ht="15" hidden="false" customHeight="false" outlineLevel="0" collapsed="false">
      <c r="A15" s="1" t="s">
        <v>71</v>
      </c>
      <c r="B15" s="1" t="s">
        <v>72</v>
      </c>
      <c r="C15" s="1" t="s">
        <v>73</v>
      </c>
      <c r="D15" s="1" t="s">
        <v>14</v>
      </c>
      <c r="E15" s="1" t="s">
        <v>37</v>
      </c>
      <c r="F15" s="1" t="s">
        <v>37</v>
      </c>
      <c r="G15" s="1" t="s">
        <v>22</v>
      </c>
      <c r="H15" s="1" t="s">
        <v>74</v>
      </c>
      <c r="I15" s="3" t="b">
        <f aca="false">TRUE()</f>
        <v>1</v>
      </c>
      <c r="J15" s="1" t="b">
        <f aca="false">TRUE()</f>
        <v>1</v>
      </c>
      <c r="L15" s="2"/>
    </row>
    <row r="16" customFormat="false" ht="15" hidden="false" customHeight="false" outlineLevel="0" collapsed="false">
      <c r="A16" s="1" t="s">
        <v>75</v>
      </c>
      <c r="B16" s="1" t="s">
        <v>76</v>
      </c>
      <c r="C16" s="1" t="s">
        <v>77</v>
      </c>
      <c r="D16" s="1" t="s">
        <v>14</v>
      </c>
      <c r="E16" s="1" t="s">
        <v>27</v>
      </c>
      <c r="F16" s="1" t="s">
        <v>22</v>
      </c>
      <c r="G16" s="1" t="s">
        <v>17</v>
      </c>
      <c r="H16" s="1" t="s">
        <v>78</v>
      </c>
      <c r="I16" s="3" t="b">
        <f aca="false">FALSE()</f>
        <v>0</v>
      </c>
      <c r="J16" s="1" t="b">
        <f aca="false">FALSE()</f>
        <v>0</v>
      </c>
      <c r="L16" s="2" t="s">
        <v>22</v>
      </c>
    </row>
    <row r="17" customFormat="false" ht="56" hidden="false" customHeight="false" outlineLevel="0" collapsed="false">
      <c r="A17" s="1" t="s">
        <v>79</v>
      </c>
      <c r="B17" s="1" t="s">
        <v>80</v>
      </c>
      <c r="C17" s="5" t="s">
        <v>81</v>
      </c>
      <c r="D17" s="1" t="s">
        <v>14</v>
      </c>
      <c r="E17" s="1" t="s">
        <v>37</v>
      </c>
      <c r="F17" s="1" t="s">
        <v>82</v>
      </c>
      <c r="G17" s="1" t="s">
        <v>37</v>
      </c>
      <c r="H17" s="1" t="s">
        <v>83</v>
      </c>
      <c r="I17" s="3" t="b">
        <f aca="false">FALSE()</f>
        <v>0</v>
      </c>
      <c r="J17" s="1" t="b">
        <f aca="false">TRUE()</f>
        <v>1</v>
      </c>
      <c r="L17" s="2" t="s">
        <v>82</v>
      </c>
    </row>
    <row r="18" customFormat="false" ht="15" hidden="false" customHeight="false" outlineLevel="0" collapsed="false">
      <c r="A18" s="1" t="s">
        <v>84</v>
      </c>
      <c r="B18" s="1" t="s">
        <v>85</v>
      </c>
      <c r="C18" s="1" t="s">
        <v>86</v>
      </c>
      <c r="D18" s="1" t="s">
        <v>14</v>
      </c>
      <c r="E18" s="1" t="s">
        <v>27</v>
      </c>
      <c r="F18" s="1" t="s">
        <v>27</v>
      </c>
      <c r="G18" s="1" t="s">
        <v>87</v>
      </c>
      <c r="H18" s="1" t="s">
        <v>88</v>
      </c>
      <c r="I18" s="3" t="b">
        <f aca="false">TRUE()</f>
        <v>1</v>
      </c>
      <c r="J18" s="1" t="b">
        <f aca="false">TRUE()</f>
        <v>1</v>
      </c>
      <c r="L18" s="2"/>
    </row>
    <row r="19" customFormat="false" ht="15" hidden="false" customHeight="false" outlineLevel="0" collapsed="false">
      <c r="A19" s="1" t="s">
        <v>89</v>
      </c>
      <c r="B19" s="1" t="s">
        <v>90</v>
      </c>
      <c r="C19" s="1" t="s">
        <v>91</v>
      </c>
      <c r="D19" s="1" t="s">
        <v>14</v>
      </c>
      <c r="E19" s="1" t="s">
        <v>37</v>
      </c>
      <c r="F19" s="1" t="s">
        <v>37</v>
      </c>
      <c r="G19" s="1" t="s">
        <v>22</v>
      </c>
      <c r="H19" s="1" t="s">
        <v>92</v>
      </c>
      <c r="I19" s="3" t="b">
        <f aca="false">TRUE()</f>
        <v>1</v>
      </c>
      <c r="J19" s="1" t="b">
        <f aca="false">TRUE()</f>
        <v>1</v>
      </c>
      <c r="L19" s="2"/>
    </row>
    <row r="20" customFormat="false" ht="15" hidden="false" customHeight="false" outlineLevel="0" collapsed="false">
      <c r="A20" s="1" t="s">
        <v>93</v>
      </c>
      <c r="B20" s="1" t="s">
        <v>94</v>
      </c>
      <c r="C20" s="1" t="s">
        <v>95</v>
      </c>
      <c r="D20" s="1" t="s">
        <v>14</v>
      </c>
      <c r="E20" s="1" t="s">
        <v>37</v>
      </c>
      <c r="F20" s="1" t="s">
        <v>37</v>
      </c>
      <c r="G20" s="1" t="s">
        <v>22</v>
      </c>
      <c r="H20" s="1" t="s">
        <v>96</v>
      </c>
      <c r="I20" s="3" t="b">
        <f aca="false">TRUE()</f>
        <v>1</v>
      </c>
      <c r="J20" s="1" t="b">
        <f aca="false">TRUE()</f>
        <v>1</v>
      </c>
      <c r="L20" s="2"/>
    </row>
    <row r="21" customFormat="false" ht="15" hidden="false" customHeight="false" outlineLevel="0" collapsed="false">
      <c r="A21" s="1" t="s">
        <v>97</v>
      </c>
      <c r="B21" s="1" t="s">
        <v>98</v>
      </c>
      <c r="C21" s="1" t="s">
        <v>99</v>
      </c>
      <c r="D21" s="1" t="s">
        <v>14</v>
      </c>
      <c r="E21" s="1" t="s">
        <v>37</v>
      </c>
      <c r="F21" s="1" t="s">
        <v>37</v>
      </c>
      <c r="G21" s="1" t="s">
        <v>22</v>
      </c>
      <c r="H21" s="1" t="s">
        <v>100</v>
      </c>
      <c r="I21" s="3" t="b">
        <f aca="false">TRUE()</f>
        <v>1</v>
      </c>
      <c r="J21" s="1" t="b">
        <f aca="false">TRUE()</f>
        <v>1</v>
      </c>
      <c r="L21" s="2"/>
    </row>
    <row r="22" customFormat="false" ht="15" hidden="false" customHeight="false" outlineLevel="0" collapsed="false">
      <c r="A22" s="1" t="s">
        <v>101</v>
      </c>
      <c r="B22" s="1" t="s">
        <v>102</v>
      </c>
      <c r="C22" s="1" t="s">
        <v>103</v>
      </c>
      <c r="D22" s="1" t="s">
        <v>14</v>
      </c>
      <c r="E22" s="1" t="s">
        <v>15</v>
      </c>
      <c r="F22" s="1" t="s">
        <v>22</v>
      </c>
      <c r="G22" s="1" t="s">
        <v>27</v>
      </c>
      <c r="H22" s="1" t="s">
        <v>104</v>
      </c>
      <c r="I22" s="3" t="b">
        <f aca="false">FALSE()</f>
        <v>0</v>
      </c>
      <c r="J22" s="1" t="b">
        <f aca="false">FALSE()</f>
        <v>0</v>
      </c>
      <c r="L22" s="4" t="s">
        <v>22</v>
      </c>
    </row>
    <row r="23" customFormat="false" ht="15" hidden="false" customHeight="false" outlineLevel="0" collapsed="false">
      <c r="A23" s="1" t="s">
        <v>105</v>
      </c>
      <c r="B23" s="1" t="s">
        <v>106</v>
      </c>
      <c r="C23" s="1" t="s">
        <v>107</v>
      </c>
      <c r="D23" s="1" t="s">
        <v>14</v>
      </c>
      <c r="E23" s="1" t="s">
        <v>17</v>
      </c>
      <c r="F23" s="1" t="s">
        <v>17</v>
      </c>
      <c r="G23" s="1" t="s">
        <v>15</v>
      </c>
      <c r="H23" s="1" t="s">
        <v>108</v>
      </c>
      <c r="I23" s="3" t="b">
        <f aca="false">TRUE()</f>
        <v>1</v>
      </c>
      <c r="J23" s="1" t="b">
        <f aca="false">TRUE()</f>
        <v>1</v>
      </c>
      <c r="L23" s="2"/>
    </row>
    <row r="24" customFormat="false" ht="15" hidden="false" customHeight="false" outlineLevel="0" collapsed="false">
      <c r="A24" s="1" t="s">
        <v>109</v>
      </c>
      <c r="B24" s="1" t="s">
        <v>110</v>
      </c>
      <c r="C24" s="2" t="s">
        <v>111</v>
      </c>
      <c r="D24" s="1" t="s">
        <v>14</v>
      </c>
      <c r="E24" s="1" t="s">
        <v>87</v>
      </c>
      <c r="F24" s="1" t="s">
        <v>16</v>
      </c>
      <c r="G24" s="1" t="s">
        <v>82</v>
      </c>
      <c r="H24" s="1" t="s">
        <v>112</v>
      </c>
      <c r="I24" s="6" t="b">
        <f aca="false">FALSE()</f>
        <v>0</v>
      </c>
      <c r="J24" s="1" t="b">
        <f aca="false">FALSE()</f>
        <v>0</v>
      </c>
      <c r="L24" s="2" t="s">
        <v>82</v>
      </c>
      <c r="M24" s="1" t="s">
        <v>113</v>
      </c>
    </row>
    <row r="25" customFormat="false" ht="15" hidden="false" customHeight="false" outlineLevel="0" collapsed="false">
      <c r="A25" s="1" t="s">
        <v>114</v>
      </c>
      <c r="B25" s="1" t="s">
        <v>115</v>
      </c>
      <c r="C25" s="1" t="s">
        <v>116</v>
      </c>
      <c r="D25" s="1" t="s">
        <v>14</v>
      </c>
      <c r="E25" s="1" t="s">
        <v>32</v>
      </c>
      <c r="F25" s="1" t="s">
        <v>32</v>
      </c>
      <c r="G25" s="1" t="s">
        <v>15</v>
      </c>
      <c r="H25" s="1" t="s">
        <v>117</v>
      </c>
      <c r="I25" s="3" t="b">
        <f aca="false">TRUE()</f>
        <v>1</v>
      </c>
      <c r="J25" s="1" t="b">
        <f aca="false">TRUE()</f>
        <v>1</v>
      </c>
      <c r="L25" s="2"/>
    </row>
    <row r="26" customFormat="false" ht="15" hidden="false" customHeight="false" outlineLevel="0" collapsed="false">
      <c r="A26" s="1" t="s">
        <v>118</v>
      </c>
      <c r="B26" s="1" t="s">
        <v>119</v>
      </c>
      <c r="C26" s="1" t="s">
        <v>120</v>
      </c>
      <c r="D26" s="1" t="s">
        <v>14</v>
      </c>
      <c r="E26" s="1" t="s">
        <v>16</v>
      </c>
      <c r="F26" s="1" t="s">
        <v>16</v>
      </c>
      <c r="G26" s="1" t="s">
        <v>87</v>
      </c>
      <c r="H26" s="1" t="s">
        <v>121</v>
      </c>
      <c r="I26" s="3" t="b">
        <f aca="false">TRUE()</f>
        <v>1</v>
      </c>
      <c r="J26" s="1" t="b">
        <f aca="false">TRUE()</f>
        <v>1</v>
      </c>
      <c r="L26" s="2"/>
    </row>
    <row r="27" customFormat="false" ht="15" hidden="false" customHeight="false" outlineLevel="0" collapsed="false">
      <c r="A27" s="1" t="s">
        <v>122</v>
      </c>
      <c r="B27" s="1" t="s">
        <v>123</v>
      </c>
      <c r="C27" s="1" t="s">
        <v>124</v>
      </c>
      <c r="D27" s="1" t="s">
        <v>14</v>
      </c>
      <c r="E27" s="1" t="s">
        <v>15</v>
      </c>
      <c r="F27" s="1" t="s">
        <v>17</v>
      </c>
      <c r="G27" s="1" t="s">
        <v>22</v>
      </c>
      <c r="H27" s="1" t="s">
        <v>125</v>
      </c>
      <c r="I27" s="3" t="b">
        <f aca="false">FALSE()</f>
        <v>0</v>
      </c>
      <c r="J27" s="1" t="b">
        <f aca="false">FALSE()</f>
        <v>0</v>
      </c>
      <c r="L27" s="2" t="s">
        <v>17</v>
      </c>
    </row>
    <row r="28" customFormat="false" ht="15" hidden="false" customHeight="false" outlineLevel="0" collapsed="false">
      <c r="A28" s="1" t="s">
        <v>126</v>
      </c>
      <c r="B28" s="1" t="s">
        <v>127</v>
      </c>
      <c r="C28" s="1" t="s">
        <v>128</v>
      </c>
      <c r="D28" s="1" t="s">
        <v>14</v>
      </c>
      <c r="E28" s="1" t="s">
        <v>17</v>
      </c>
      <c r="F28" s="1" t="s">
        <v>16</v>
      </c>
      <c r="G28" s="1" t="s">
        <v>17</v>
      </c>
      <c r="H28" s="1" t="s">
        <v>129</v>
      </c>
      <c r="I28" s="3" t="b">
        <f aca="false">FALSE()</f>
        <v>0</v>
      </c>
      <c r="J28" s="1" t="b">
        <f aca="false">TRUE()</f>
        <v>1</v>
      </c>
      <c r="L28"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4</v>
      </c>
      <c r="B1" s="1" t="s">
        <v>130</v>
      </c>
      <c r="C1" s="1" t="s">
        <v>8</v>
      </c>
      <c r="D1" s="1" t="s">
        <v>131</v>
      </c>
      <c r="E1" s="1" t="s">
        <v>132</v>
      </c>
      <c r="F1" s="1" t="s">
        <v>133</v>
      </c>
    </row>
    <row r="2" customFormat="false" ht="15" hidden="false" customHeight="false" outlineLevel="0" collapsed="false">
      <c r="A2" s="1" t="s">
        <v>15</v>
      </c>
      <c r="B2" s="1" t="n">
        <v>3</v>
      </c>
      <c r="C2" s="1" t="n">
        <v>0</v>
      </c>
      <c r="D2" s="1" t="n">
        <v>0</v>
      </c>
      <c r="E2" s="1" t="s">
        <v>134</v>
      </c>
      <c r="F2" s="1" t="s">
        <v>134</v>
      </c>
    </row>
    <row r="3" customFormat="false" ht="15" hidden="false" customHeight="false" outlineLevel="0" collapsed="false">
      <c r="A3" s="1" t="s">
        <v>17</v>
      </c>
      <c r="B3" s="1" t="n">
        <v>4</v>
      </c>
      <c r="C3" s="1" t="n">
        <v>2</v>
      </c>
      <c r="D3" s="1" t="n">
        <v>4</v>
      </c>
      <c r="E3" s="1" t="s">
        <v>135</v>
      </c>
      <c r="F3" s="1" t="s">
        <v>136</v>
      </c>
    </row>
    <row r="4" customFormat="false" ht="15" hidden="false" customHeight="false" outlineLevel="0" collapsed="false">
      <c r="A4" s="1" t="s">
        <v>87</v>
      </c>
      <c r="B4" s="1" t="n">
        <v>1</v>
      </c>
      <c r="C4" s="1" t="n">
        <v>0</v>
      </c>
      <c r="D4" s="1" t="n">
        <v>0</v>
      </c>
      <c r="E4" s="1" t="s">
        <v>134</v>
      </c>
      <c r="F4" s="1" t="s">
        <v>134</v>
      </c>
    </row>
    <row r="5" customFormat="false" ht="15" hidden="false" customHeight="false" outlineLevel="0" collapsed="false">
      <c r="A5" s="1" t="s">
        <v>37</v>
      </c>
      <c r="B5" s="1" t="n">
        <v>8</v>
      </c>
      <c r="C5" s="1" t="n">
        <v>5</v>
      </c>
      <c r="D5" s="1" t="n">
        <v>8</v>
      </c>
      <c r="E5" s="1" t="s">
        <v>137</v>
      </c>
      <c r="F5" s="1" t="s">
        <v>136</v>
      </c>
    </row>
    <row r="6" customFormat="false" ht="15" hidden="false" customHeight="false" outlineLevel="0" collapsed="false">
      <c r="A6" s="1" t="s">
        <v>22</v>
      </c>
      <c r="B6" s="1" t="n">
        <v>1</v>
      </c>
      <c r="C6" s="1" t="n">
        <v>0</v>
      </c>
      <c r="D6" s="1" t="n">
        <v>1</v>
      </c>
      <c r="E6" s="1" t="s">
        <v>134</v>
      </c>
      <c r="F6" s="1" t="s">
        <v>136</v>
      </c>
    </row>
    <row r="7" customFormat="false" ht="15" hidden="false" customHeight="false" outlineLevel="0" collapsed="false">
      <c r="A7" s="1" t="s">
        <v>16</v>
      </c>
      <c r="B7" s="1" t="n">
        <v>3</v>
      </c>
      <c r="C7" s="1" t="n">
        <v>3</v>
      </c>
      <c r="D7" s="1" t="n">
        <v>3</v>
      </c>
      <c r="E7" s="1" t="s">
        <v>136</v>
      </c>
      <c r="F7" s="1" t="s">
        <v>136</v>
      </c>
    </row>
    <row r="8" customFormat="false" ht="15" hidden="false" customHeight="false" outlineLevel="0" collapsed="false">
      <c r="A8" s="1" t="s">
        <v>27</v>
      </c>
      <c r="B8" s="1" t="n">
        <v>3</v>
      </c>
      <c r="C8" s="1" t="n">
        <v>1</v>
      </c>
      <c r="D8" s="1" t="n">
        <v>2</v>
      </c>
      <c r="E8" s="1" t="s">
        <v>138</v>
      </c>
      <c r="F8" s="1" t="s">
        <v>139</v>
      </c>
    </row>
    <row r="9" customFormat="false" ht="15" hidden="false" customHeight="false" outlineLevel="0" collapsed="false">
      <c r="A9" s="1" t="s">
        <v>32</v>
      </c>
      <c r="B9" s="1" t="n">
        <v>4</v>
      </c>
      <c r="C9" s="1" t="n">
        <v>4</v>
      </c>
      <c r="D9" s="1" t="n">
        <v>4</v>
      </c>
      <c r="E9" s="1" t="s">
        <v>136</v>
      </c>
      <c r="F9" s="1"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1" t="s">
        <v>140</v>
      </c>
      <c r="B1" s="1" t="s">
        <v>141</v>
      </c>
      <c r="C1" s="1" t="s">
        <v>130</v>
      </c>
    </row>
    <row r="2" customFormat="false" ht="15" hidden="false" customHeight="false" outlineLevel="0" collapsed="false">
      <c r="A2" s="1" t="s">
        <v>142</v>
      </c>
      <c r="B2" s="1" t="s">
        <v>143</v>
      </c>
      <c r="C2" s="1" t="n">
        <v>27</v>
      </c>
    </row>
    <row r="3" customFormat="false" ht="15" hidden="false" customHeight="false" outlineLevel="0" collapsed="false">
      <c r="A3" s="1" t="s">
        <v>144</v>
      </c>
      <c r="B3" s="1" t="s">
        <v>145</v>
      </c>
      <c r="C3" s="1"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2026-06-25T11:59:48Z</dcterms:created>
  <dc:creator>openpyxl</dc:creator>
  <dc:description/>
  <dc:language>en-GB</dc:language>
  <cp:lastModifiedBy/>
  <dcterms:modified xsi:type="dcterms:W3CDTF">2026-06-25T13:17:50Z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