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<sst xmlns="http://schemas.openxmlformats.org/spreadsheetml/2006/main" count="886" uniqueCount="460">
  <si>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</si>
  <si>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</si>
  <si>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</si>
  <si>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</si>
  <si>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</si>
  <si>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</si>
  <si>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</si>
  <si>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</si>
  <si>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</si>
  <si>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</si>
  <si>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</si>
  <si>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Comments</t>
  </si>
  <si>
    <t xml:space="preserve">pub.1189507914</t>
  </si>
  <si>
    <t xml:space="preserve">Rotated Fourier transform (RFT) enables the quantification of anisotropic structure in high-moisture plant-protein extrudates</t>
  </si>
  <si>
    <t xml:space="preserve">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</si>
  <si>
    <t xml:space="preserve">PB</t>
  </si>
  <si>
    <t xml:space="preserve">Texturization methods</t>
  </si>
  <si>
    <t xml:space="preserve">Ingredient optimisation</t>
  </si>
  <si>
    <t xml:space="preserve">The study develops a novel image analysis method (RFT) to quantify anisotropic structure in high-moisture extruded plant-protein products, directly addressing process innovations in texturization; the characterization of structural properties at the ingredient/intermediate level also supports ingredient optimization.</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</si>
  <si>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</si>
  <si>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</si>
  <si>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</si>
  <si>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Food safety &amp; quality</t>
  </si>
  <si>
    <t xml:space="preserve">The study primarily evaluates genotoxicity and safety of Xuta kernels through mutagenicity and Comet assays, with secondary focus on quantifying antinutritional factors (lectins, trypsin inhibitors, phytic acid) and their reduction through hydrothermal treatment at the ingredient level.</t>
  </si>
  <si>
    <t xml:space="preserve">I agree with LLM. Primarily a food safety assessment.</t>
  </si>
  <si>
    <t xml:space="preserve">pub.1190595792</t>
  </si>
  <si>
    <t xml:space="preserve">Understanding young consumers’ motivations for purchasing plant-based burgers: insights from the means-end chain theory</t>
  </si>
  <si>
    <t xml:space="preserve">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</si>
  <si>
    <t xml:space="preserve">Consumer &amp; market research</t>
  </si>
  <si>
    <t xml:space="preserve">End product formulation</t>
  </si>
  <si>
    <t xml:space="preserve">This study directly investigates consumer purchase motivations, preferences, and segmentation for plant-based burgers using means-end chain theory and laddering interviews, which is core consumer behavior research; secondary classification reflects the focus on product attributes and sensory characteristics influencing purchase decisions.</t>
  </si>
  <si>
    <t xml:space="preserve">pub.1191797885</t>
  </si>
  <si>
    <t xml:space="preserve">Optimizing mung bean and soybean hydrolysis for the generation of bioactive peptides of potential functional food applications</t>
  </si>
  <si>
    <t xml:space="preserve">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</si>
  <si>
    <t xml:space="preserve">Health &amp; nutrition</t>
  </si>
  <si>
    <t xml:space="preserve">The study focuses on enzymatic processing and characterization of protein hydrolysates to improve functional properties and bioactivity at the ingredient level, with antioxidant capacity measured as a functional attribute of the processed ingredient rather than in a finished product or human health context.</t>
  </si>
  <si>
    <t xml:space="preserve">pub.1184808456</t>
  </si>
  <si>
    <t xml:space="preserve">Optimizing high-moisture meat analogue textures through Artificial Intelligence: The effect of sorbitol in soy protein concentrate blends</t>
  </si>
  <si>
    <t xml:space="preserve">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</si>
  <si>
    <t xml:space="preserve">The study's primary focus is on optimizing extrusion processing and AI-driven parameter adjustment to achieve specific meat-like textures in high-moisture analogues, while sorbitol's effects on protein structure and functional properties represent secondary ingredient-level characterization.</t>
  </si>
  <si>
    <t xml:space="preserve">pub.1187440697</t>
  </si>
  <si>
    <t xml:space="preserve">Butter aroma compounds in plant-based milk alternatives through fermentation: screening of potential starter cultures and enhanced production in oat milk with Lactococcus cremoris</t>
  </si>
  <si>
    <t xml:space="preserve">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</si>
  <si>
    <t xml:space="preserve">Strain development</t>
  </si>
  <si>
    <t xml:space="preserve">The study focuses on screening and optimizing a novel microbial strain (Lactococcus cremoris) and its bioprocess for enhanced production of aroma compounds in plant-based milk, which is the core of strain development; ingredient optimization is secondary as the aroma compounds themselves are functional ingredients being optimized for plant-based products.</t>
  </si>
  <si>
    <t xml:space="preserve">pub.1191928083</t>
  </si>
  <si>
    <t xml:space="preserve">Valorizing Press Cakes as Ingredients in Textured Vegetable Proteins: Processing, Structure, and Texture</t>
  </si>
  <si>
    <t xml:space="preserve">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</si>
  <si>
    <t xml:space="preserve">The study focuses on extrusion processing to create textured vegetable proteins with specific structural and textural properties, while also characterizing press cake ingredients' techno-functional properties for TVP formulation.</t>
  </si>
  <si>
    <t xml:space="preserve">pub.1193708822</t>
  </si>
  <si>
    <t xml:space="preserve">How healthy are meat alternatives? A qualitative exploration among Dutch adults using the model of positive health</t>
  </si>
  <si>
    <t xml:space="preserve">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</si>
  <si>
    <t xml:space="preserve">This qualitative study explores consumer perceptions and psychological factors influencing meat alternative consumption among young adults, with secondary relevance to health dimensions through the Positive Health model framework, though it focuses on perceived rather than clinical health outcomes.</t>
  </si>
  <si>
    <t xml:space="preserve">I agree with LLM. There is no assessment of health &amp; nutrition, only how consumers perceive the healthiness of meat alternatives and how it affects their daily lives.</t>
  </si>
  <si>
    <t xml:space="preserve">pub.1191161017</t>
  </si>
  <si>
    <t xml:space="preserve">Understanding sensory and emotional drivers of plant-based fish analogues acceptance in children and adul</t>
  </si>
  <si>
    <t xml:space="preserve">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</si>
  <si>
    <t xml:space="preserve">The study primarily investigates consumer perception, liking, and emotional responses to plant-based fish products across age groups, which is core consumer research; secondarily, it evaluates sensory properties and acceptance of finished product formulations in comparative testing.</t>
  </si>
  <si>
    <t xml:space="preserve">I agree with LLM. While this research may inform end product formulation decisions, it is entirely consumer research.</t>
  </si>
  <si>
    <t xml:space="preserve">pub.1191786314</t>
  </si>
  <si>
    <t xml:space="preserve">Analyses of phenotypic and genomic based genetic diversity highlight useful trait variation for the improvement of grain and protein yield of pea (Pisum sativum L.) grown in Norway</t>
  </si>
  <si>
    <t xml:space="preserve">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</si>
  <si>
    <t xml:space="preserve">Crop development</t>
  </si>
  <si>
    <t xml:space="preserve">The study directly addresses breeding and selection of pea genotypes for improved protein yield and agronomic traits in a specific environment, which is core to crop development; ingredient optimisation is secondary as protein content characterization supports ingredient sourcing.</t>
  </si>
  <si>
    <t xml:space="preserve">pub.1192660347</t>
  </si>
  <si>
    <t xml:space="preserve">Cooks as collaborative creators and evaluators: An iterative sensory-driven workshop to create vegetarian dishes</t>
  </si>
  <si>
    <t xml:space="preserve">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</si>
  <si>
    <t xml:space="preserve">Other</t>
  </si>
  <si>
    <t xml:space="preserve">The study focuses on designing and testing finished vegetarian dishes through collaborative experimentation with multiple ingredients and cooking techniques, with sensory evaluation of complete products; the consumer/market aspect addresses barriers to plant-based adoption among culinary professionals and the need for familiarity and creativity in food service.</t>
  </si>
  <si>
    <t xml:space="preserve">Weird one. All three labels are defensible, but I have updated end product to exclude recipe development and updated other to include case studies and other more unusual types of publication.</t>
  </si>
  <si>
    <t xml:space="preserve">pub.1190878090</t>
  </si>
  <si>
    <t xml:space="preserve">The consumption of milk and milk alternatives among young people in Germany: a comparative analysis of consumer groups</t>
  </si>
  <si>
    <t xml:space="preserve">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</si>
  <si>
    <t xml:space="preserve">This study directly examines consumer behavior, purchasing intent, attitudes, and willingness to pay for milk alternatives among young Germans, which is core consumer &amp; market research; the secondary classification is 'Other' because the study also provides broader insights on food system transitions and dietary practice shifts that extend beyond the primary research categories.</t>
  </si>
  <si>
    <t xml:space="preserve">pub.1193375700</t>
  </si>
  <si>
    <t xml:space="preserve">Challenges in the Plant-based Dairy Alternatives Market: A Case Study of Ripened Rennet Cheese Alternatives in the Context of Sustainable Development Policy Principles</t>
  </si>
  <si>
    <t xml:space="preserve">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</si>
  <si>
    <t xml:space="preserve">Impact assessments</t>
  </si>
  <si>
    <t xml:space="preserve">The article primarily conducts a structured critical analysis of plant-based dairy alternatives against Sustainable Development Goals and policy principles, which is a systematic assessment of sustainability impacts; secondarily, it identifies consumer acceptance as a key research direction and discusses market development challenges.</t>
  </si>
  <si>
    <t xml:space="preserve">Should be Other. Policy focussed but not significant enough to be impact assessment.</t>
  </si>
  <si>
    <t xml:space="preserve">pub.1192904978</t>
  </si>
  <si>
    <t xml:space="preserve">Challenges in Processing Plant Proteins Using Electrospinning</t>
  </si>
  <si>
    <t xml:space="preserve">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</si>
  <si>
    <t xml:space="preserve">Electrospinning is a process innovation for manufacturing textured plant protein products, but the review also addresses ingredient-level modifications (solvents, polymers, surfactants, denaturation methods) needed to enable the texturization process.</t>
  </si>
  <si>
    <t xml:space="preserve">pub.1191049304</t>
  </si>
  <si>
    <t xml:space="preserve">Plant-based protein supplements as emerging sources of metal exposure: A risk assessment study</t>
  </si>
  <si>
    <t xml:space="preserve">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</si>
  <si>
    <t xml:space="preserve">The study's primary focus is a toxicological and chemical safety assessment of metal contaminants in plant-based protein supplements using analytical chemistry methods and risk characterization, with secondary relevance to health impacts through dietary exposure evaluation and reference intake comparisons.</t>
  </si>
  <si>
    <t xml:space="preserve">pub.1193472711</t>
  </si>
  <si>
    <t xml:space="preserve">Rheological analysis of swelling food soils for optimized cleaning in plant-based food production</t>
  </si>
  <si>
    <t xml:space="preserve">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</si>
  <si>
    <t xml:space="preserve">The study develops methodology for analyzing food soil rheology and cleaning efficiency in plant-based production lines to ensure food safety and optimize cleaning processes, with secondary relevance to production line operations affecting final product quality.</t>
  </si>
  <si>
    <t xml:space="preserve">Should be other. Prompt updated to promote Other selection and improve wording and examples for generic cleaning and equipment maintenance.</t>
  </si>
  <si>
    <t xml:space="preserve">pub.1191189050</t>
  </si>
  <si>
    <t xml:space="preserve">Maximize the synergistic interactions among microbial consortia and plant-based matrices to design fermented cereal-pulse-based beverages</t>
  </si>
  <si>
    <t xml:space="preserve">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</si>
  <si>
    <t xml:space="preserve">The study's core contribution is screening and optimizing novel microbial consortia and bioprocesses to enhance plant protein characteristics through fermentation, with the finished beverage formulation serving as the validation platform for demonstrating the synergistic effects of the selected strains.</t>
  </si>
  <si>
    <t xml:space="preserve">pub.1185483589</t>
  </si>
  <si>
    <t xml:space="preserve">Soluble chickpea and lentil powders: a solution for elderly consumers interested in enriching their meals with protein</t>
  </si>
  <si>
    <t xml:space="preserve">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</si>
  <si>
    <t xml:space="preserve">The study develops and tests finished puree products enriched with pulse powders, measuring multi-ingredient formulation effects on viscosity, sensory appeal, and consumer acceptance in elderly populations, making it primarily an end-product formulation study with secondary ingredient characterization.</t>
  </si>
  <si>
    <t xml:space="preserve">pub.1194955255</t>
  </si>
  <si>
    <t xml:space="preserve">Tempeh powder production from different substrates: carbon footprint, land-use change, economic feasibility and eco-efficiency</t>
  </si>
  <si>
    <t xml:space="preserve">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</si>
  <si>
    <t xml:space="preserve">The study's primary contribution is a quantitative Life Cycle Assessment and Life Cycle Cost Analysis comparing environmental and economic impacts across tempeh variants, which is a core impact assessment methodology; crop development is secondary as it evaluates alternative protein crops (fava bean, chickpea, quinoa, lentil) as substrates.</t>
  </si>
  <si>
    <t xml:space="preserve">pub.1188291190</t>
  </si>
  <si>
    <t xml:space="preserve">The Role of Plant-Based Beverages in Nutrition: An Expert Opinion</t>
  </si>
  <si>
    <t xml:space="preserve">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</si>
  <si>
    <t xml:space="preserve">This expert opinion evaluates the nutritional value and health benefits of plant-based beverages for human consumption and dietary patterns, while also addressing consumer awareness and preferences driving market growth.</t>
  </si>
  <si>
    <t xml:space="preserve">pub.1192912327</t>
  </si>
  <si>
    <t xml:space="preserve">An update on fermented plant-based dairy alternatives: Advances towards consumer acceptability and modern diets</t>
  </si>
  <si>
    <t xml:space="preserve">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</si>
  <si>
    <t xml:space="preserve">The article focuses on fermentation technology as a method to enhance plant-based dairy alternatives through microbial processing, while also addressing formulation challenges, sensory properties, and consumer acceptability of finished fermented products.</t>
  </si>
  <si>
    <t xml:space="preserve">Broad review. Should be Other</t>
  </si>
  <si>
    <t xml:space="preserve">pub.1193872722</t>
  </si>
  <si>
    <t xml:space="preserve">Exploring the Genetic Diversity of Pulse Crops for Improving Seed Quality for Human Consumption</t>
  </si>
  <si>
    <t xml:space="preserve">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</si>
  <si>
    <t xml:space="preserve">The article focuses on breeding pulse crops to improve seed quality traits (antinutritional factors, cooking defects) and yield through genetic diversity and pre-breeding, which directly aligns with crop development; secondary relevance to ingredient optimisation due to emphasis on improving seed quality characteristics for human consumption.</t>
  </si>
  <si>
    <t xml:space="preserve">pub.1193662387</t>
  </si>
  <si>
    <t xml:space="preserve">The role of participatory movements and organizations in plant-based food diffusion</t>
  </si>
  <si>
    <t xml:space="preserve">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</si>
  <si>
    <t xml:space="preserve">This study examines how consumer movements and organizations influence awareness and adoption of plant-based proteins through participatory initiatives, which is fundamentally a consumer behavior and market adoption study, with broader policy and social implications.</t>
  </si>
  <si>
    <t xml:space="preserve">pub.1185997380</t>
  </si>
  <si>
    <t xml:space="preserve">Does label information reflect product properties? A Swiss case study of plant-based milk alternatives</t>
  </si>
  <si>
    <t xml:space="preserve">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</si>
  <si>
    <t xml:space="preserve">This study investigates front-of-pack label information and consumer guidance for plant-based milk alternatives in the Swiss market, examining label prevalence, types, and congruence with actual product properties—a core consumer behavior and market research question; food safety and quality is secondary as the study evaluates label accuracy and potential consumer misleading regarding nutritional claims.</t>
  </si>
  <si>
    <t xml:space="preserve">pub.1187179468</t>
  </si>
  <si>
    <t xml:space="preserve">Historicizing the marketing of plant-based meat substitutes: a multimodal analysis of Sanitas Nut Food Company advertisements, 1896-1901</t>
  </si>
  <si>
    <t xml:space="preserve">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</si>
  <si>
    <t xml:space="preserve">This historical analysis of plant-based meat marketing strategies and consumer messaging through multimodal advertisement analysis is fundamentally a consumer and market research study examining how companies shape purchasing intent and eating knowledge, with broader philosophical implications about food culture and the protein transition.</t>
  </si>
  <si>
    <t xml:space="preserve">I agree with LLM. Looks at historic advertising to inform marketing, so comes under consumer &amp; market research.</t>
  </si>
  <si>
    <t xml:space="preserve">pub.1192826494</t>
  </si>
  <si>
    <t xml:space="preserve">Functional properties of autochthonous lactic acid bacteria starter cultures for plant-based food fermentation</t>
  </si>
  <si>
    <t xml:space="preserve">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</si>
  <si>
    <t xml:space="preserve">The study screens and optimizes novel LAB strains isolated from plant materials, characterizing their bioprocess capabilities (fermentation, proteolysis, phytase activity) for use as starter cultures in plant-based food fermentation, which is the core focus of Strain Development; Ingredient Optimisation is secondary as the functional characterization of these microbial strains relates to ingredient-level enhancement.</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</si>
  <si>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</si>
  <si>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</si>
  <si>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</si>
  <si>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The study evaluates breeding and agronomic optimization of traditional pea and faba bean varieties for improved yields and functional traits (lodging resistance, maturity matching) in intercropping systems, which is fundamentally crop development research, with secondary relevance to ingredient sourcing optimization for alternative protein production.</t>
  </si>
  <si>
    <t xml:space="preserve">pub.1185641135</t>
  </si>
  <si>
    <t xml:space="preserve">Impact of Supercritical CO2 Treatment on Lupin Flour and Lupin Protein Isolates</t>
  </si>
  <si>
    <t xml:space="preserve">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</si>
  <si>
    <t xml:space="preserve">The study focuses on optimizing supercritical CO2 processing to improve lupin protein isolate purity, composition, and functional properties at the ingredient level, with secondary relevance to exploring underutilized lupin as a protein crop for enhanced yields and quality.</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</si>
  <si>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</si>
  <si>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</si>
  <si>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</si>
  <si>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The study formulates and evaluates finished alternative protein products (pea balls) through multi-ingredient testing with various carbohydrates and additives, measuring safety-relevant oxidative and glycation products in the final product following cooking and digestion.</t>
  </si>
  <si>
    <t xml:space="preserve">Should be Health. Prompt updated to make any publication reporting health-relevant outcomes be health &amp; nutrition, leaving end product formulation to be focused on functional, sensory, and nutritional qualities only, but not measured health impacts (in vitro or in vivo).</t>
  </si>
  <si>
    <t xml:space="preserve">pub.1194107207</t>
  </si>
  <si>
    <t xml:space="preserve">A comparative analysis of the water and carbon footprints of hybrid, plant-based, and animal-based burgers</t>
  </si>
  <si>
    <t xml:space="preserve">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</si>
  <si>
    <t xml:space="preserve">The study's primary contribution is a quantitative life cycle assessment comparing water footprints and carbon footprints across three burger formulations, making it fundamentally an impact assessment; the finished burger products are the objects of comparison but serve as vehicles for the environmental analysis rather than being the primary focus of product development.</t>
  </si>
  <si>
    <t xml:space="preserve">pub.1193133167</t>
  </si>
  <si>
    <t xml:space="preserve">Bacterial and fungal community composition in dairy products and plant-based dairy alternatives using high throughput sequencing</t>
  </si>
  <si>
    <t xml:space="preserve">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</si>
  <si>
    <t xml:space="preserve">The study uses microbial community profiling via high-throughput sequencing to assess safety and quality of plant-based fermented products, identifying pathogenic and spoilage organisms; secondarily, it highlights the need for targeted starter culture selection and fermentation control in plant-based systems.</t>
  </si>
  <si>
    <t xml:space="preserve">pub.1196487893</t>
  </si>
  <si>
    <t xml:space="preserve">The Role of the Nutri-Score and Eco-Score in Shaping Consumers’ Sensory Expectations and Purchase Intention: An Eye-Tracking Study on Animal- and Plant-Based Foods</t>
  </si>
  <si>
    <t xml:space="preserve">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</si>
  <si>
    <t xml:space="preserve">This study directly investigates consumer behavior, sensory expectations, and purchase intention toward plant-based meat alternatives using eye-tracking methodology and consumer segmentation, with secondary relevance to product evaluation as sensory expectations of finished products are measured.</t>
  </si>
  <si>
    <t xml:space="preserve">pub.1191205854</t>
  </si>
  <si>
    <t xml:space="preserve">Climate change and the antinutrient–antioxidant puzzle in common bean seeds</t>
  </si>
  <si>
    <t xml:space="preserve">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</si>
  <si>
    <t xml:space="preserve">The paper examines how climate stress affects antinutrient accumulation in common bean seeds and their dual roles in plant resilience and human nutrition, making it primarily a crop development perspective on stress-responsive trait modulation, with secondary relevance to nutritional impacts on human health.</t>
  </si>
  <si>
    <t xml:space="preserve">pub.1194902449</t>
  </si>
  <si>
    <t xml:space="preserve">A Systematic Review of Food Safety Risks in Plant and Seaweeds as Emerging Alernative Protein Sources</t>
  </si>
  <si>
    <t xml:space="preserve">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</si>
  <si>
    <t xml:space="preserve">This systematic review directly synthesizes food safety risks (microbial, chemical, mycotoxins, heavy metals, allergenicity) across emerging alternative protein sources, making it a core food safety study, with secondary relevance to impact assessments as it evaluates safety as a sustainability consideration for protein transition.</t>
  </si>
  <si>
    <t xml:space="preserve">pub.1195928067</t>
  </si>
  <si>
    <t xml:space="preserve">Comparative evaluation of LAB proteolytic activities in soy-based dairy alternatives and bovine milk for selecting plant-based food starter strains</t>
  </si>
  <si>
    <t xml:space="preserve">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</si>
  <si>
    <t xml:space="preserve">The study screens and optimizes LAB strains and their proteolytic characteristics for plant-based fermentation, which is the core focus of strain development; ingredient optimization is secondary as proteolysis modulates soy protein characteristics.</t>
  </si>
  <si>
    <t xml:space="preserve">pub.1196410047</t>
  </si>
  <si>
    <t xml:space="preserve">Genome-wide association study (GWAS) identifies genetic loci and candidate genes for variation in protein and oil content in Sesamum indicum L.</t>
  </si>
  <si>
    <t xml:space="preserve">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</si>
  <si>
    <t xml:space="preserve">This GWAS study identifies genetic loci and candidate genes to enable breeding of sesame varieties with higher protein and oil content, directly supporting crop development for improved protein yields and quality; the focus on ingredient-level trait improvement (protein and oil content) as inputs for downstream product development makes ingredient optimisation a secondary consideration.</t>
  </si>
  <si>
    <t xml:space="preserve">pub.1189525700</t>
  </si>
  <si>
    <t xml:space="preserve">Ecodesign of a Legume-Based Vegan Burger: A Holistic Case Study Focusing on Ingredient Sourcing and Packaging Material</t>
  </si>
  <si>
    <t xml:space="preserve">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</si>
  <si>
    <t xml:space="preserve">The study's primary contribution is a quantitative life cycle assessment (LCA) and life cycle costing (LCC) analysis evaluating environmental and economic impacts of a legume-based vegan burger across multiple scenarios, with secondary relevance to end product formulation through ingredient sourcing and packaging optimization decisions.</t>
  </si>
  <si>
    <t xml:space="preserve">pub.1186992630</t>
  </si>
  <si>
    <t xml:space="preserve">Selection of Bacillus spp. as fermentation cultures for production of plant-based cheese analogues</t>
  </si>
  <si>
    <t xml:space="preserve">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</si>
  <si>
    <t xml:space="preserve">The study focuses on screening and optimizing Bacillus strains through genome analysis and fermentation bioprocesses to enhance plant-based cheese characteristics, with secondary relevance to the finished product formulation outcomes achieved through the fermentation approach.</t>
  </si>
  <si>
    <t xml:space="preserve">pub.1188758376</t>
  </si>
  <si>
    <t xml:space="preserve">Identification, in silico evaluation and in vitro assays of allergens from Sinapis arvensis (charlock mustard) and Brassica napus (rapeseed)</t>
  </si>
  <si>
    <t xml:space="preserve">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</si>
  <si>
    <t xml:space="preserve">The study identifies and characterizes allergenic proteins in mustard and rapeseed species using mass spectrometry, in silico analysis, and immunoblotting to assess allergenicity—a core food safety concern for novel food ingredients.</t>
  </si>
  <si>
    <t xml:space="preserve">pub.1187949241</t>
  </si>
  <si>
    <t xml:space="preserve">Dietary effects of plant-based meat analog and animal meat on serum metabolism, gut microbiota, and hepatic metabolic pathway in mice</t>
  </si>
  <si>
    <t xml:space="preserve">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</si>
  <si>
    <t xml:space="preserve">This study is primarily an in vivo animal intervention trial examining health impacts of plant-based meat analogs on metabolism, lipid profiles, and gut microbiota composition, which is core to Health &amp; Nutrition; secondarily, it evaluates a finished HMEP-derived product formulation's nutritional and physiological outcomes compared to animal meat controls.</t>
  </si>
  <si>
    <t xml:space="preserve">pub.1196369115</t>
  </si>
  <si>
    <t xml:space="preserve">Transport engineering as a strategy to realize rapeseed's potential as a protein‐rich food</t>
  </si>
  <si>
    <t xml:space="preserve">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</si>
  <si>
    <t xml:space="preserve">The study focuses on molecular breeding of rapeseed to enhance protein quality and reduce anti-nutritional factors through transport engineering, which is a crop development strategy, with secondary relevance to ingredient optimization as it aims to improve the functional properties of rapeseed press cake as a protein ingredient.</t>
  </si>
  <si>
    <t xml:space="preserve">pub.1195467699</t>
  </si>
  <si>
    <t xml:space="preserve">The effect of methylcellulose on in vivo aroma release and perception of plant-based meat analogues</t>
  </si>
  <si>
    <t xml:space="preserve">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</si>
  <si>
    <t xml:space="preserve">The study evaluates how a specific ingredient (methylcellulose) affects sensory and textural properties of finished PBMA patties, with primary focus on the complete product's texture-aroma interactions rather than isolated ingredient characterization.</t>
  </si>
  <si>
    <t xml:space="preserve">pub.1184007274</t>
  </si>
  <si>
    <t xml:space="preserve">Use of Penicillium roqueforti in plant-based veined-blue cheese: A source of mycotoxin hazards?</t>
  </si>
  <si>
    <t xml:space="preserve">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</si>
  <si>
    <t xml:space="preserve">The study directly assesses mycotoxin hazards and contamination risks in plant-based cheese matrices inoculated with P. roqueforti, which is a food safety concern; secondarily, it characterizes how different plant-based ingredient matrices influence mycotoxin production by the fermentation strain.</t>
  </si>
  <si>
    <t xml:space="preserve">pub.1192502901</t>
  </si>
  <si>
    <t xml:space="preserve">Heat resistance of bacterial spores isolated from plant-based matrices: Consequences for food safety and quality</t>
  </si>
  <si>
    <t xml:space="preserve">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</si>
  <si>
    <t xml:space="preserve">The study directly assesses microbial safety of bacterial spores in plant-based ingredients through heat resistance characterization and thermal processing validation, with secondary relevance to ingredient-level safety profiling for product development.</t>
  </si>
  <si>
    <t xml:space="preserve">pub.1189576105</t>
  </si>
  <si>
    <t xml:space="preserve">Functional and nutritional properties of fava bean ingredients processed by extrusion</t>
  </si>
  <si>
    <t xml:space="preserve">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</si>
  <si>
    <t xml:space="preserve">The study primarily characterizes functional and nutritional properties of processed fava bean ingredients (flour, starch, protein concentrates) at the ingredient level, including solubility, emulsifying properties, and digestibility; extrusion is employed as a processing method to modify these ingredient properties rather than to create a finished product texture.</t>
  </si>
  <si>
    <t xml:space="preserve">I agree with LLM. Extrusion is being used to modify plant protein ingredients (like water solubility, emulsifying properities), not to modify textural or structural endpoints (like bite, chewiness).</t>
  </si>
  <si>
    <t xml:space="preserve">pub.1194926394</t>
  </si>
  <si>
    <t xml:space="preserve">Structure design in food 3D printing – Anisotropy formation and spatial distribution of fibrous structures using combined dual and coaxial extrusion for meat alternatives</t>
  </si>
  <si>
    <t xml:space="preserve">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</si>
  <si>
    <t xml:space="preserve">The study develops a novel 3D printing approach combining dual and coaxial extrusion to create anisotropic fibrous structures in meat alternatives, which is a process innovation for manufacturing texture; the formulation of pea protein and wheat starch components supports the secondary classification.</t>
  </si>
  <si>
    <t xml:space="preserve">pub.1189553939</t>
  </si>
  <si>
    <t xml:space="preserve">Protein From Plants and Insects: A Glimpse Into the Future</t>
  </si>
  <si>
    <t xml:space="preserve">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</si>
  <si>
    <t xml:space="preserve">This is a broad-scope review article discussing multiple aspects of alternative proteins (plant and insect sources) including sustainability, nutrition, and consumer acceptance without focusing on a specific research methodology or product development category.</t>
  </si>
  <si>
    <t xml:space="preserve">pub.1186333542</t>
  </si>
  <si>
    <t xml:space="preserve">Sustainable valorization of almond and peanut plant-based milk cakes: The use of terpenoid mixtures as ready-to-use solvents to enhance supercritical CO2 extraction</t>
  </si>
  <si>
    <t xml:space="preserve">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</si>
  <si>
    <t xml:space="preserve">The study focuses on improving extraction and processing of protein and lipid ingredients from plant-based milk cakes using novel solvent systems, with characterization of bioactive compounds and protein functional properties; safety assessment via cytotoxicity testing is secondary.</t>
  </si>
  <si>
    <t xml:space="preserve">Borderline. I am leaning ingredient optimisation because it researches a method for extracting plant-based food ingredients. I think it was labelled Other as the most obvious link to AP is waste valorisation, but this is more contextual / provides a sustainability reason for the research rather than actually what the research itself does.</t>
  </si>
  <si>
    <t xml:space="preserve">pub.1187846096</t>
  </si>
  <si>
    <t xml:space="preserve">Oil-water interfacial and emulsifying properties of lupin protein and lupin protein-pectin mixtures at neutral and acidic pH conditions</t>
  </si>
  <si>
    <t xml:space="preserve">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</si>
  <si>
    <t xml:space="preserve">The study characterizes lupin protein-pectin mixtures as isolated ingredients to improve their functional properties (emulsification, interfacial behavior) at various pH conditions, with potential application to finished emulsion products.</t>
  </si>
  <si>
    <t xml:space="preserve">pub.1194000618</t>
  </si>
  <si>
    <t xml:space="preserve">Evaluation of processing of canola protein isolate on postprandial plasma amino acid profiles in healthy, young females</t>
  </si>
  <si>
    <t xml:space="preserve">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</si>
  <si>
    <t xml:space="preserve">This human in vivo study evaluates how canola protein processing affects postprandial amino acid bioavailability and plasma profiles in healthy individuals, which is a health and nutrition outcome; ingredient-level processing modifications (enzyme and heat treatment) are evaluated as secondary factors influencing nutritional characteristics.</t>
  </si>
  <si>
    <t xml:space="preserve">pub.1184227828</t>
  </si>
  <si>
    <t xml:space="preserve">Sustainability of Key Proteins in Plant-Based Meat Analogs Production: A Worldwide Perspective</t>
  </si>
  <si>
    <t xml:space="preserve">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</si>
  <si>
    <t xml:space="preserve">This narrative review systematically evaluates the sustainability of protein sources in plant-based meat production using a structured global perspective, making it primarily an impact assessment study, with secondary classification as a broad review covering sustainability, resource use, and geopolitical implications across multiple regions.</t>
  </si>
  <si>
    <t xml:space="preserve">pub.1191935083</t>
  </si>
  <si>
    <t xml:space="preserve">Plant proteins for human consumption – from local to global opportunities and challenges in a full value chain context</t>
  </si>
  <si>
    <t xml:space="preserve">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</si>
  <si>
    <t xml:space="preserve">This is a broad-scope review article synthesizing opportunities and challenges across the entire plant protein value chain (crop development, processing, consumer preferences, environmental and economic impacts), rather than focusing on a single research category, making it best classified as Other with Impact Assessments as secondary due to its discussion of environmental and economic assessment considerations.</t>
  </si>
  <si>
    <t xml:space="preserve">pub.1189508496</t>
  </si>
  <si>
    <t xml:space="preserve">Adaptation of bacterial starter cultures from dairy to plant-based substrates: challenges and opportunities</t>
  </si>
  <si>
    <t xml:space="preserve">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</si>
  <si>
    <t xml:space="preserve">The article focuses on screening and optimizing LAB strains for plant-based fermentation, addressing genetic limitations and metabolic requirements of starter cultures adapted to plant substrates, which is core to strain development; secondarily, it addresses ingredient-level characterization of protein and carbohydrate metabolism to enhance fermentation outcomes.</t>
  </si>
  <si>
    <t xml:space="preserve">pub.1188823937</t>
  </si>
  <si>
    <t xml:space="preserve">Formation of insoluble complexes upon calcium addition to total pea globulins or isolated 7S and 11S fractions: Impact of pH and intrinsic phytic acid content</t>
  </si>
  <si>
    <t xml:space="preserve">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</si>
  <si>
    <t xml:space="preserve">This study characterizes functional properties (calcium binding, complex formation, colloidal stability) of isolated pea protein fractions and their components (phytic acid), which is ingredient-level characterization to improve input quality for product development; food safety is secondary due to the mineral bioavailability implications of calcium-phytate-protein interactions.</t>
  </si>
  <si>
    <t xml:space="preserve">pub.1187379860</t>
  </si>
  <si>
    <t xml:space="preserve">Phenotypic characterization of soybean genetic resources at multiple locations: breeding implications for enhancing environmental resilience, yield and protein content</t>
  </si>
  <si>
    <t xml:space="preserve">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</si>
  <si>
    <t xml:space="preserve">The study focuses on screening and selecting soybean genetic resources for improved protein content and yield through phenotypic characterization across multiple environments, which is core to crop breeding for enhanced protein crops; secondary classification reflects the emphasis on protein content as a key trait being optimized at the crop level.</t>
  </si>
  <si>
    <t xml:space="preserve">pub.1175548852</t>
  </si>
  <si>
    <t xml:space="preserve">Tailoring texture and functionality of vegetable protein meat analogues through 3D printed porous structures</t>
  </si>
  <si>
    <t xml:space="preserve">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</si>
  <si>
    <t xml:space="preserve">The study focuses on 3D printing as a manufacturing process innovation to achieve desired texture and mechanical properties in plant-based meat analogues, with processing parameters (extrusion temperature) as the primary variable manipulated to control final product structure and functionality.</t>
  </si>
  <si>
    <t xml:space="preserve">pub.1194474353</t>
  </si>
  <si>
    <t xml:space="preserve">Chickpea-Based Burgers as a Sustainable Meat Alternative: Life Cycle Assessment and Preliminary Economic Evaluation</t>
  </si>
  <si>
    <t xml:space="preserve">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</si>
  <si>
    <t xml:space="preserve">The study's primary contribution is a quantitative life cycle assessment (LCA) and techno-economic analysis comparing plant-based and meat burgers, making it fundamentally an impact assessment study; the finished burger product is the object of evaluation rather than ingredient development.</t>
  </si>
  <si>
    <t xml:space="preserve">pub.1187854483</t>
  </si>
  <si>
    <t xml:space="preserve">Influence of temperature and shear rate during cooling on the rheological and textural properties of pea protein-based meat analogues</t>
  </si>
  <si>
    <t xml:space="preserve">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</si>
  <si>
    <t xml:space="preserve">The study focuses on process innovations (cooling die temperature and shear rate control during high-moisture extrusion) to achieve meat-like texture in pea protein products, with secondary relevance to understanding how processing conditions affect protein ingredient properties.</t>
  </si>
  <si>
    <t xml:space="preserve">pub.1191620428</t>
  </si>
  <si>
    <t xml:space="preserve">An investigation into the environmental impact of plant-based dairy alternatives compared with dairy milk in the UK</t>
  </si>
  <si>
    <t xml:space="preserve">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</si>
  <si>
    <t xml:space="preserve">The study employs a structured quantitative environmental assessment methodology comparing multiple impact metrics (GHG, water use, land use, eutrophication, acidification) across products, which is the defining characteristic of impact assessments; secondary classification reflects the practical application to inform consumer choice and healthcare professional guidance.</t>
  </si>
  <si>
    <t xml:space="preserve">pub.1195272011</t>
  </si>
  <si>
    <t xml:space="preserve">Beyond the fields: Unravelling the social consequences of green pea protein production from a Swedish perspective</t>
  </si>
  <si>
    <t xml:space="preserve">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</si>
  <si>
    <t xml:space="preserve">This study employs social life-cycle assessment (S-LCA) as its primary methodological contribution to evaluate social sustainability impacts across a pea-protein supply chain, making it a structured quantitative assessment study; the secondary classification reflects its broader scope in advancing social sustainability methodology for alternative protein supply chains.</t>
  </si>
  <si>
    <t xml:space="preserve">pub.1184971867</t>
  </si>
  <si>
    <t xml:space="preserve">Nutritional Quality of Plant-Based Fish and Seafood Analogs: A Study of the Italian Market</t>
  </si>
  <si>
    <t xml:space="preserve">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</si>
  <si>
    <t xml:space="preserve">The study evaluates finished plant-based fish and seafood products through multi-ingredient nutritional profiling, Nutri-Score assessment, and labeling analysis of complete market products rather than isolated ingredients, with secondary relevance to food safety through nutritional quality and labeling claim verification.</t>
  </si>
  <si>
    <t xml:space="preserve">pub.1192761567</t>
  </si>
  <si>
    <t xml:space="preserve">Environmental and economic sustainability of protein-rich crop cultivation in Europe</t>
  </si>
  <si>
    <t xml:space="preserve">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</si>
  <si>
    <t xml:space="preserve">The study's primary contribution is a comprehensive life cycle assessment (LCA) and life cycle cost (LCC) analysis evaluating environmental and economic sustainability across multiple crops and regions, which is a quantitative structured assessment methodology; crop development is secondary as it addresses cultivation of underutilised protein crops in new geographic regions.</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</si>
  <si>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</si>
  <si>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</si>
  <si>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</si>
  <si>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The study focuses on screening and optimizing novel microbial starter cultures (LAB and Propionibacterium strains) and their bioprocesses for fermentation to enhance plant protein characteristics, with secondary relevance to ingredient-level optimization of sensory and nutritional attributes of the lupin paste ingredient.</t>
  </si>
  <si>
    <t xml:space="preserve">pub.1185793230</t>
  </si>
  <si>
    <t xml:space="preserve">Influence of autochthonous Lactiplantibacillus plantarum strains on microbial safety and bioactive compounds in a fermented quinoa-based beverage as a non-dairy alternative</t>
  </si>
  <si>
    <t xml:space="preserve">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</si>
  <si>
    <t xml:space="preserve">The study screens and optimizes autochthonous Lactiplantibacillus plantarum strains to modulate microbial composition and bioactive compound profiles in a fermented quinoa beverage, which is strain development for fermentation bioprocessing; secondarily, it characterizes ingredient-level changes in polyphenols and saponins resulting from fermentation.</t>
  </si>
  <si>
    <t xml:space="preserve">pub.1187663980</t>
  </si>
  <si>
    <t xml:space="preserve">High-moisture extrusion enhances soy protein quality based on in vitro protein digestibility and amino acid scores</t>
  </si>
  <si>
    <t xml:space="preserve">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</si>
  <si>
    <t xml:space="preserve">The study primarily investigates high-moisture extrusion as a manufacturing process to create meat analogue texture and structure, while secondarily characterizing the nutritional quality (digestibility and amino acid scores) of the extruded soy protein ingredients.</t>
  </si>
  <si>
    <t xml:space="preserve">Spent a while thinking about this and in vitro digestibility should definitely be ingredient optimisation, not health &amp; nutrition, and past labels are inconsistent between the two.</t>
  </si>
  <si>
    <t xml:space="preserve">pub.1188996314</t>
  </si>
  <si>
    <t xml:space="preserve">Temperature-dependent growth kinetics of Lacticaseibacillus rhamnosus GG in oat-based milk alternative</t>
  </si>
  <si>
    <t xml:space="preserve">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</si>
  <si>
    <t xml:space="preserve">The study characterizes growth kinetics and bioprocess parameters of a probiotic microbial strain in a plant-based matrix to optimize fermentation conditions for industrial production, which is core to strain development and bioprocess optimization for alternative protein applications.</t>
  </si>
  <si>
    <t xml:space="preserve">pub.1196751732</t>
  </si>
  <si>
    <t xml:space="preserve">Development and Optimization of a LAMP Assay for Lupin Detection in Foods</t>
  </si>
  <si>
    <t xml:space="preserve">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</si>
  <si>
    <t xml:space="preserve">The study develops and validates a detection assay for lupin allergen in foods to ensure consumer safety and regulatory compliance, which is the core focus of food safety work; ingredient optimisation is secondary as lupin is discussed as an alternative protein ingredient being incorporated into foods.</t>
  </si>
  <si>
    <t xml:space="preserve">pub.1189927278</t>
  </si>
  <si>
    <t xml:space="preserve">The effect of fortification on in vitro iron and zinc bioavailability in plant-based meat alternatives</t>
  </si>
  <si>
    <t xml:space="preserve">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</si>
  <si>
    <t xml:space="preserve">The study evaluates fortification strategies in a finished plant-based meat product and measures whole-product nutritional outcomes (bioavailability, mineral uptake), making it primarily an end-product formulation study, with secondary relevance to ingredient optimization through the assessment of fortification additives and phytate interactions.</t>
  </si>
  <si>
    <t xml:space="preserve">I agree with LLM. End product formulation specifically includes ‘nutritional assessment and fortification’. However, health &amp; nutrition should be second because cell-based mineral uptake is a physiological endpoint.</t>
  </si>
  <si>
    <t xml:space="preserve">pub.1195438208</t>
  </si>
  <si>
    <t xml:space="preserve">Simultaneous determination of acrylamide, Glycidamide, and Methylacrylamide in plant-based beverages using μ-dispersive solid phase extraction and HPLC-PDA: Development, validation, and occurrence</t>
  </si>
  <si>
    <t xml:space="preserve">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</si>
  <si>
    <t xml:space="preserve">The study develops and validates an analytical method for detecting heat-induced contaminants (acrylamide and related toxicants) in plant-based beverages, which is a food safety assessment; the method development and optimization for ingredient-level contaminant detection also relates to ingredient characterization.</t>
  </si>
  <si>
    <t xml:space="preserve">pub.1190884675</t>
  </si>
  <si>
    <t xml:space="preserve">Deciphering the Physiological Responses to the Intake of Plant-Based Meat Analogues: On the Track of Microbiota and Biomarkers in Serum and Urine</t>
  </si>
  <si>
    <t xml:space="preserve">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</si>
  <si>
    <t xml:space="preserve">This study investigates physiological responses to plant-based meat consumption through in vivo analysis of microbiota composition and serum/urine biomarkers in a rodent model, directly assessing health impacts rather than ingredient or product characterization.</t>
  </si>
  <si>
    <t xml:space="preserve">pub.1191525036</t>
  </si>
  <si>
    <t xml:space="preserve">Associations between romantic partners’ dietary motives and their plant-based meat alternative consumption</t>
  </si>
  <si>
    <t xml:space="preserve">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</si>
  <si>
    <t xml:space="preserve">This study examines how dietary motives and interpersonal influences (romantic partners) affect plant-based meat alternative consumption decisions using survey and behavioral data, which is fundamentally consumer behavior research; secondary classification reflects the health/nutrition framing of dietary motives like animal and environmental concern.</t>
  </si>
  <si>
    <t xml:space="preserve">pub.1191475219</t>
  </si>
  <si>
    <t xml:space="preserve">Chemical composition and techno-functional properties of grape seed proteins of Vitis vinifera L. grown in warm climates regions</t>
  </si>
  <si>
    <t xml:space="preserve">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</si>
  <si>
    <t xml:space="preserve">The study characterizes extracted grape seed proteins' nutritional composition, amino acid profiles, and functional properties (emulsification, foaming, water/oil retention) for ingredient-level application, with secondary relevance to utilizing underutilized protein crops from warm climates as sustainable sources.</t>
  </si>
  <si>
    <t xml:space="preserve">pub.1188577768</t>
  </si>
  <si>
    <t xml:space="preserve">Model predictive control of high moisture extrusion cooking</t>
  </si>
  <si>
    <t xml:space="preserve">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</si>
  <si>
    <t xml:space="preserve">The paper directly addresses process control innovations for high moisture extrusion cooking to produce meat-like textures from plant proteins, which is the core focus of texturization methods; end product formulation is secondary as the control framework aims to ensure consistent textural characteristics in the final product.</t>
  </si>
  <si>
    <t xml:space="preserve">pub.1190711567</t>
  </si>
  <si>
    <t xml:space="preserve">Development of a Clean-Label Meat-Free Alternative to Deli Ham</t>
  </si>
  <si>
    <t xml:space="preserve">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</si>
  <si>
    <t xml:space="preserve">The study's primary focus is developing and testing a finished deli ham alternative product through multi-ingredient formulation decisions and whole-product characterization (texture, rheology, color, sensory, nutritional profiling), with secondary emphasis on optimizing ingredient selection to achieve clean-label status and improved nutritional quality.</t>
  </si>
  <si>
    <t xml:space="preserve">pub.1190467589</t>
  </si>
  <si>
    <t xml:space="preserve">Unveiling the approach of campesterol: Its application and circular bio-economy</t>
  </si>
  <si>
    <t xml:space="preserve">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</si>
  <si>
    <t xml:space="preserve">The article focuses on extraction methods and applications of campesterol as a functional ingredient to enhance nutritional and functional qualities of food products, with emphasis on sustainable sourcing from underutilized crops and waste valorization contributing to circular bio-economy assessment.</t>
  </si>
  <si>
    <t xml:space="preserve">pub.1186993694</t>
  </si>
  <si>
    <t xml:space="preserve">Risks, resilience and sustainability of plant-based protein chains in Europe: a stakeholder analysis</t>
  </si>
  <si>
    <t xml:space="preserve">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</si>
  <si>
    <t xml:space="preserve">The study primarily investigates stakeholder perceptions and segmentation across consumers, farmers, and policymakers regarding plant-based proteins, which is core consumer and market research; secondarily, it assesses sustainability and resilience perceptions across the agri-food chain, contributing to impact assessment methodology.</t>
  </si>
  <si>
    <t xml:space="preserve">Should be impact but my impact definition was limited to quantitative or structured assessments and I think the stakeholder focus drew it to consumer research. Have edited impact definition to also mention supply chain resilience and food security as impacts.</t>
  </si>
  <si>
    <t xml:space="preserve">pub.1187097250</t>
  </si>
  <si>
    <t xml:space="preserve">Drivers and Barriers for Plant-Based Cheese Alternatives Adoption: Insights from Diverse Consumer Clusters</t>
  </si>
  <si>
    <t xml:space="preserve">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</si>
  <si>
    <t xml:space="preserve">The study directly investigates consumer drivers and barriers to plant-based cheese adoption through segmentation analysis, which is core consumer behavior research; secondary relevance to End Product Formulation stems from the focus on sensory attributes (flavor and texture) that inform product development strategies.</t>
  </si>
  <si>
    <t xml:space="preserve">pub.1185526849</t>
  </si>
  <si>
    <t xml:space="preserve">Enrichment of the nutritional value of pea flour milling fractions through fermentation</t>
  </si>
  <si>
    <t xml:space="preserve">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</si>
  <si>
    <t xml:space="preserve">The study focuses on improving pea flour fractions through fermentation-based processing to enhance nutritional characteristics (mineral bioavailability, amino acid profiles, phytate reduction), with strain selection and bioprocess optimization as secondary considerations for modulating ingredient functionality.</t>
  </si>
  <si>
    <t xml:space="preserve">pub.1191219238</t>
  </si>
  <si>
    <t xml:space="preserve">Exploring whey and faba bean protein interactions at the oil-water interface: A combined drop tensiometry and microfluidicsstudy</t>
  </si>
  <si>
    <t xml:space="preserve">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</si>
  <si>
    <t xml:space="preserve">This study characterizes the interfacial and functional properties of isolated protein ingredients (FPI and WPI) and their blends to understand how they perform at oil-water interfaces, which is ingredient-level characterization of functional properties; the secondary classification reflects that emulsion stabilization is relevant to product formulation applications.</t>
  </si>
  <si>
    <t xml:space="preserve">pub.1190249427</t>
  </si>
  <si>
    <t xml:space="preserve">Feeding masculine norms: Representations of (non-) meat and masculinities in food advertising</t>
  </si>
  <si>
    <t xml:space="preserve">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</si>
  <si>
    <t xml:space="preserve">This study analyzes how food advertising represents masculinity in relation to meat and plant-based alternatives through content analysis of TV commercials, directly examining consumer messaging and market positioning strategies rather than product development or technical innovation.</t>
  </si>
  <si>
    <t xml:space="preserve">pub.1191217756</t>
  </si>
  <si>
    <t xml:space="preserve">Plant protein-quercetin complexation in food product development</t>
  </si>
  <si>
    <t xml:space="preserve">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</si>
  <si>
    <t xml:space="preserve">The study focuses on modifying plant protein ingredients through processing technologies and interactions with quercetin to enhance their functional properties, which is ingredient-level optimization; secondary relevance to end product formulation due to discussion of applications in functional food development.</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</si>
  <si>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</si>
  <si>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</si>
  <si>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</si>
  <si>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The systematic review evaluates how mushroom incorporation affects physical characteristics, sensory properties, amino acid profiles, and dietary fibre content of meat analogues, focusing on ingredient-level characterisation and processing techniques to optimise quality, with secondary relevance to finished product formulation outcomes.</t>
  </si>
  <si>
    <t xml:space="preserve">Should be end product. Sonnet got it right. Not sure I can do much else to the prompt.</t>
  </si>
  <si>
    <t xml:space="preserve">pub.1186677941</t>
  </si>
  <si>
    <t xml:space="preserve">Tailoring the physico-chemical properties and VOCs of pea-based fermented beverages through Lactobacillus delbrueckii subsp. bulgaricus and Streptococcus thermophilus fermentation</t>
  </si>
  <si>
    <t xml:space="preserve">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</si>
  <si>
    <t xml:space="preserve">The study screens and optimizes specific Lactobacillus and Streptococcus strains and their fermentation bioprocess to enhance pea protein beverage characteristics, which is the core focus of strain development; ingredient optimization is secondary as it addresses off-flavor reduction and physico-chemical property improvement of the pea protein ingredient through fermentation.</t>
  </si>
  <si>
    <t xml:space="preserve">pub.1187314939</t>
  </si>
  <si>
    <t xml:space="preserve">Influence of Juiciness on In Vivo Aroma Release and Perception of Plant-Based Meat Analogue and Beef Patties</t>
  </si>
  <si>
    <t xml:space="preserve">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</si>
  <si>
    <t xml:space="preserve">The study evaluates sensory attributes (juiciness, aroma perception) of finished PBMA and beef patties as complete products, making it primarily an end product formulation study, with secondary relevance to ingredient optimisation due to the investigation of how matrix composition affects aroma release mechanisms.</t>
  </si>
  <si>
    <t xml:space="preserve">pub.1188180132</t>
  </si>
  <si>
    <t xml:space="preserve">Targeted genotyping (90K-SPET) facilitates genome-wide association studies and the prediction of yield-related traits in faba bean (Vicia faba L.)</t>
  </si>
  <si>
    <t xml:space="preserve">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</si>
  <si>
    <t xml:space="preserve">This study uses genome-wide association and genomic selection to identify genetic markers and develop high-yielding faba bean varieties with improved yield-related traits, directly supporting crop breeding for increased protein yields; the identification of SNPs affecting protein function provides secondary relevance to ingredient optimization.</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</si>
  <si>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</si>
  <si>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</si>
  <si>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</si>
  <si>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The study screens and optimizes lactic acid bacteria strains as biocontrol agents for fermentation processing of plant-based sausages, which is strain development; food safety is secondary as the primary outcome is pathogen reduction through strain selection rather than comprehensive safety assessment.</t>
  </si>
  <si>
    <t xml:space="preserve">Should be food safety first, then strain development. Sonnet got this right.</t>
  </si>
  <si>
    <t xml:space="preserve">pub.1190127308</t>
  </si>
  <si>
    <t xml:space="preserve">Digestion, Metabolism, and Health Effects of Plant Proteins and Their Food Formulations: A Systematic Scoping Review of Clinical Postprandial Studies and in vitro Methods</t>
  </si>
  <si>
    <t xml:space="preserve">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</si>
  <si>
    <t xml:space="preserve">This systematic scoping review primarily examines the digestion, metabolism, and health impacts of plant proteins through clinical postprandial studies and in vitro methods, which directly aligns with Health &amp; Nutrition; secondarily, it addresses how processing methods and food matrix influence protein digestibility and bioaccessibility, relevant to Ingredient Optimisation.</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</si>
  <si>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</si>
  <si>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</si>
  <si>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</si>
  <si>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The study uses fermentation with edible basidiomycetes to modulate aquafaba's functional and sensory properties as a processing method, which is the core focus of Strain Development; the chocolate mousse formulation and consumer testing are secondary applications demonstrating the improved ingredient's utility in a finished product.</t>
  </si>
  <si>
    <t xml:space="preserve">I agree with Sonnet. Ingredient optimisation primary – core contribution is improving aquafaba as an ingredient through fermentation. End product formulation is secondary as it is demonstrative and not the primary subject of the study.</t>
  </si>
  <si>
    <t xml:space="preserve">pub.1188139206</t>
  </si>
  <si>
    <t xml:space="preserve">A Rapid and Robust Targeted Proteomics Method for the Quantitation of Cross-Contaminations and Adulterations with Meat in Vegan and Vegetarian Meat Analogues</t>
  </si>
  <si>
    <t xml:space="preserve">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</si>
  <si>
    <t xml:space="preserve">The study develops a targeted proteomics method for detecting and quantifying meat cross-contamination in plant-based products, which is a food safety and quality assurance application; ingredient-level analytical characterization is secondary.</t>
  </si>
  <si>
    <t xml:space="preserve">pub.1190028529</t>
  </si>
  <si>
    <t xml:space="preserve">High-moisture extrusion of hempseed and oat press cakes for formation of soy-protein-containing fibrous meat analogs: Textural and physicochemical properties</t>
  </si>
  <si>
    <t xml:space="preserve">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</si>
  <si>
    <t xml:space="preserve">The study's primary focus is on high-moisture extrusion as a manufacturing process to achieve fibrous meat-analog texture through process parameter optimization (water content, cooling die temperature), while secondary emphasis is on multi-ingredient formulation design and textural/physicochemical characterization of the finished product.</t>
  </si>
  <si>
    <t xml:space="preserve">pub.1190075021</t>
  </si>
  <si>
    <t xml:space="preserve">Innovative screening for mutants affected in seed oil/protein allocation identifies TRANSPARENT TESTA7 as a regulator of oil accumulation</t>
  </si>
  <si>
    <t xml:space="preserve">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</si>
  <si>
    <t xml:space="preserve">The study screens Arabidopsis mutants to identify genetic regulators of seed oil and protein allocation, directly supporting crop breeding for improved protein yields in Brassicaceae crops; secondary classification reflects the metabolomic characterization of seed composition and functional properties.</t>
  </si>
  <si>
    <t xml:space="preserve">pub.1191621267</t>
  </si>
  <si>
    <t xml:space="preserve">The effect of pea protein preload on postprandial glucose response and blood pressure: a randomized controlled trial in healthy adults</t>
  </si>
  <si>
    <t xml:space="preserve">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</si>
  <si>
    <t xml:space="preserve">This randomized controlled trial measures the in vivo health impacts of pea protein on postprandial glucose and blood pressure in humans, which is the defining characteristic of Health &amp; Nutrition research, while the ingredient-level characterization of pea protein isolate's functional properties supports a secondary classification.</t>
  </si>
  <si>
    <t xml:space="preserve">pub.1193027836</t>
  </si>
  <si>
    <t xml:space="preserve">The Necessary Transition Towards Healthier Diets: An Assessment of Replacing Meat and Refined Wheat Flour with a Mixture of Different Plant-Based Foods</t>
  </si>
  <si>
    <t xml:space="preserve">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</si>
  <si>
    <t xml:space="preserve">The paper's primary focus is quantitatively assessing GHG emissions reductions and environmental impacts from dietary shifts away from meat, with secondary consideration of health outcomes from plant-based food substitution.</t>
  </si>
  <si>
    <t xml:space="preserve">Other is probably correct. It’s a more generalist / opinion publication arguing for a dietary change in response to sustainability concerns, but doesn’t seem to do a systematic review of literature or data. More of an opinion piece.</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</si>
  <si>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</si>
  <si>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</si>
  <si>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</si>
  <si>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This study focuses on breeding and optimization of wheat-soybean intercropping systems to increase protein yields and crop performance under climate change, while employing quantitative modeling and simulation assessment methodologies to evaluate environmental and production impacts.</t>
  </si>
  <si>
    <t xml:space="preserve">pub.1195195931</t>
  </si>
  <si>
    <t xml:space="preserve">Navigating the shift toward sustainable diets: the use of protein blends in dairy alternatives</t>
  </si>
  <si>
    <t xml:space="preserve">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</si>
  <si>
    <t xml:space="preserve">The article focuses on optimizing protein blends from diverse plant sources to enhance nutritional profile and sensory characteristics of dairy alternatives, which is ingredient-level optimization; secondarily addresses how these optimized ingredients integrate into finished plant-based milk products.</t>
  </si>
  <si>
    <t xml:space="preserve">Sonnet was correct. Boundary definition is clear enough, just need to use Sonnet,</t>
  </si>
  <si>
    <t xml:space="preserve">pub.1189843170</t>
  </si>
  <si>
    <t xml:space="preserve">Development and reproducibility of a questionnaire to assess drivers and barriers to consuming plant-based alternatives to dairy foods</t>
  </si>
  <si>
    <t xml:space="preserve">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</si>
  <si>
    <t xml:space="preserve">The study develops and validates a questionnaire specifically designed to assess consumer attitudes, drivers, and barriers to consuming plant-based dairy alternatives across different cultural contexts, which is the core focus of consumer and market research; the secondary classification reflects the methodological contribution of instrument development and reproducibility testing.</t>
  </si>
  <si>
    <t xml:space="preserve">pub.1187762379</t>
  </si>
  <si>
    <t xml:space="preserve">Plant-Based Alternatives to Meat Products</t>
  </si>
  <si>
    <t xml:space="preserve">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</si>
  <si>
    <t xml:space="preserve">The review's primary focus is on formulating plant-based meat analogues, discussing multi-ingredient formulation decisions, nutritional profiling, and product quality attributes; secondarily, it addresses environmental sustainability, techno-economic analysis, and market adoption as structured assessment frameworks for the protein transition.</t>
  </si>
  <si>
    <t xml:space="preserve">Should be Other. Sonnet at least got it as secondary. Prompt v3 and v4 have already been updated to give more clarity over Other and need testing.</t>
  </si>
  <si>
    <t xml:space="preserve">pub.1186730291</t>
  </si>
  <si>
    <t xml:space="preserve">Food-feed nexus in the agrifood chain – Quantification and alternatives assessed using a novel protein flow analysis on a systemic level</t>
  </si>
  <si>
    <t xml:space="preserve">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</si>
  <si>
    <t xml:space="preserve">This study employs a novel quantitative protein flow analysis and systemic assessment methodology to evaluate environmental and economic impacts of the food-feed nexus, with scenario modeling of production changes, fitting Impact Assessments; secondarily it is a broad systems-level review discussing protein transition dynamics and policy implications.</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</si>
  <si>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</si>
  <si>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</si>
  <si>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</si>
  <si>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The study systematically compares finished plant-based and dairy milk products across nutritional profiles, fortification strategies, and cost, making it primarily a whole-product evaluation; the health and nutrition comparison of these finished products is secondary.</t>
  </si>
  <si>
    <t xml:space="preserve">Agree with LLM. Comparison and characterisation of finished plant-based milks against dairy milks to inform product formulation. It’s not consumer research because there are no perceptions, behaviours, or purchasing intent. It could be health &amp; nutrition given the nutrition focus but that is a fine secondary.</t>
  </si>
  <si>
    <t xml:space="preserve">pub.1184116966</t>
  </si>
  <si>
    <t xml:space="preserve">Modeling Vitamin D Fortification Scenarios for the Australian Population</t>
  </si>
  <si>
    <t xml:space="preserve">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</si>
  <si>
    <t xml:space="preserve">This study models vitamin D fortification across multiple food categories (dairy, plant-based alternatives, beverages, cereals, bread) to achieve population-level nutritional outcomes, making it primarily a formulation strategy study with secondary health impact assessment focus.</t>
  </si>
  <si>
    <t xml:space="preserve">n</t>
  </si>
  <si>
    <t xml:space="preserve">top2_correct</t>
  </si>
  <si>
    <t xml:space="preserve">primary_acc</t>
  </si>
  <si>
    <t xml:space="preserve">top2_acc</t>
  </si>
  <si>
    <t xml:space="preserve">90%</t>
  </si>
  <si>
    <t xml:space="preserve">100%</t>
  </si>
  <si>
    <t xml:space="preserve">60%</t>
  </si>
  <si>
    <t xml:space="preserve">70%</t>
  </si>
  <si>
    <t xml:space="preserve">20%</t>
  </si>
  <si>
    <t xml:space="preserve">30%</t>
  </si>
  <si>
    <t xml:space="preserve">metric</t>
  </si>
  <si>
    <t xml:space="preserve">value</t>
  </si>
  <si>
    <t xml:space="preserve">top1_accuracy</t>
  </si>
  <si>
    <t xml:space="preserve">79%</t>
  </si>
  <si>
    <t xml:space="preserve">top2_accuracy</t>
  </si>
  <si>
    <t xml:space="preserve">89%</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</si>
</sst>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1"/>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L5" activeCellId="0" sqref="L5"/>
    </sheetView>
  </sheetViews>
  <sheetFormatPr defaultColWidth="8.34375" defaultRowHeight="15" customHeight="false" zeroHeight="false" outlineLevelRow="0" outlineLevelCol="0"/>
  <cols>
    <col collapsed="false" customWidth="true" hidden="false" outlineLevel="0" max="3" min="3" style="1" width="12.09"/>
    <col collapsed="false" customWidth="true" hidden="false" outlineLevel="0" max="7" min="5" style="1" width="24.33"/>
    <col collapsed="false" customWidth="true" hidden="false" outlineLevel="0" max="8" min="8" style="1" width="15.9"/>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1" t="s">
        <v>10</v>
      </c>
      <c r="M1" s="1" t="s">
        <v>11</v>
      </c>
    </row>
    <row r="2" customFormat="false" ht="15" hidden="false" customHeight="false" outlineLevel="0" collapsed="false">
      <c r="A2" s="1" t="s">
        <v>12</v>
      </c>
      <c r="B2" s="1" t="s">
        <v>13</v>
      </c>
      <c r="C2" s="1" t="s">
        <v>14</v>
      </c>
      <c r="D2" s="1" t="s">
        <v>15</v>
      </c>
      <c r="E2" s="1" t="s">
        <v>16</v>
      </c>
      <c r="F2" s="1" t="s">
        <v>16</v>
      </c>
      <c r="G2" s="1" t="s">
        <v>17</v>
      </c>
      <c r="H2" s="1" t="s">
        <v>18</v>
      </c>
      <c r="I2" s="1" t="b">
        <f aca="false">TRUE()</f>
        <v>1</v>
      </c>
      <c r="J2" s="1" t="b">
        <f aca="false">TRUE()</f>
        <v>1</v>
      </c>
    </row>
    <row r="3" customFormat="false" ht="15" hidden="false" customHeight="false" outlineLevel="0" collapsed="false">
      <c r="A3" s="1" t="s">
        <v>19</v>
      </c>
      <c r="B3" s="1" t="s">
        <v>20</v>
      </c>
      <c r="C3" s="1" t="s">
        <v>21</v>
      </c>
      <c r="D3" s="1" t="s">
        <v>15</v>
      </c>
      <c r="E3" s="1" t="s">
        <v>17</v>
      </c>
      <c r="F3" s="1" t="s">
        <v>22</v>
      </c>
      <c r="G3" s="1" t="s">
        <v>17</v>
      </c>
      <c r="H3" s="1" t="s">
        <v>23</v>
      </c>
      <c r="I3" s="2" t="b">
        <f aca="false">FALSE()</f>
        <v>0</v>
      </c>
      <c r="J3" s="1" t="b">
        <f aca="false">TRUE()</f>
        <v>1</v>
      </c>
      <c r="L3" s="1" t="s">
        <v>22</v>
      </c>
      <c r="M3" s="1" t="s">
        <v>24</v>
      </c>
    </row>
    <row r="4" customFormat="false" ht="15" hidden="false" customHeight="false" outlineLevel="0" collapsed="false">
      <c r="A4" s="1" t="s">
        <v>25</v>
      </c>
      <c r="B4" s="1" t="s">
        <v>26</v>
      </c>
      <c r="C4" s="1" t="s">
        <v>27</v>
      </c>
      <c r="D4" s="1" t="s">
        <v>15</v>
      </c>
      <c r="E4" s="1" t="s">
        <v>28</v>
      </c>
      <c r="F4" s="1" t="s">
        <v>28</v>
      </c>
      <c r="G4" s="1" t="s">
        <v>29</v>
      </c>
      <c r="H4" s="1" t="s">
        <v>30</v>
      </c>
      <c r="I4" s="1" t="b">
        <f aca="false">TRUE()</f>
        <v>1</v>
      </c>
      <c r="J4" s="1" t="b">
        <f aca="false">TRUE()</f>
        <v>1</v>
      </c>
    </row>
    <row r="5" customFormat="false" ht="15" hidden="false" customHeight="false" outlineLevel="0" collapsed="false">
      <c r="A5" s="1" t="s">
        <v>31</v>
      </c>
      <c r="B5" s="1" t="s">
        <v>32</v>
      </c>
      <c r="C5" s="1" t="s">
        <v>33</v>
      </c>
      <c r="D5" s="1" t="s">
        <v>15</v>
      </c>
      <c r="E5" s="1" t="s">
        <v>17</v>
      </c>
      <c r="F5" s="1" t="s">
        <v>17</v>
      </c>
      <c r="G5" s="1" t="s">
        <v>34</v>
      </c>
      <c r="H5" s="1" t="s">
        <v>35</v>
      </c>
      <c r="I5" s="1" t="b">
        <f aca="false">TRUE()</f>
        <v>1</v>
      </c>
      <c r="J5" s="1" t="b">
        <f aca="false">TRUE()</f>
        <v>1</v>
      </c>
    </row>
    <row r="6" customFormat="false" ht="15" hidden="false" customHeight="false" outlineLevel="0" collapsed="false">
      <c r="A6" s="1" t="s">
        <v>36</v>
      </c>
      <c r="B6" s="1" t="s">
        <v>37</v>
      </c>
      <c r="C6" s="1" t="s">
        <v>38</v>
      </c>
      <c r="D6" s="1" t="s">
        <v>15</v>
      </c>
      <c r="E6" s="1" t="s">
        <v>16</v>
      </c>
      <c r="F6" s="1" t="s">
        <v>16</v>
      </c>
      <c r="G6" s="1" t="s">
        <v>17</v>
      </c>
      <c r="H6" s="1" t="s">
        <v>39</v>
      </c>
      <c r="I6" s="1" t="b">
        <f aca="false">TRUE()</f>
        <v>1</v>
      </c>
      <c r="J6" s="1" t="b">
        <f aca="false">TRUE()</f>
        <v>1</v>
      </c>
    </row>
    <row r="7" customFormat="false" ht="15" hidden="false" customHeight="false" outlineLevel="0" collapsed="false">
      <c r="A7" s="1" t="s">
        <v>40</v>
      </c>
      <c r="B7" s="1" t="s">
        <v>41</v>
      </c>
      <c r="C7" s="1" t="s">
        <v>42</v>
      </c>
      <c r="D7" s="1" t="s">
        <v>15</v>
      </c>
      <c r="E7" s="1" t="s">
        <v>43</v>
      </c>
      <c r="F7" s="1" t="s">
        <v>43</v>
      </c>
      <c r="G7" s="1" t="s">
        <v>17</v>
      </c>
      <c r="H7" s="1" t="s">
        <v>44</v>
      </c>
      <c r="I7" s="1" t="b">
        <f aca="false">TRUE()</f>
        <v>1</v>
      </c>
      <c r="J7" s="1" t="b">
        <f aca="false">TRUE()</f>
        <v>1</v>
      </c>
    </row>
    <row r="8" customFormat="false" ht="15" hidden="false" customHeight="false" outlineLevel="0" collapsed="false">
      <c r="A8" s="1" t="s">
        <v>45</v>
      </c>
      <c r="B8" s="1" t="s">
        <v>46</v>
      </c>
      <c r="C8" s="1" t="s">
        <v>47</v>
      </c>
      <c r="D8" s="1" t="s">
        <v>15</v>
      </c>
      <c r="E8" s="1" t="s">
        <v>16</v>
      </c>
      <c r="F8" s="1" t="s">
        <v>16</v>
      </c>
      <c r="G8" s="1" t="s">
        <v>17</v>
      </c>
      <c r="H8" s="1" t="s">
        <v>48</v>
      </c>
      <c r="I8" s="1" t="b">
        <f aca="false">TRUE()</f>
        <v>1</v>
      </c>
      <c r="J8" s="1" t="b">
        <f aca="false">TRUE()</f>
        <v>1</v>
      </c>
    </row>
    <row r="9" customFormat="false" ht="15" hidden="false" customHeight="false" outlineLevel="0" collapsed="false">
      <c r="A9" s="1" t="s">
        <v>49</v>
      </c>
      <c r="B9" s="1" t="s">
        <v>50</v>
      </c>
      <c r="C9" s="1" t="s">
        <v>51</v>
      </c>
      <c r="D9" s="1" t="s">
        <v>15</v>
      </c>
      <c r="E9" s="1" t="s">
        <v>34</v>
      </c>
      <c r="F9" s="1" t="s">
        <v>28</v>
      </c>
      <c r="G9" s="1" t="s">
        <v>34</v>
      </c>
      <c r="H9" s="1" t="s">
        <v>52</v>
      </c>
      <c r="I9" s="2" t="b">
        <f aca="false">FALSE()</f>
        <v>0</v>
      </c>
      <c r="J9" s="1" t="b">
        <f aca="false">TRUE()</f>
        <v>1</v>
      </c>
      <c r="L9" s="1" t="s">
        <v>28</v>
      </c>
      <c r="M9" s="1" t="s">
        <v>53</v>
      </c>
    </row>
    <row r="10" customFormat="false" ht="15" hidden="false" customHeight="false" outlineLevel="0" collapsed="false">
      <c r="A10" s="1" t="s">
        <v>54</v>
      </c>
      <c r="B10" s="1" t="s">
        <v>55</v>
      </c>
      <c r="C10" s="1" t="s">
        <v>56</v>
      </c>
      <c r="D10" s="1" t="s">
        <v>15</v>
      </c>
      <c r="E10" s="1" t="s">
        <v>29</v>
      </c>
      <c r="F10" s="1" t="s">
        <v>28</v>
      </c>
      <c r="G10" s="1" t="s">
        <v>29</v>
      </c>
      <c r="H10" s="1" t="s">
        <v>57</v>
      </c>
      <c r="I10" s="2" t="b">
        <f aca="false">FALSE()</f>
        <v>0</v>
      </c>
      <c r="J10" s="1" t="b">
        <f aca="false">TRUE()</f>
        <v>1</v>
      </c>
      <c r="L10" s="1" t="s">
        <v>28</v>
      </c>
      <c r="M10" s="1" t="s">
        <v>58</v>
      </c>
    </row>
    <row r="11" customFormat="false" ht="15" hidden="false" customHeight="false" outlineLevel="0" collapsed="false">
      <c r="A11" s="1" t="s">
        <v>59</v>
      </c>
      <c r="B11" s="1" t="s">
        <v>60</v>
      </c>
      <c r="C11" s="1" t="s">
        <v>61</v>
      </c>
      <c r="D11" s="1" t="s">
        <v>15</v>
      </c>
      <c r="E11" s="1" t="s">
        <v>62</v>
      </c>
      <c r="F11" s="1" t="s">
        <v>62</v>
      </c>
      <c r="G11" s="1" t="s">
        <v>17</v>
      </c>
      <c r="H11" s="1" t="s">
        <v>63</v>
      </c>
      <c r="I11" s="1" t="b">
        <f aca="false">TRUE()</f>
        <v>1</v>
      </c>
      <c r="J11" s="1" t="b">
        <f aca="false">TRUE()</f>
        <v>1</v>
      </c>
    </row>
    <row r="12" customFormat="false" ht="15" hidden="false" customHeight="false" outlineLevel="0" collapsed="false">
      <c r="A12" s="1" t="s">
        <v>64</v>
      </c>
      <c r="B12" s="1" t="s">
        <v>65</v>
      </c>
      <c r="C12" s="1" t="s">
        <v>66</v>
      </c>
      <c r="D12" s="1" t="s">
        <v>15</v>
      </c>
      <c r="E12" s="1" t="s">
        <v>67</v>
      </c>
      <c r="F12" s="1" t="s">
        <v>29</v>
      </c>
      <c r="G12" s="1" t="s">
        <v>28</v>
      </c>
      <c r="H12" s="1" t="s">
        <v>68</v>
      </c>
      <c r="I12" s="3" t="b">
        <f aca="false">FALSE()</f>
        <v>0</v>
      </c>
      <c r="J12" s="1" t="b">
        <f aca="false">FALSE()</f>
        <v>0</v>
      </c>
      <c r="M12" s="1" t="s">
        <v>69</v>
      </c>
    </row>
    <row r="13" customFormat="false" ht="15" hidden="false" customHeight="false" outlineLevel="0" collapsed="false">
      <c r="A13" s="1" t="s">
        <v>70</v>
      </c>
      <c r="B13" s="1" t="s">
        <v>71</v>
      </c>
      <c r="C13" s="1" t="s">
        <v>72</v>
      </c>
      <c r="D13" s="1" t="s">
        <v>15</v>
      </c>
      <c r="E13" s="1" t="s">
        <v>28</v>
      </c>
      <c r="F13" s="1" t="s">
        <v>28</v>
      </c>
      <c r="G13" s="1" t="s">
        <v>67</v>
      </c>
      <c r="H13" s="1" t="s">
        <v>73</v>
      </c>
      <c r="I13" s="1" t="b">
        <f aca="false">TRUE()</f>
        <v>1</v>
      </c>
      <c r="J13" s="1" t="b">
        <f aca="false">TRUE()</f>
        <v>1</v>
      </c>
    </row>
    <row r="14" customFormat="false" ht="15" hidden="false" customHeight="false" outlineLevel="0" collapsed="false">
      <c r="A14" s="1" t="s">
        <v>74</v>
      </c>
      <c r="B14" s="1" t="s">
        <v>75</v>
      </c>
      <c r="C14" s="1" t="s">
        <v>76</v>
      </c>
      <c r="D14" s="1" t="s">
        <v>15</v>
      </c>
      <c r="E14" s="1" t="s">
        <v>67</v>
      </c>
      <c r="F14" s="1" t="s">
        <v>77</v>
      </c>
      <c r="G14" s="1" t="s">
        <v>28</v>
      </c>
      <c r="H14" s="1" t="s">
        <v>78</v>
      </c>
      <c r="I14" s="3" t="b">
        <f aca="false">FALSE()</f>
        <v>0</v>
      </c>
      <c r="J14" s="1" t="b">
        <f aca="false">FALSE()</f>
        <v>0</v>
      </c>
      <c r="L14" s="1"/>
      <c r="M14" s="0" t="s">
        <v>79</v>
      </c>
    </row>
    <row r="15" customFormat="false" ht="15" hidden="false" customHeight="false" outlineLevel="0" collapsed="false">
      <c r="A15" s="1" t="s">
        <v>80</v>
      </c>
      <c r="B15" s="1" t="s">
        <v>81</v>
      </c>
      <c r="C15" s="1" t="s">
        <v>82</v>
      </c>
      <c r="D15" s="1" t="s">
        <v>15</v>
      </c>
      <c r="E15" s="1" t="s">
        <v>16</v>
      </c>
      <c r="F15" s="1" t="s">
        <v>16</v>
      </c>
      <c r="G15" s="1" t="s">
        <v>17</v>
      </c>
      <c r="H15" s="1" t="s">
        <v>83</v>
      </c>
      <c r="I15" s="1" t="b">
        <f aca="false">TRUE()</f>
        <v>1</v>
      </c>
      <c r="J15" s="1" t="b">
        <f aca="false">TRUE()</f>
        <v>1</v>
      </c>
    </row>
    <row r="16" customFormat="false" ht="15" hidden="false" customHeight="false" outlineLevel="0" collapsed="false">
      <c r="A16" s="1" t="s">
        <v>84</v>
      </c>
      <c r="B16" s="1" t="s">
        <v>85</v>
      </c>
      <c r="C16" s="1" t="s">
        <v>86</v>
      </c>
      <c r="D16" s="1" t="s">
        <v>15</v>
      </c>
      <c r="E16" s="1" t="s">
        <v>22</v>
      </c>
      <c r="F16" s="1" t="s">
        <v>22</v>
      </c>
      <c r="G16" s="1" t="s">
        <v>34</v>
      </c>
      <c r="H16" s="1" t="s">
        <v>87</v>
      </c>
      <c r="I16" s="1" t="b">
        <f aca="false">TRUE()</f>
        <v>1</v>
      </c>
      <c r="J16" s="1" t="b">
        <f aca="false">TRUE()</f>
        <v>1</v>
      </c>
    </row>
    <row r="17" customFormat="false" ht="23.3" hidden="false" customHeight="false" outlineLevel="0" collapsed="false">
      <c r="A17" s="1" t="s">
        <v>88</v>
      </c>
      <c r="B17" s="1" t="s">
        <v>89</v>
      </c>
      <c r="C17" s="4" t="s">
        <v>90</v>
      </c>
      <c r="D17" s="1" t="s">
        <v>15</v>
      </c>
      <c r="E17" s="1" t="s">
        <v>67</v>
      </c>
      <c r="F17" s="1" t="s">
        <v>22</v>
      </c>
      <c r="G17" s="1" t="s">
        <v>29</v>
      </c>
      <c r="H17" s="1" t="s">
        <v>91</v>
      </c>
      <c r="I17" s="3" t="b">
        <f aca="false">FALSE()</f>
        <v>0</v>
      </c>
      <c r="J17" s="1" t="b">
        <f aca="false">FALSE()</f>
        <v>0</v>
      </c>
      <c r="M17" s="1" t="s">
        <v>92</v>
      </c>
    </row>
    <row r="18" customFormat="false" ht="15" hidden="false" customHeight="false" outlineLevel="0" collapsed="false">
      <c r="A18" s="1" t="s">
        <v>93</v>
      </c>
      <c r="B18" s="1" t="s">
        <v>94</v>
      </c>
      <c r="C18" s="1" t="s">
        <v>95</v>
      </c>
      <c r="D18" s="1" t="s">
        <v>15</v>
      </c>
      <c r="E18" s="1" t="s">
        <v>43</v>
      </c>
      <c r="F18" s="1" t="s">
        <v>43</v>
      </c>
      <c r="G18" s="1" t="s">
        <v>29</v>
      </c>
      <c r="H18" s="1" t="s">
        <v>96</v>
      </c>
      <c r="I18" s="1" t="b">
        <f aca="false">TRUE()</f>
        <v>1</v>
      </c>
      <c r="J18" s="1" t="b">
        <f aca="false">TRUE()</f>
        <v>1</v>
      </c>
    </row>
    <row r="19" customFormat="false" ht="15" hidden="false" customHeight="false" outlineLevel="0" collapsed="false">
      <c r="A19" s="1" t="s">
        <v>97</v>
      </c>
      <c r="B19" s="1" t="s">
        <v>98</v>
      </c>
      <c r="C19" s="1" t="s">
        <v>99</v>
      </c>
      <c r="D19" s="1" t="s">
        <v>15</v>
      </c>
      <c r="E19" s="1" t="s">
        <v>29</v>
      </c>
      <c r="F19" s="1" t="s">
        <v>29</v>
      </c>
      <c r="G19" s="1" t="s">
        <v>17</v>
      </c>
      <c r="H19" s="1" t="s">
        <v>100</v>
      </c>
      <c r="I19" s="1" t="b">
        <f aca="false">TRUE()</f>
        <v>1</v>
      </c>
      <c r="J19" s="1" t="b">
        <f aca="false">TRUE()</f>
        <v>1</v>
      </c>
    </row>
    <row r="20" customFormat="false" ht="15" hidden="false" customHeight="false" outlineLevel="0" collapsed="false">
      <c r="A20" s="1" t="s">
        <v>101</v>
      </c>
      <c r="B20" s="1" t="s">
        <v>102</v>
      </c>
      <c r="C20" s="1" t="s">
        <v>103</v>
      </c>
      <c r="D20" s="1" t="s">
        <v>15</v>
      </c>
      <c r="E20" s="1" t="s">
        <v>77</v>
      </c>
      <c r="F20" s="1" t="s">
        <v>77</v>
      </c>
      <c r="G20" s="1" t="s">
        <v>62</v>
      </c>
      <c r="H20" s="1" t="s">
        <v>104</v>
      </c>
      <c r="I20" s="1" t="b">
        <f aca="false">TRUE()</f>
        <v>1</v>
      </c>
      <c r="J20" s="1" t="b">
        <f aca="false">TRUE()</f>
        <v>1</v>
      </c>
    </row>
    <row r="21" customFormat="false" ht="15" hidden="false" customHeight="false" outlineLevel="0" collapsed="false">
      <c r="A21" s="1" t="s">
        <v>105</v>
      </c>
      <c r="B21" s="1" t="s">
        <v>106</v>
      </c>
      <c r="C21" s="1" t="s">
        <v>107</v>
      </c>
      <c r="D21" s="1" t="s">
        <v>15</v>
      </c>
      <c r="E21" s="1" t="s">
        <v>34</v>
      </c>
      <c r="F21" s="1" t="s">
        <v>34</v>
      </c>
      <c r="G21" s="1" t="s">
        <v>28</v>
      </c>
      <c r="H21" s="1" t="s">
        <v>108</v>
      </c>
      <c r="I21" s="1" t="b">
        <f aca="false">TRUE()</f>
        <v>1</v>
      </c>
      <c r="J21" s="1" t="b">
        <f aca="false">TRUE()</f>
        <v>1</v>
      </c>
    </row>
    <row r="22" customFormat="false" ht="15" hidden="false" customHeight="false" outlineLevel="0" collapsed="false">
      <c r="A22" s="1" t="s">
        <v>109</v>
      </c>
      <c r="B22" s="1" t="s">
        <v>110</v>
      </c>
      <c r="C22" s="1" t="s">
        <v>111</v>
      </c>
      <c r="D22" s="1" t="s">
        <v>15</v>
      </c>
      <c r="E22" s="1" t="s">
        <v>67</v>
      </c>
      <c r="F22" s="1" t="s">
        <v>43</v>
      </c>
      <c r="G22" s="1" t="s">
        <v>29</v>
      </c>
      <c r="H22" s="1" t="s">
        <v>112</v>
      </c>
      <c r="I22" s="3" t="b">
        <f aca="false">FALSE()</f>
        <v>0</v>
      </c>
      <c r="J22" s="1" t="b">
        <f aca="false">FALSE()</f>
        <v>0</v>
      </c>
      <c r="M22" s="1" t="s">
        <v>113</v>
      </c>
    </row>
    <row r="23" customFormat="false" ht="15" hidden="false" customHeight="false" outlineLevel="0" collapsed="false">
      <c r="A23" s="1" t="s">
        <v>114</v>
      </c>
      <c r="B23" s="1" t="s">
        <v>115</v>
      </c>
      <c r="C23" s="1" t="s">
        <v>116</v>
      </c>
      <c r="D23" s="1" t="s">
        <v>15</v>
      </c>
      <c r="E23" s="1" t="s">
        <v>62</v>
      </c>
      <c r="F23" s="1" t="s">
        <v>62</v>
      </c>
      <c r="G23" s="1" t="s">
        <v>17</v>
      </c>
      <c r="H23" s="1" t="s">
        <v>117</v>
      </c>
      <c r="I23" s="1" t="b">
        <f aca="false">TRUE()</f>
        <v>1</v>
      </c>
      <c r="J23" s="1" t="b">
        <f aca="false">TRUE()</f>
        <v>1</v>
      </c>
    </row>
    <row r="24" customFormat="false" ht="15" hidden="false" customHeight="false" outlineLevel="0" collapsed="false">
      <c r="A24" s="1" t="s">
        <v>118</v>
      </c>
      <c r="B24" s="1" t="s">
        <v>119</v>
      </c>
      <c r="C24" s="1" t="s">
        <v>120</v>
      </c>
      <c r="D24" s="1" t="s">
        <v>15</v>
      </c>
      <c r="E24" s="1" t="s">
        <v>28</v>
      </c>
      <c r="F24" s="1" t="s">
        <v>28</v>
      </c>
      <c r="G24" s="1" t="s">
        <v>67</v>
      </c>
      <c r="H24" s="1" t="s">
        <v>121</v>
      </c>
      <c r="I24" s="1" t="b">
        <f aca="false">TRUE()</f>
        <v>1</v>
      </c>
      <c r="J24" s="1" t="b">
        <f aca="false">TRUE()</f>
        <v>1</v>
      </c>
    </row>
    <row r="25" customFormat="false" ht="15" hidden="false" customHeight="false" outlineLevel="0" collapsed="false">
      <c r="A25" s="1" t="s">
        <v>122</v>
      </c>
      <c r="B25" s="1" t="s">
        <v>123</v>
      </c>
      <c r="C25" s="1" t="s">
        <v>124</v>
      </c>
      <c r="D25" s="1" t="s">
        <v>15</v>
      </c>
      <c r="E25" s="1" t="s">
        <v>28</v>
      </c>
      <c r="F25" s="1" t="s">
        <v>28</v>
      </c>
      <c r="G25" s="1" t="s">
        <v>22</v>
      </c>
      <c r="H25" s="1" t="s">
        <v>125</v>
      </c>
      <c r="I25" s="1" t="b">
        <f aca="false">TRUE()</f>
        <v>1</v>
      </c>
      <c r="J25" s="1" t="b">
        <f aca="false">TRUE()</f>
        <v>1</v>
      </c>
    </row>
    <row r="26" customFormat="false" ht="15" hidden="false" customHeight="false" outlineLevel="0" collapsed="false">
      <c r="A26" s="1" t="s">
        <v>126</v>
      </c>
      <c r="B26" s="1" t="s">
        <v>127</v>
      </c>
      <c r="C26" s="1" t="s">
        <v>128</v>
      </c>
      <c r="D26" s="1" t="s">
        <v>15</v>
      </c>
      <c r="E26" s="1" t="s">
        <v>67</v>
      </c>
      <c r="F26" s="1" t="s">
        <v>28</v>
      </c>
      <c r="G26" s="1" t="s">
        <v>67</v>
      </c>
      <c r="H26" s="1" t="s">
        <v>129</v>
      </c>
      <c r="I26" s="2" t="b">
        <f aca="false">FALSE()</f>
        <v>0</v>
      </c>
      <c r="J26" s="1" t="b">
        <f aca="false">TRUE()</f>
        <v>1</v>
      </c>
      <c r="L26" s="1" t="s">
        <v>28</v>
      </c>
      <c r="M26" s="1" t="s">
        <v>130</v>
      </c>
    </row>
    <row r="27" customFormat="false" ht="15" hidden="false" customHeight="false" outlineLevel="0" collapsed="false">
      <c r="A27" s="1" t="s">
        <v>131</v>
      </c>
      <c r="B27" s="1" t="s">
        <v>132</v>
      </c>
      <c r="C27" s="1" t="s">
        <v>133</v>
      </c>
      <c r="D27" s="1" t="s">
        <v>15</v>
      </c>
      <c r="E27" s="1" t="s">
        <v>43</v>
      </c>
      <c r="F27" s="1" t="s">
        <v>43</v>
      </c>
      <c r="G27" s="1" t="s">
        <v>17</v>
      </c>
      <c r="H27" s="1" t="s">
        <v>134</v>
      </c>
      <c r="I27" s="1" t="b">
        <f aca="false">TRUE()</f>
        <v>1</v>
      </c>
      <c r="J27" s="1" t="b">
        <f aca="false">TRUE()</f>
        <v>1</v>
      </c>
    </row>
    <row r="28" customFormat="false" ht="15" hidden="false" customHeight="false" outlineLevel="0" collapsed="false">
      <c r="A28" s="1" t="s">
        <v>135</v>
      </c>
      <c r="B28" s="1" t="s">
        <v>136</v>
      </c>
      <c r="C28" s="1" t="s">
        <v>137</v>
      </c>
      <c r="D28" s="1" t="s">
        <v>15</v>
      </c>
      <c r="E28" s="1" t="s">
        <v>62</v>
      </c>
      <c r="F28" s="1" t="s">
        <v>62</v>
      </c>
      <c r="G28" s="1" t="s">
        <v>17</v>
      </c>
      <c r="H28" s="1" t="s">
        <v>138</v>
      </c>
      <c r="I28" s="1" t="b">
        <f aca="false">TRUE()</f>
        <v>1</v>
      </c>
      <c r="J28" s="1" t="b">
        <f aca="false">TRUE()</f>
        <v>1</v>
      </c>
    </row>
    <row r="29" customFormat="false" ht="15" hidden="false" customHeight="false" outlineLevel="0" collapsed="false">
      <c r="A29" s="1" t="s">
        <v>139</v>
      </c>
      <c r="B29" s="1" t="s">
        <v>140</v>
      </c>
      <c r="C29" s="1" t="s">
        <v>141</v>
      </c>
      <c r="D29" s="1" t="s">
        <v>15</v>
      </c>
      <c r="E29" s="1" t="s">
        <v>17</v>
      </c>
      <c r="F29" s="1" t="s">
        <v>17</v>
      </c>
      <c r="G29" s="1" t="s">
        <v>62</v>
      </c>
      <c r="H29" s="1" t="s">
        <v>142</v>
      </c>
      <c r="I29" s="1" t="b">
        <f aca="false">TRUE()</f>
        <v>1</v>
      </c>
      <c r="J29" s="1" t="b">
        <f aca="false">TRUE()</f>
        <v>1</v>
      </c>
    </row>
    <row r="30" customFormat="false" ht="15" hidden="false" customHeight="false" outlineLevel="0" collapsed="false">
      <c r="A30" s="1" t="s">
        <v>143</v>
      </c>
      <c r="B30" s="1" t="s">
        <v>144</v>
      </c>
      <c r="C30" s="1" t="s">
        <v>145</v>
      </c>
      <c r="D30" s="1" t="s">
        <v>15</v>
      </c>
      <c r="E30" s="1" t="s">
        <v>34</v>
      </c>
      <c r="F30" s="1" t="s">
        <v>29</v>
      </c>
      <c r="G30" s="1" t="s">
        <v>22</v>
      </c>
      <c r="H30" s="1" t="s">
        <v>146</v>
      </c>
      <c r="I30" s="3" t="b">
        <f aca="false">FALSE()</f>
        <v>0</v>
      </c>
      <c r="J30" s="1" t="b">
        <f aca="false">FALSE()</f>
        <v>0</v>
      </c>
      <c r="M30" s="1" t="s">
        <v>147</v>
      </c>
    </row>
    <row r="31" customFormat="false" ht="15" hidden="false" customHeight="false" outlineLevel="0" collapsed="false">
      <c r="A31" s="1" t="s">
        <v>148</v>
      </c>
      <c r="B31" s="1" t="s">
        <v>149</v>
      </c>
      <c r="C31" s="1" t="s">
        <v>150</v>
      </c>
      <c r="D31" s="1" t="s">
        <v>15</v>
      </c>
      <c r="E31" s="1" t="s">
        <v>77</v>
      </c>
      <c r="F31" s="1" t="s">
        <v>77</v>
      </c>
      <c r="G31" s="1" t="s">
        <v>29</v>
      </c>
      <c r="H31" s="1" t="s">
        <v>151</v>
      </c>
      <c r="I31" s="1" t="b">
        <f aca="false">TRUE()</f>
        <v>1</v>
      </c>
      <c r="J31" s="1" t="b">
        <f aca="false">TRUE()</f>
        <v>1</v>
      </c>
    </row>
    <row r="32" customFormat="false" ht="15" hidden="false" customHeight="false" outlineLevel="0" collapsed="false">
      <c r="A32" s="1" t="s">
        <v>152</v>
      </c>
      <c r="B32" s="1" t="s">
        <v>153</v>
      </c>
      <c r="C32" s="1" t="s">
        <v>154</v>
      </c>
      <c r="D32" s="1" t="s">
        <v>15</v>
      </c>
      <c r="E32" s="1" t="s">
        <v>22</v>
      </c>
      <c r="F32" s="1" t="s">
        <v>22</v>
      </c>
      <c r="G32" s="1" t="s">
        <v>43</v>
      </c>
      <c r="H32" s="1" t="s">
        <v>155</v>
      </c>
      <c r="I32" s="1" t="b">
        <f aca="false">TRUE()</f>
        <v>1</v>
      </c>
      <c r="J32" s="1" t="b">
        <f aca="false">TRUE()</f>
        <v>1</v>
      </c>
    </row>
    <row r="33" customFormat="false" ht="15" hidden="false" customHeight="false" outlineLevel="0" collapsed="false">
      <c r="A33" s="1" t="s">
        <v>156</v>
      </c>
      <c r="B33" s="1" t="s">
        <v>157</v>
      </c>
      <c r="C33" s="1" t="s">
        <v>158</v>
      </c>
      <c r="D33" s="1" t="s">
        <v>15</v>
      </c>
      <c r="E33" s="1" t="s">
        <v>28</v>
      </c>
      <c r="F33" s="1" t="s">
        <v>28</v>
      </c>
      <c r="G33" s="1" t="s">
        <v>29</v>
      </c>
      <c r="H33" s="1" t="s">
        <v>159</v>
      </c>
      <c r="I33" s="1" t="b">
        <f aca="false">TRUE()</f>
        <v>1</v>
      </c>
      <c r="J33" s="1" t="b">
        <f aca="false">TRUE()</f>
        <v>1</v>
      </c>
    </row>
    <row r="34" customFormat="false" ht="15" hidden="false" customHeight="false" outlineLevel="0" collapsed="false">
      <c r="A34" s="1" t="s">
        <v>160</v>
      </c>
      <c r="B34" s="1" t="s">
        <v>161</v>
      </c>
      <c r="C34" s="1" t="s">
        <v>162</v>
      </c>
      <c r="D34" s="1" t="s">
        <v>15</v>
      </c>
      <c r="E34" s="1" t="s">
        <v>62</v>
      </c>
      <c r="F34" s="1" t="s">
        <v>62</v>
      </c>
      <c r="G34" s="1" t="s">
        <v>34</v>
      </c>
      <c r="H34" s="1" t="s">
        <v>163</v>
      </c>
      <c r="I34" s="1" t="b">
        <f aca="false">TRUE()</f>
        <v>1</v>
      </c>
      <c r="J34" s="1" t="b">
        <f aca="false">TRUE()</f>
        <v>1</v>
      </c>
    </row>
    <row r="35" customFormat="false" ht="15" hidden="false" customHeight="false" outlineLevel="0" collapsed="false">
      <c r="A35" s="1" t="s">
        <v>164</v>
      </c>
      <c r="B35" s="1" t="s">
        <v>165</v>
      </c>
      <c r="C35" s="1" t="s">
        <v>166</v>
      </c>
      <c r="D35" s="1" t="s">
        <v>15</v>
      </c>
      <c r="E35" s="1" t="s">
        <v>22</v>
      </c>
      <c r="F35" s="1" t="s">
        <v>22</v>
      </c>
      <c r="G35" s="1" t="s">
        <v>77</v>
      </c>
      <c r="H35" s="1" t="s">
        <v>167</v>
      </c>
      <c r="I35" s="1" t="b">
        <f aca="false">TRUE()</f>
        <v>1</v>
      </c>
      <c r="J35" s="1" t="b">
        <f aca="false">TRUE()</f>
        <v>1</v>
      </c>
    </row>
    <row r="36" customFormat="false" ht="15" hidden="false" customHeight="false" outlineLevel="0" collapsed="false">
      <c r="A36" s="1" t="s">
        <v>168</v>
      </c>
      <c r="B36" s="1" t="s">
        <v>169</v>
      </c>
      <c r="C36" s="1" t="s">
        <v>170</v>
      </c>
      <c r="D36" s="1" t="s">
        <v>15</v>
      </c>
      <c r="E36" s="1" t="s">
        <v>43</v>
      </c>
      <c r="F36" s="1" t="s">
        <v>43</v>
      </c>
      <c r="G36" s="1" t="s">
        <v>17</v>
      </c>
      <c r="H36" s="1" t="s">
        <v>171</v>
      </c>
      <c r="I36" s="1" t="b">
        <f aca="false">TRUE()</f>
        <v>1</v>
      </c>
      <c r="J36" s="1" t="b">
        <f aca="false">TRUE()</f>
        <v>1</v>
      </c>
    </row>
    <row r="37" customFormat="false" ht="15" hidden="false" customHeight="false" outlineLevel="0" collapsed="false">
      <c r="A37" s="1" t="s">
        <v>172</v>
      </c>
      <c r="B37" s="1" t="s">
        <v>173</v>
      </c>
      <c r="C37" s="1" t="s">
        <v>174</v>
      </c>
      <c r="D37" s="1" t="s">
        <v>15</v>
      </c>
      <c r="E37" s="1" t="s">
        <v>62</v>
      </c>
      <c r="F37" s="1" t="s">
        <v>62</v>
      </c>
      <c r="G37" s="1" t="s">
        <v>17</v>
      </c>
      <c r="H37" s="1" t="s">
        <v>175</v>
      </c>
      <c r="I37" s="1" t="b">
        <f aca="false">TRUE()</f>
        <v>1</v>
      </c>
      <c r="J37" s="1" t="b">
        <f aca="false">TRUE()</f>
        <v>1</v>
      </c>
    </row>
    <row r="38" customFormat="false" ht="15" hidden="false" customHeight="false" outlineLevel="0" collapsed="false">
      <c r="A38" s="1" t="s">
        <v>176</v>
      </c>
      <c r="B38" s="1" t="s">
        <v>177</v>
      </c>
      <c r="C38" s="1" t="s">
        <v>178</v>
      </c>
      <c r="D38" s="1" t="s">
        <v>15</v>
      </c>
      <c r="E38" s="1" t="s">
        <v>77</v>
      </c>
      <c r="F38" s="1" t="s">
        <v>77</v>
      </c>
      <c r="G38" s="1" t="s">
        <v>29</v>
      </c>
      <c r="H38" s="1" t="s">
        <v>179</v>
      </c>
      <c r="I38" s="1" t="b">
        <f aca="false">TRUE()</f>
        <v>1</v>
      </c>
      <c r="J38" s="1" t="b">
        <f aca="false">TRUE()</f>
        <v>1</v>
      </c>
    </row>
    <row r="39" customFormat="false" ht="15" hidden="false" customHeight="false" outlineLevel="0" collapsed="false">
      <c r="A39" s="1" t="s">
        <v>180</v>
      </c>
      <c r="B39" s="1" t="s">
        <v>181</v>
      </c>
      <c r="C39" s="1" t="s">
        <v>182</v>
      </c>
      <c r="D39" s="1" t="s">
        <v>15</v>
      </c>
      <c r="E39" s="1" t="s">
        <v>43</v>
      </c>
      <c r="F39" s="1" t="s">
        <v>43</v>
      </c>
      <c r="G39" s="1" t="s">
        <v>29</v>
      </c>
      <c r="H39" s="1" t="s">
        <v>183</v>
      </c>
      <c r="I39" s="1" t="b">
        <f aca="false">TRUE()</f>
        <v>1</v>
      </c>
      <c r="J39" s="1" t="b">
        <f aca="false">TRUE()</f>
        <v>1</v>
      </c>
    </row>
    <row r="40" customFormat="false" ht="15" hidden="false" customHeight="false" outlineLevel="0" collapsed="false">
      <c r="A40" s="1" t="s">
        <v>184</v>
      </c>
      <c r="B40" s="1" t="s">
        <v>185</v>
      </c>
      <c r="C40" s="1" t="s">
        <v>186</v>
      </c>
      <c r="D40" s="1" t="s">
        <v>15</v>
      </c>
      <c r="E40" s="1" t="s">
        <v>22</v>
      </c>
      <c r="F40" s="1" t="s">
        <v>22</v>
      </c>
      <c r="G40" s="1" t="s">
        <v>17</v>
      </c>
      <c r="H40" s="1" t="s">
        <v>187</v>
      </c>
      <c r="I40" s="1" t="b">
        <f aca="false">TRUE()</f>
        <v>1</v>
      </c>
      <c r="J40" s="1" t="b">
        <f aca="false">TRUE()</f>
        <v>1</v>
      </c>
    </row>
    <row r="41" customFormat="false" ht="15" hidden="false" customHeight="false" outlineLevel="0" collapsed="false">
      <c r="A41" s="1" t="s">
        <v>188</v>
      </c>
      <c r="B41" s="1" t="s">
        <v>189</v>
      </c>
      <c r="C41" s="1" t="s">
        <v>190</v>
      </c>
      <c r="D41" s="1" t="s">
        <v>15</v>
      </c>
      <c r="E41" s="1" t="s">
        <v>34</v>
      </c>
      <c r="F41" s="1" t="s">
        <v>34</v>
      </c>
      <c r="G41" s="1" t="s">
        <v>29</v>
      </c>
      <c r="H41" s="1" t="s">
        <v>191</v>
      </c>
      <c r="I41" s="1" t="b">
        <f aca="false">TRUE()</f>
        <v>1</v>
      </c>
      <c r="J41" s="1" t="b">
        <f aca="false">TRUE()</f>
        <v>1</v>
      </c>
    </row>
    <row r="42" customFormat="false" ht="15" hidden="false" customHeight="false" outlineLevel="0" collapsed="false">
      <c r="A42" s="1" t="s">
        <v>192</v>
      </c>
      <c r="B42" s="1" t="s">
        <v>193</v>
      </c>
      <c r="C42" s="1" t="s">
        <v>194</v>
      </c>
      <c r="D42" s="1" t="s">
        <v>15</v>
      </c>
      <c r="E42" s="1" t="s">
        <v>62</v>
      </c>
      <c r="F42" s="1" t="s">
        <v>62</v>
      </c>
      <c r="G42" s="1" t="s">
        <v>17</v>
      </c>
      <c r="H42" s="1" t="s">
        <v>195</v>
      </c>
      <c r="I42" s="1" t="b">
        <f aca="false">TRUE()</f>
        <v>1</v>
      </c>
      <c r="J42" s="1" t="b">
        <f aca="false">TRUE()</f>
        <v>1</v>
      </c>
    </row>
    <row r="43" customFormat="false" ht="15" hidden="false" customHeight="false" outlineLevel="0" collapsed="false">
      <c r="A43" s="1" t="s">
        <v>196</v>
      </c>
      <c r="B43" s="1" t="s">
        <v>197</v>
      </c>
      <c r="C43" s="1" t="s">
        <v>198</v>
      </c>
      <c r="D43" s="1" t="s">
        <v>15</v>
      </c>
      <c r="E43" s="1" t="s">
        <v>29</v>
      </c>
      <c r="F43" s="1" t="s">
        <v>29</v>
      </c>
      <c r="G43" s="1" t="s">
        <v>17</v>
      </c>
      <c r="H43" s="1" t="s">
        <v>199</v>
      </c>
      <c r="I43" s="1" t="b">
        <f aca="false">TRUE()</f>
        <v>1</v>
      </c>
      <c r="J43" s="1" t="b">
        <f aca="false">TRUE()</f>
        <v>1</v>
      </c>
    </row>
    <row r="44" customFormat="false" ht="15" hidden="false" customHeight="false" outlineLevel="0" collapsed="false">
      <c r="A44" s="1" t="s">
        <v>200</v>
      </c>
      <c r="B44" s="1" t="s">
        <v>201</v>
      </c>
      <c r="C44" s="1" t="s">
        <v>202</v>
      </c>
      <c r="D44" s="1" t="s">
        <v>15</v>
      </c>
      <c r="E44" s="1" t="s">
        <v>22</v>
      </c>
      <c r="F44" s="1" t="s">
        <v>22</v>
      </c>
      <c r="G44" s="1" t="s">
        <v>17</v>
      </c>
      <c r="H44" s="1" t="s">
        <v>203</v>
      </c>
      <c r="I44" s="1" t="b">
        <f aca="false">TRUE()</f>
        <v>1</v>
      </c>
      <c r="J44" s="1" t="b">
        <f aca="false">TRUE()</f>
        <v>1</v>
      </c>
    </row>
    <row r="45" customFormat="false" ht="15" hidden="false" customHeight="false" outlineLevel="0" collapsed="false">
      <c r="A45" s="1" t="s">
        <v>204</v>
      </c>
      <c r="B45" s="1" t="s">
        <v>205</v>
      </c>
      <c r="C45" s="1" t="s">
        <v>206</v>
      </c>
      <c r="D45" s="1" t="s">
        <v>15</v>
      </c>
      <c r="E45" s="1" t="s">
        <v>22</v>
      </c>
      <c r="F45" s="1" t="s">
        <v>22</v>
      </c>
      <c r="G45" s="1" t="s">
        <v>17</v>
      </c>
      <c r="H45" s="1" t="s">
        <v>207</v>
      </c>
      <c r="I45" s="1" t="b">
        <f aca="false">TRUE()</f>
        <v>1</v>
      </c>
      <c r="J45" s="1" t="b">
        <f aca="false">TRUE()</f>
        <v>1</v>
      </c>
    </row>
    <row r="46" customFormat="false" ht="15" hidden="false" customHeight="false" outlineLevel="0" collapsed="false">
      <c r="A46" s="1" t="s">
        <v>208</v>
      </c>
      <c r="B46" s="1" t="s">
        <v>209</v>
      </c>
      <c r="C46" s="1" t="s">
        <v>210</v>
      </c>
      <c r="D46" s="1" t="s">
        <v>15</v>
      </c>
      <c r="E46" s="1" t="s">
        <v>16</v>
      </c>
      <c r="F46" s="1" t="s">
        <v>17</v>
      </c>
      <c r="G46" s="1" t="s">
        <v>16</v>
      </c>
      <c r="H46" s="1" t="s">
        <v>211</v>
      </c>
      <c r="I46" s="2" t="b">
        <f aca="false">FALSE()</f>
        <v>0</v>
      </c>
      <c r="J46" s="1" t="b">
        <f aca="false">TRUE()</f>
        <v>1</v>
      </c>
      <c r="L46" s="1" t="s">
        <v>17</v>
      </c>
      <c r="M46" s="1" t="s">
        <v>212</v>
      </c>
    </row>
    <row r="47" customFormat="false" ht="15" hidden="false" customHeight="false" outlineLevel="0" collapsed="false">
      <c r="A47" s="1" t="s">
        <v>213</v>
      </c>
      <c r="B47" s="1" t="s">
        <v>214</v>
      </c>
      <c r="C47" s="1" t="s">
        <v>215</v>
      </c>
      <c r="D47" s="1" t="s">
        <v>15</v>
      </c>
      <c r="E47" s="1" t="s">
        <v>16</v>
      </c>
      <c r="F47" s="1" t="s">
        <v>16</v>
      </c>
      <c r="G47" s="1" t="s">
        <v>29</v>
      </c>
      <c r="H47" s="1" t="s">
        <v>216</v>
      </c>
      <c r="I47" s="1" t="b">
        <f aca="false">TRUE()</f>
        <v>1</v>
      </c>
      <c r="J47" s="1" t="b">
        <f aca="false">TRUE()</f>
        <v>1</v>
      </c>
    </row>
    <row r="48" customFormat="false" ht="15" hidden="false" customHeight="false" outlineLevel="0" collapsed="false">
      <c r="A48" s="1" t="s">
        <v>217</v>
      </c>
      <c r="B48" s="1" t="s">
        <v>218</v>
      </c>
      <c r="C48" s="1" t="s">
        <v>219</v>
      </c>
      <c r="D48" s="1" t="s">
        <v>15</v>
      </c>
      <c r="E48" s="1" t="s">
        <v>67</v>
      </c>
      <c r="F48" s="1" t="s">
        <v>67</v>
      </c>
      <c r="G48" s="1" t="s">
        <v>77</v>
      </c>
      <c r="H48" s="1" t="s">
        <v>220</v>
      </c>
      <c r="I48" s="1" t="b">
        <f aca="false">TRUE()</f>
        <v>1</v>
      </c>
      <c r="J48" s="1" t="b">
        <f aca="false">TRUE()</f>
        <v>1</v>
      </c>
    </row>
    <row r="49" customFormat="false" ht="15" hidden="false" customHeight="false" outlineLevel="0" collapsed="false">
      <c r="A49" s="1" t="s">
        <v>221</v>
      </c>
      <c r="B49" s="1" t="s">
        <v>222</v>
      </c>
      <c r="C49" s="1" t="s">
        <v>223</v>
      </c>
      <c r="D49" s="1" t="s">
        <v>15</v>
      </c>
      <c r="E49" s="1" t="s">
        <v>67</v>
      </c>
      <c r="F49" s="1" t="s">
        <v>17</v>
      </c>
      <c r="G49" s="1" t="s">
        <v>22</v>
      </c>
      <c r="H49" s="1" t="s">
        <v>224</v>
      </c>
      <c r="I49" s="2" t="b">
        <f aca="false">FALSE()</f>
        <v>0</v>
      </c>
      <c r="J49" s="1" t="b">
        <f aca="false">FALSE()</f>
        <v>0</v>
      </c>
      <c r="L49" s="1" t="s">
        <v>17</v>
      </c>
      <c r="M49" s="1" t="s">
        <v>225</v>
      </c>
    </row>
    <row r="50" customFormat="false" ht="15" hidden="false" customHeight="false" outlineLevel="0" collapsed="false">
      <c r="A50" s="1" t="s">
        <v>226</v>
      </c>
      <c r="B50" s="1" t="s">
        <v>227</v>
      </c>
      <c r="C50" s="1" t="s">
        <v>228</v>
      </c>
      <c r="D50" s="1" t="s">
        <v>15</v>
      </c>
      <c r="E50" s="1" t="s">
        <v>17</v>
      </c>
      <c r="F50" s="1" t="s">
        <v>17</v>
      </c>
      <c r="G50" s="1" t="s">
        <v>29</v>
      </c>
      <c r="H50" s="1" t="s">
        <v>229</v>
      </c>
      <c r="I50" s="1" t="b">
        <f aca="false">TRUE()</f>
        <v>1</v>
      </c>
      <c r="J50" s="1" t="b">
        <f aca="false">TRUE()</f>
        <v>1</v>
      </c>
    </row>
    <row r="51" customFormat="false" ht="15" hidden="false" customHeight="false" outlineLevel="0" collapsed="false">
      <c r="A51" s="1" t="s">
        <v>230</v>
      </c>
      <c r="B51" s="1" t="s">
        <v>231</v>
      </c>
      <c r="C51" s="1" t="s">
        <v>232</v>
      </c>
      <c r="D51" s="1" t="s">
        <v>15</v>
      </c>
      <c r="E51" s="1" t="s">
        <v>34</v>
      </c>
      <c r="F51" s="1" t="s">
        <v>34</v>
      </c>
      <c r="G51" s="1" t="s">
        <v>17</v>
      </c>
      <c r="H51" s="1" t="s">
        <v>233</v>
      </c>
      <c r="I51" s="1" t="b">
        <f aca="false">TRUE()</f>
        <v>1</v>
      </c>
      <c r="J51" s="1" t="b">
        <f aca="false">TRUE()</f>
        <v>1</v>
      </c>
    </row>
    <row r="52" customFormat="false" ht="15" hidden="false" customHeight="false" outlineLevel="0" collapsed="false">
      <c r="A52" s="1" t="s">
        <v>234</v>
      </c>
      <c r="B52" s="1" t="s">
        <v>235</v>
      </c>
      <c r="C52" s="1" t="s">
        <v>236</v>
      </c>
      <c r="D52" s="1" t="s">
        <v>15</v>
      </c>
      <c r="E52" s="1" t="s">
        <v>77</v>
      </c>
      <c r="F52" s="1" t="s">
        <v>77</v>
      </c>
      <c r="G52" s="1" t="s">
        <v>67</v>
      </c>
      <c r="H52" s="1" t="s">
        <v>237</v>
      </c>
      <c r="I52" s="1" t="b">
        <f aca="false">TRUE()</f>
        <v>1</v>
      </c>
      <c r="J52" s="1" t="b">
        <f aca="false">TRUE()</f>
        <v>1</v>
      </c>
    </row>
    <row r="53" customFormat="false" ht="15" hidden="false" customHeight="false" outlineLevel="0" collapsed="false">
      <c r="A53" s="1" t="s">
        <v>238</v>
      </c>
      <c r="B53" s="1" t="s">
        <v>239</v>
      </c>
      <c r="C53" s="1" t="s">
        <v>240</v>
      </c>
      <c r="D53" s="1" t="s">
        <v>15</v>
      </c>
      <c r="E53" s="1" t="s">
        <v>67</v>
      </c>
      <c r="F53" s="1" t="s">
        <v>67</v>
      </c>
      <c r="G53" s="1" t="s">
        <v>77</v>
      </c>
      <c r="H53" s="1" t="s">
        <v>241</v>
      </c>
      <c r="I53" s="1" t="b">
        <f aca="false">TRUE()</f>
        <v>1</v>
      </c>
      <c r="J53" s="1" t="b">
        <f aca="false">TRUE()</f>
        <v>1</v>
      </c>
    </row>
    <row r="54" customFormat="false" ht="15" hidden="false" customHeight="false" outlineLevel="0" collapsed="false">
      <c r="A54" s="1" t="s">
        <v>242</v>
      </c>
      <c r="B54" s="1" t="s">
        <v>243</v>
      </c>
      <c r="C54" s="1" t="s">
        <v>244</v>
      </c>
      <c r="D54" s="1" t="s">
        <v>15</v>
      </c>
      <c r="E54" s="1" t="s">
        <v>43</v>
      </c>
      <c r="F54" s="1" t="s">
        <v>43</v>
      </c>
      <c r="G54" s="1" t="s">
        <v>17</v>
      </c>
      <c r="H54" s="1" t="s">
        <v>245</v>
      </c>
      <c r="I54" s="1" t="b">
        <f aca="false">TRUE()</f>
        <v>1</v>
      </c>
      <c r="J54" s="1" t="b">
        <f aca="false">TRUE()</f>
        <v>1</v>
      </c>
    </row>
    <row r="55" customFormat="false" ht="15" hidden="false" customHeight="false" outlineLevel="0" collapsed="false">
      <c r="A55" s="1" t="s">
        <v>246</v>
      </c>
      <c r="B55" s="1" t="s">
        <v>247</v>
      </c>
      <c r="C55" s="1" t="s">
        <v>248</v>
      </c>
      <c r="D55" s="1" t="s">
        <v>15</v>
      </c>
      <c r="E55" s="1" t="s">
        <v>17</v>
      </c>
      <c r="F55" s="1" t="s">
        <v>17</v>
      </c>
      <c r="G55" s="1" t="s">
        <v>22</v>
      </c>
      <c r="H55" s="1" t="s">
        <v>249</v>
      </c>
      <c r="I55" s="1" t="b">
        <f aca="false">TRUE()</f>
        <v>1</v>
      </c>
      <c r="J55" s="1" t="b">
        <f aca="false">TRUE()</f>
        <v>1</v>
      </c>
    </row>
    <row r="56" customFormat="false" ht="45.1" hidden="false" customHeight="false" outlineLevel="0" collapsed="false">
      <c r="A56" s="1" t="s">
        <v>250</v>
      </c>
      <c r="B56" s="1" t="s">
        <v>251</v>
      </c>
      <c r="C56" s="4" t="s">
        <v>252</v>
      </c>
      <c r="D56" s="1" t="s">
        <v>15</v>
      </c>
      <c r="E56" s="1" t="s">
        <v>62</v>
      </c>
      <c r="F56" s="1" t="s">
        <v>62</v>
      </c>
      <c r="G56" s="1" t="s">
        <v>17</v>
      </c>
      <c r="H56" s="1" t="s">
        <v>253</v>
      </c>
      <c r="I56" s="1" t="b">
        <f aca="false">TRUE()</f>
        <v>1</v>
      </c>
      <c r="J56" s="1" t="b">
        <f aca="false">TRUE()</f>
        <v>1</v>
      </c>
    </row>
    <row r="57" customFormat="false" ht="15" hidden="false" customHeight="false" outlineLevel="0" collapsed="false">
      <c r="A57" s="1" t="s">
        <v>254</v>
      </c>
      <c r="B57" s="1" t="s">
        <v>255</v>
      </c>
      <c r="C57" s="1" t="s">
        <v>256</v>
      </c>
      <c r="D57" s="1" t="s">
        <v>15</v>
      </c>
      <c r="E57" s="1" t="s">
        <v>16</v>
      </c>
      <c r="F57" s="1" t="s">
        <v>16</v>
      </c>
      <c r="G57" s="1" t="s">
        <v>29</v>
      </c>
      <c r="H57" s="1" t="s">
        <v>257</v>
      </c>
      <c r="I57" s="1" t="b">
        <f aca="false">TRUE()</f>
        <v>1</v>
      </c>
      <c r="J57" s="1" t="b">
        <f aca="false">TRUE()</f>
        <v>1</v>
      </c>
    </row>
    <row r="58" customFormat="false" ht="15" hidden="false" customHeight="false" outlineLevel="0" collapsed="false">
      <c r="A58" s="1" t="s">
        <v>258</v>
      </c>
      <c r="B58" s="1" t="s">
        <v>259</v>
      </c>
      <c r="C58" s="1" t="s">
        <v>260</v>
      </c>
      <c r="D58" s="1" t="s">
        <v>15</v>
      </c>
      <c r="E58" s="1" t="s">
        <v>77</v>
      </c>
      <c r="F58" s="1" t="s">
        <v>77</v>
      </c>
      <c r="G58" s="1" t="s">
        <v>29</v>
      </c>
      <c r="H58" s="1" t="s">
        <v>261</v>
      </c>
      <c r="I58" s="1" t="b">
        <f aca="false">TRUE()</f>
        <v>1</v>
      </c>
      <c r="J58" s="1" t="b">
        <f aca="false">TRUE()</f>
        <v>1</v>
      </c>
    </row>
    <row r="59" customFormat="false" ht="15" hidden="false" customHeight="false" outlineLevel="0" collapsed="false">
      <c r="A59" s="1" t="s">
        <v>262</v>
      </c>
      <c r="B59" s="1" t="s">
        <v>263</v>
      </c>
      <c r="C59" s="1" t="s">
        <v>264</v>
      </c>
      <c r="D59" s="1" t="s">
        <v>15</v>
      </c>
      <c r="E59" s="1" t="s">
        <v>16</v>
      </c>
      <c r="F59" s="1" t="s">
        <v>16</v>
      </c>
      <c r="G59" s="1" t="s">
        <v>17</v>
      </c>
      <c r="H59" s="1" t="s">
        <v>265</v>
      </c>
      <c r="I59" s="1" t="b">
        <f aca="false">TRUE()</f>
        <v>1</v>
      </c>
      <c r="J59" s="1" t="b">
        <f aca="false">TRUE()</f>
        <v>1</v>
      </c>
    </row>
    <row r="60" customFormat="false" ht="15" hidden="false" customHeight="false" outlineLevel="0" collapsed="false">
      <c r="A60" s="1" t="s">
        <v>266</v>
      </c>
      <c r="B60" s="1" t="s">
        <v>267</v>
      </c>
      <c r="C60" s="1" t="s">
        <v>268</v>
      </c>
      <c r="D60" s="1" t="s">
        <v>15</v>
      </c>
      <c r="E60" s="1" t="s">
        <v>77</v>
      </c>
      <c r="F60" s="1" t="s">
        <v>77</v>
      </c>
      <c r="G60" s="1" t="s">
        <v>28</v>
      </c>
      <c r="H60" s="1" t="s">
        <v>269</v>
      </c>
      <c r="I60" s="1" t="b">
        <f aca="false">TRUE()</f>
        <v>1</v>
      </c>
      <c r="J60" s="1" t="b">
        <f aca="false">TRUE()</f>
        <v>1</v>
      </c>
    </row>
    <row r="61" customFormat="false" ht="15" hidden="false" customHeight="false" outlineLevel="0" collapsed="false">
      <c r="A61" s="1" t="s">
        <v>270</v>
      </c>
      <c r="B61" s="1" t="s">
        <v>271</v>
      </c>
      <c r="C61" s="1" t="s">
        <v>272</v>
      </c>
      <c r="D61" s="1" t="s">
        <v>15</v>
      </c>
      <c r="E61" s="1" t="s">
        <v>77</v>
      </c>
      <c r="F61" s="1" t="s">
        <v>77</v>
      </c>
      <c r="G61" s="1" t="s">
        <v>67</v>
      </c>
      <c r="H61" s="1" t="s">
        <v>273</v>
      </c>
      <c r="I61" s="1" t="b">
        <f aca="false">TRUE()</f>
        <v>1</v>
      </c>
      <c r="J61" s="1" t="b">
        <f aca="false">TRUE()</f>
        <v>1</v>
      </c>
    </row>
    <row r="62" customFormat="false" ht="15" hidden="false" customHeight="false" outlineLevel="0" collapsed="false">
      <c r="A62" s="1" t="s">
        <v>274</v>
      </c>
      <c r="B62" s="1" t="s">
        <v>275</v>
      </c>
      <c r="C62" s="1" t="s">
        <v>276</v>
      </c>
      <c r="D62" s="1" t="s">
        <v>15</v>
      </c>
      <c r="E62" s="1" t="s">
        <v>29</v>
      </c>
      <c r="F62" s="1" t="s">
        <v>29</v>
      </c>
      <c r="G62" s="1" t="s">
        <v>22</v>
      </c>
      <c r="H62" s="1" t="s">
        <v>277</v>
      </c>
      <c r="I62" s="1" t="b">
        <f aca="false">TRUE()</f>
        <v>1</v>
      </c>
      <c r="J62" s="1" t="b">
        <f aca="false">TRUE()</f>
        <v>1</v>
      </c>
    </row>
    <row r="63" customFormat="false" ht="15" hidden="false" customHeight="false" outlineLevel="0" collapsed="false">
      <c r="A63" s="1" t="s">
        <v>278</v>
      </c>
      <c r="B63" s="1" t="s">
        <v>279</v>
      </c>
      <c r="C63" s="1" t="s">
        <v>280</v>
      </c>
      <c r="D63" s="1" t="s">
        <v>15</v>
      </c>
      <c r="E63" s="1" t="s">
        <v>77</v>
      </c>
      <c r="F63" s="1" t="s">
        <v>77</v>
      </c>
      <c r="G63" s="1" t="s">
        <v>62</v>
      </c>
      <c r="H63" s="1" t="s">
        <v>281</v>
      </c>
      <c r="I63" s="1" t="b">
        <f aca="false">TRUE()</f>
        <v>1</v>
      </c>
      <c r="J63" s="1" t="b">
        <f aca="false">TRUE()</f>
        <v>1</v>
      </c>
    </row>
    <row r="64" customFormat="false" ht="15" hidden="false" customHeight="false" outlineLevel="0" collapsed="false">
      <c r="A64" s="1" t="s">
        <v>282</v>
      </c>
      <c r="B64" s="1" t="s">
        <v>283</v>
      </c>
      <c r="C64" s="1" t="s">
        <v>284</v>
      </c>
      <c r="D64" s="1" t="s">
        <v>15</v>
      </c>
      <c r="E64" s="1" t="s">
        <v>43</v>
      </c>
      <c r="F64" s="1" t="s">
        <v>43</v>
      </c>
      <c r="G64" s="1" t="s">
        <v>17</v>
      </c>
      <c r="H64" s="1" t="s">
        <v>285</v>
      </c>
      <c r="I64" s="1" t="b">
        <f aca="false">TRUE()</f>
        <v>1</v>
      </c>
      <c r="J64" s="1" t="b">
        <f aca="false">TRUE()</f>
        <v>1</v>
      </c>
    </row>
    <row r="65" customFormat="false" ht="15" hidden="false" customHeight="false" outlineLevel="0" collapsed="false">
      <c r="A65" s="1" t="s">
        <v>286</v>
      </c>
      <c r="B65" s="1" t="s">
        <v>287</v>
      </c>
      <c r="C65" s="1" t="s">
        <v>288</v>
      </c>
      <c r="D65" s="1" t="s">
        <v>15</v>
      </c>
      <c r="E65" s="1" t="s">
        <v>43</v>
      </c>
      <c r="F65" s="1" t="s">
        <v>43</v>
      </c>
      <c r="G65" s="1" t="s">
        <v>17</v>
      </c>
      <c r="H65" s="1" t="s">
        <v>289</v>
      </c>
      <c r="I65" s="1" t="b">
        <f aca="false">TRUE()</f>
        <v>1</v>
      </c>
      <c r="J65" s="1" t="b">
        <f aca="false">TRUE()</f>
        <v>1</v>
      </c>
    </row>
    <row r="66" customFormat="false" ht="15" hidden="false" customHeight="false" outlineLevel="0" collapsed="false">
      <c r="A66" s="1" t="s">
        <v>290</v>
      </c>
      <c r="B66" s="1" t="s">
        <v>291</v>
      </c>
      <c r="C66" s="1" t="s">
        <v>292</v>
      </c>
      <c r="D66" s="1" t="s">
        <v>15</v>
      </c>
      <c r="E66" s="1" t="s">
        <v>34</v>
      </c>
      <c r="F66" s="1" t="s">
        <v>16</v>
      </c>
      <c r="G66" s="1" t="s">
        <v>17</v>
      </c>
      <c r="H66" s="1" t="s">
        <v>293</v>
      </c>
      <c r="I66" s="3" t="b">
        <f aca="false">FALSE()</f>
        <v>0</v>
      </c>
      <c r="J66" s="1" t="b">
        <f aca="false">FALSE()</f>
        <v>0</v>
      </c>
      <c r="L66" s="1" t="s">
        <v>17</v>
      </c>
      <c r="M66" s="1" t="s">
        <v>294</v>
      </c>
    </row>
    <row r="67" customFormat="false" ht="15" hidden="false" customHeight="false" outlineLevel="0" collapsed="false">
      <c r="A67" s="1" t="s">
        <v>295</v>
      </c>
      <c r="B67" s="1" t="s">
        <v>296</v>
      </c>
      <c r="C67" s="1" t="s">
        <v>297</v>
      </c>
      <c r="D67" s="1" t="s">
        <v>15</v>
      </c>
      <c r="E67" s="1" t="s">
        <v>43</v>
      </c>
      <c r="F67" s="1" t="s">
        <v>43</v>
      </c>
      <c r="G67" s="1" t="s">
        <v>17</v>
      </c>
      <c r="H67" s="1" t="s">
        <v>298</v>
      </c>
      <c r="I67" s="1" t="b">
        <f aca="false">TRUE()</f>
        <v>1</v>
      </c>
      <c r="J67" s="1" t="b">
        <f aca="false">TRUE()</f>
        <v>1</v>
      </c>
    </row>
    <row r="68" customFormat="false" ht="15" hidden="false" customHeight="false" outlineLevel="0" collapsed="false">
      <c r="A68" s="1" t="s">
        <v>299</v>
      </c>
      <c r="B68" s="1" t="s">
        <v>300</v>
      </c>
      <c r="C68" s="1" t="s">
        <v>301</v>
      </c>
      <c r="D68" s="1" t="s">
        <v>15</v>
      </c>
      <c r="E68" s="1" t="s">
        <v>22</v>
      </c>
      <c r="F68" s="1" t="s">
        <v>22</v>
      </c>
      <c r="G68" s="1" t="s">
        <v>17</v>
      </c>
      <c r="H68" s="1" t="s">
        <v>302</v>
      </c>
      <c r="I68" s="1" t="b">
        <f aca="false">TRUE()</f>
        <v>1</v>
      </c>
      <c r="J68" s="1" t="b">
        <f aca="false">TRUE()</f>
        <v>1</v>
      </c>
    </row>
    <row r="69" customFormat="false" ht="15" hidden="false" customHeight="false" outlineLevel="0" collapsed="false">
      <c r="A69" s="1" t="s">
        <v>303</v>
      </c>
      <c r="B69" s="1" t="s">
        <v>304</v>
      </c>
      <c r="C69" s="1" t="s">
        <v>305</v>
      </c>
      <c r="D69" s="1" t="s">
        <v>15</v>
      </c>
      <c r="E69" s="1" t="s">
        <v>34</v>
      </c>
      <c r="F69" s="1" t="s">
        <v>29</v>
      </c>
      <c r="G69" s="1" t="s">
        <v>17</v>
      </c>
      <c r="H69" s="1" t="s">
        <v>306</v>
      </c>
      <c r="I69" s="2" t="b">
        <f aca="false">FALSE()</f>
        <v>0</v>
      </c>
      <c r="J69" s="1" t="b">
        <f aca="false">FALSE()</f>
        <v>0</v>
      </c>
      <c r="L69" s="1" t="s">
        <v>29</v>
      </c>
      <c r="M69" s="1" t="s">
        <v>307</v>
      </c>
    </row>
    <row r="70" customFormat="false" ht="15" hidden="false" customHeight="false" outlineLevel="0" collapsed="false">
      <c r="A70" s="1" t="s">
        <v>308</v>
      </c>
      <c r="B70" s="1" t="s">
        <v>309</v>
      </c>
      <c r="C70" s="1" t="s">
        <v>310</v>
      </c>
      <c r="D70" s="1" t="s">
        <v>15</v>
      </c>
      <c r="E70" s="1" t="s">
        <v>22</v>
      </c>
      <c r="F70" s="1" t="s">
        <v>22</v>
      </c>
      <c r="G70" s="1" t="s">
        <v>17</v>
      </c>
      <c r="H70" s="1" t="s">
        <v>311</v>
      </c>
      <c r="I70" s="1" t="b">
        <f aca="false">TRUE()</f>
        <v>1</v>
      </c>
      <c r="J70" s="1" t="b">
        <f aca="false">TRUE()</f>
        <v>1</v>
      </c>
    </row>
    <row r="71" customFormat="false" ht="15" hidden="false" customHeight="false" outlineLevel="0" collapsed="false">
      <c r="A71" s="1" t="s">
        <v>312</v>
      </c>
      <c r="B71" s="1" t="s">
        <v>313</v>
      </c>
      <c r="C71" s="1" t="s">
        <v>314</v>
      </c>
      <c r="D71" s="1" t="s">
        <v>15</v>
      </c>
      <c r="E71" s="1" t="s">
        <v>34</v>
      </c>
      <c r="F71" s="1" t="s">
        <v>34</v>
      </c>
      <c r="G71" s="1" t="s">
        <v>22</v>
      </c>
      <c r="H71" s="1" t="s">
        <v>315</v>
      </c>
      <c r="I71" s="1" t="b">
        <f aca="false">TRUE()</f>
        <v>1</v>
      </c>
      <c r="J71" s="1" t="b">
        <f aca="false">TRUE()</f>
        <v>1</v>
      </c>
    </row>
    <row r="72" customFormat="false" ht="15" hidden="false" customHeight="false" outlineLevel="0" collapsed="false">
      <c r="A72" s="1" t="s">
        <v>316</v>
      </c>
      <c r="B72" s="1" t="s">
        <v>317</v>
      </c>
      <c r="C72" s="1" t="s">
        <v>318</v>
      </c>
      <c r="D72" s="1" t="s">
        <v>15</v>
      </c>
      <c r="E72" s="1" t="s">
        <v>28</v>
      </c>
      <c r="F72" s="1" t="s">
        <v>28</v>
      </c>
      <c r="G72" s="1" t="s">
        <v>34</v>
      </c>
      <c r="H72" s="1" t="s">
        <v>319</v>
      </c>
      <c r="I72" s="1" t="b">
        <f aca="false">TRUE()</f>
        <v>1</v>
      </c>
      <c r="J72" s="1" t="b">
        <f aca="false">TRUE()</f>
        <v>1</v>
      </c>
    </row>
    <row r="73" customFormat="false" ht="15" hidden="false" customHeight="false" outlineLevel="0" collapsed="false">
      <c r="A73" s="1" t="s">
        <v>320</v>
      </c>
      <c r="B73" s="1" t="s">
        <v>321</v>
      </c>
      <c r="C73" s="1" t="s">
        <v>322</v>
      </c>
      <c r="D73" s="1" t="s">
        <v>15</v>
      </c>
      <c r="E73" s="1" t="s">
        <v>17</v>
      </c>
      <c r="F73" s="1" t="s">
        <v>17</v>
      </c>
      <c r="G73" s="1" t="s">
        <v>62</v>
      </c>
      <c r="H73" s="1" t="s">
        <v>323</v>
      </c>
      <c r="I73" s="1" t="b">
        <f aca="false">TRUE()</f>
        <v>1</v>
      </c>
      <c r="J73" s="1" t="b">
        <f aca="false">TRUE()</f>
        <v>1</v>
      </c>
    </row>
    <row r="74" customFormat="false" ht="15" hidden="false" customHeight="false" outlineLevel="0" collapsed="false">
      <c r="A74" s="1" t="s">
        <v>324</v>
      </c>
      <c r="B74" s="1" t="s">
        <v>325</v>
      </c>
      <c r="C74" s="1" t="s">
        <v>326</v>
      </c>
      <c r="D74" s="1" t="s">
        <v>15</v>
      </c>
      <c r="E74" s="1" t="s">
        <v>16</v>
      </c>
      <c r="F74" s="1" t="s">
        <v>16</v>
      </c>
      <c r="G74" s="1" t="s">
        <v>29</v>
      </c>
      <c r="H74" s="1" t="s">
        <v>327</v>
      </c>
      <c r="I74" s="1" t="b">
        <f aca="false">TRUE()</f>
        <v>1</v>
      </c>
      <c r="J74" s="1" t="b">
        <f aca="false">TRUE()</f>
        <v>1</v>
      </c>
    </row>
    <row r="75" customFormat="false" ht="15" hidden="false" customHeight="false" outlineLevel="0" collapsed="false">
      <c r="A75" s="1" t="s">
        <v>328</v>
      </c>
      <c r="B75" s="1" t="s">
        <v>329</v>
      </c>
      <c r="C75" s="1" t="s">
        <v>330</v>
      </c>
      <c r="D75" s="1" t="s">
        <v>15</v>
      </c>
      <c r="E75" s="1" t="s">
        <v>29</v>
      </c>
      <c r="F75" s="1" t="s">
        <v>29</v>
      </c>
      <c r="G75" s="1" t="s">
        <v>17</v>
      </c>
      <c r="H75" s="1" t="s">
        <v>331</v>
      </c>
      <c r="I75" s="1" t="b">
        <f aca="false">TRUE()</f>
        <v>1</v>
      </c>
      <c r="J75" s="1" t="b">
        <f aca="false">TRUE()</f>
        <v>1</v>
      </c>
    </row>
    <row r="76" customFormat="false" ht="15" hidden="false" customHeight="false" outlineLevel="0" collapsed="false">
      <c r="A76" s="1" t="s">
        <v>332</v>
      </c>
      <c r="B76" s="1" t="s">
        <v>333</v>
      </c>
      <c r="C76" s="1" t="s">
        <v>334</v>
      </c>
      <c r="D76" s="1" t="s">
        <v>15</v>
      </c>
      <c r="E76" s="1" t="s">
        <v>17</v>
      </c>
      <c r="F76" s="1" t="s">
        <v>17</v>
      </c>
      <c r="G76" s="1" t="s">
        <v>77</v>
      </c>
      <c r="H76" s="1" t="s">
        <v>335</v>
      </c>
      <c r="I76" s="1" t="b">
        <f aca="false">TRUE()</f>
        <v>1</v>
      </c>
      <c r="J76" s="1" t="b">
        <f aca="false">TRUE()</f>
        <v>1</v>
      </c>
    </row>
    <row r="77" customFormat="false" ht="15" hidden="false" customHeight="false" outlineLevel="0" collapsed="false">
      <c r="A77" s="1" t="s">
        <v>336</v>
      </c>
      <c r="B77" s="1" t="s">
        <v>337</v>
      </c>
      <c r="C77" s="1" t="s">
        <v>338</v>
      </c>
      <c r="D77" s="1" t="s">
        <v>15</v>
      </c>
      <c r="E77" s="1" t="s">
        <v>77</v>
      </c>
      <c r="F77" s="1" t="s">
        <v>28</v>
      </c>
      <c r="G77" s="1" t="s">
        <v>77</v>
      </c>
      <c r="H77" s="1" t="s">
        <v>339</v>
      </c>
      <c r="I77" s="3" t="b">
        <f aca="false">FALSE()</f>
        <v>0</v>
      </c>
      <c r="J77" s="1" t="b">
        <f aca="false">TRUE()</f>
        <v>1</v>
      </c>
      <c r="M77" s="1" t="s">
        <v>340</v>
      </c>
    </row>
    <row r="78" customFormat="false" ht="15" hidden="false" customHeight="false" outlineLevel="0" collapsed="false">
      <c r="A78" s="1" t="s">
        <v>341</v>
      </c>
      <c r="B78" s="1" t="s">
        <v>342</v>
      </c>
      <c r="C78" s="1" t="s">
        <v>343</v>
      </c>
      <c r="D78" s="1" t="s">
        <v>15</v>
      </c>
      <c r="E78" s="1" t="s">
        <v>28</v>
      </c>
      <c r="F78" s="1" t="s">
        <v>28</v>
      </c>
      <c r="G78" s="1" t="s">
        <v>29</v>
      </c>
      <c r="H78" s="1" t="s">
        <v>344</v>
      </c>
      <c r="I78" s="1" t="b">
        <f aca="false">TRUE()</f>
        <v>1</v>
      </c>
      <c r="J78" s="1" t="b">
        <f aca="false">TRUE()</f>
        <v>1</v>
      </c>
    </row>
    <row r="79" customFormat="false" ht="15" hidden="false" customHeight="false" outlineLevel="0" collapsed="false">
      <c r="A79" s="1" t="s">
        <v>345</v>
      </c>
      <c r="B79" s="1" t="s">
        <v>346</v>
      </c>
      <c r="C79" s="1" t="s">
        <v>347</v>
      </c>
      <c r="D79" s="1" t="s">
        <v>15</v>
      </c>
      <c r="E79" s="1" t="s">
        <v>17</v>
      </c>
      <c r="F79" s="1" t="s">
        <v>17</v>
      </c>
      <c r="G79" s="1" t="s">
        <v>43</v>
      </c>
      <c r="H79" s="1" t="s">
        <v>348</v>
      </c>
      <c r="I79" s="1" t="b">
        <f aca="false">TRUE()</f>
        <v>1</v>
      </c>
      <c r="J79" s="1" t="b">
        <f aca="false">TRUE()</f>
        <v>1</v>
      </c>
    </row>
    <row r="80" customFormat="false" ht="15" hidden="false" customHeight="false" outlineLevel="0" collapsed="false">
      <c r="A80" s="1" t="s">
        <v>349</v>
      </c>
      <c r="B80" s="1" t="s">
        <v>350</v>
      </c>
      <c r="C80" s="1" t="s">
        <v>351</v>
      </c>
      <c r="D80" s="1" t="s">
        <v>15</v>
      </c>
      <c r="E80" s="1" t="s">
        <v>17</v>
      </c>
      <c r="F80" s="1" t="s">
        <v>17</v>
      </c>
      <c r="G80" s="1" t="s">
        <v>29</v>
      </c>
      <c r="H80" s="1" t="s">
        <v>352</v>
      </c>
      <c r="I80" s="1" t="b">
        <f aca="false">TRUE()</f>
        <v>1</v>
      </c>
      <c r="J80" s="1" t="b">
        <f aca="false">TRUE()</f>
        <v>1</v>
      </c>
    </row>
    <row r="81" customFormat="false" ht="15" hidden="false" customHeight="false" outlineLevel="0" collapsed="false">
      <c r="A81" s="1" t="s">
        <v>353</v>
      </c>
      <c r="B81" s="1" t="s">
        <v>354</v>
      </c>
      <c r="C81" s="1" t="s">
        <v>355</v>
      </c>
      <c r="D81" s="1" t="s">
        <v>15</v>
      </c>
      <c r="E81" s="1" t="s">
        <v>28</v>
      </c>
      <c r="F81" s="1" t="s">
        <v>28</v>
      </c>
      <c r="G81" s="1" t="s">
        <v>67</v>
      </c>
      <c r="H81" s="1" t="s">
        <v>356</v>
      </c>
      <c r="I81" s="1" t="b">
        <f aca="false">TRUE()</f>
        <v>1</v>
      </c>
      <c r="J81" s="1" t="b">
        <f aca="false">TRUE()</f>
        <v>1</v>
      </c>
    </row>
    <row r="82" customFormat="false" ht="15" hidden="false" customHeight="false" outlineLevel="0" collapsed="false">
      <c r="A82" s="1" t="s">
        <v>357</v>
      </c>
      <c r="B82" s="1" t="s">
        <v>358</v>
      </c>
      <c r="C82" s="1" t="s">
        <v>359</v>
      </c>
      <c r="D82" s="1" t="s">
        <v>15</v>
      </c>
      <c r="E82" s="1" t="s">
        <v>17</v>
      </c>
      <c r="F82" s="1" t="s">
        <v>17</v>
      </c>
      <c r="G82" s="1" t="s">
        <v>29</v>
      </c>
      <c r="H82" s="1" t="s">
        <v>360</v>
      </c>
      <c r="I82" s="1" t="b">
        <f aca="false">TRUE()</f>
        <v>1</v>
      </c>
      <c r="J82" s="1" t="b">
        <f aca="false">TRUE()</f>
        <v>1</v>
      </c>
    </row>
    <row r="83" customFormat="false" ht="15" hidden="false" customHeight="false" outlineLevel="0" collapsed="false">
      <c r="A83" s="1" t="s">
        <v>361</v>
      </c>
      <c r="B83" s="5" t="s">
        <v>362</v>
      </c>
      <c r="C83" s="1" t="s">
        <v>363</v>
      </c>
      <c r="D83" s="1" t="s">
        <v>15</v>
      </c>
      <c r="E83" s="1" t="s">
        <v>29</v>
      </c>
      <c r="F83" s="1" t="s">
        <v>17</v>
      </c>
      <c r="G83" s="1" t="s">
        <v>29</v>
      </c>
      <c r="H83" s="1" t="s">
        <v>364</v>
      </c>
      <c r="I83" s="3" t="b">
        <f aca="false">FALSE()</f>
        <v>0</v>
      </c>
      <c r="J83" s="1" t="b">
        <f aca="false">TRUE()</f>
        <v>1</v>
      </c>
      <c r="M83" s="1" t="s">
        <v>365</v>
      </c>
    </row>
    <row r="84" customFormat="false" ht="15" hidden="false" customHeight="false" outlineLevel="0" collapsed="false">
      <c r="A84" s="1" t="s">
        <v>366</v>
      </c>
      <c r="B84" s="1" t="s">
        <v>367</v>
      </c>
      <c r="C84" s="1" t="s">
        <v>368</v>
      </c>
      <c r="D84" s="1" t="s">
        <v>15</v>
      </c>
      <c r="E84" s="1" t="s">
        <v>43</v>
      </c>
      <c r="F84" s="1" t="s">
        <v>43</v>
      </c>
      <c r="G84" s="1" t="s">
        <v>17</v>
      </c>
      <c r="H84" s="1" t="s">
        <v>369</v>
      </c>
      <c r="I84" s="1" t="b">
        <f aca="false">TRUE()</f>
        <v>1</v>
      </c>
      <c r="J84" s="1" t="b">
        <f aca="false">TRUE()</f>
        <v>1</v>
      </c>
    </row>
    <row r="85" customFormat="false" ht="15" hidden="false" customHeight="false" outlineLevel="0" collapsed="false">
      <c r="A85" s="1" t="s">
        <v>370</v>
      </c>
      <c r="B85" s="1" t="s">
        <v>371</v>
      </c>
      <c r="C85" s="1" t="s">
        <v>372</v>
      </c>
      <c r="D85" s="1" t="s">
        <v>15</v>
      </c>
      <c r="E85" s="1" t="s">
        <v>29</v>
      </c>
      <c r="F85" s="1" t="s">
        <v>29</v>
      </c>
      <c r="G85" s="1" t="s">
        <v>17</v>
      </c>
      <c r="H85" s="1" t="s">
        <v>373</v>
      </c>
      <c r="I85" s="1" t="b">
        <f aca="false">TRUE()</f>
        <v>1</v>
      </c>
      <c r="J85" s="1" t="b">
        <f aca="false">TRUE()</f>
        <v>1</v>
      </c>
    </row>
    <row r="86" customFormat="false" ht="15" hidden="false" customHeight="false" outlineLevel="0" collapsed="false">
      <c r="A86" s="1" t="s">
        <v>374</v>
      </c>
      <c r="B86" s="1" t="s">
        <v>375</v>
      </c>
      <c r="C86" s="1" t="s">
        <v>376</v>
      </c>
      <c r="D86" s="1" t="s">
        <v>15</v>
      </c>
      <c r="E86" s="1" t="s">
        <v>62</v>
      </c>
      <c r="F86" s="1" t="s">
        <v>62</v>
      </c>
      <c r="G86" s="1" t="s">
        <v>17</v>
      </c>
      <c r="H86" s="1" t="s">
        <v>377</v>
      </c>
      <c r="I86" s="1" t="b">
        <f aca="false">TRUE()</f>
        <v>1</v>
      </c>
      <c r="J86" s="1" t="b">
        <f aca="false">TRUE()</f>
        <v>1</v>
      </c>
    </row>
    <row r="87" customFormat="false" ht="15" hidden="false" customHeight="false" outlineLevel="0" collapsed="false">
      <c r="A87" s="1" t="s">
        <v>378</v>
      </c>
      <c r="B87" s="5" t="s">
        <v>379</v>
      </c>
      <c r="C87" s="1" t="s">
        <v>380</v>
      </c>
      <c r="D87" s="1" t="s">
        <v>15</v>
      </c>
      <c r="E87" s="1" t="s">
        <v>22</v>
      </c>
      <c r="F87" s="1" t="s">
        <v>43</v>
      </c>
      <c r="G87" s="1" t="s">
        <v>22</v>
      </c>
      <c r="H87" s="1" t="s">
        <v>381</v>
      </c>
      <c r="I87" s="3" t="b">
        <f aca="false">FALSE()</f>
        <v>0</v>
      </c>
      <c r="J87" s="1" t="b">
        <f aca="false">TRUE()</f>
        <v>1</v>
      </c>
      <c r="M87" s="1" t="s">
        <v>382</v>
      </c>
    </row>
    <row r="88" customFormat="false" ht="15" hidden="false" customHeight="false" outlineLevel="0" collapsed="false">
      <c r="A88" s="1" t="s">
        <v>383</v>
      </c>
      <c r="B88" s="1" t="s">
        <v>384</v>
      </c>
      <c r="C88" s="1" t="s">
        <v>385</v>
      </c>
      <c r="D88" s="1" t="s">
        <v>15</v>
      </c>
      <c r="E88" s="1" t="s">
        <v>34</v>
      </c>
      <c r="F88" s="1" t="s">
        <v>34</v>
      </c>
      <c r="G88" s="1" t="s">
        <v>17</v>
      </c>
      <c r="H88" s="1" t="s">
        <v>386</v>
      </c>
      <c r="I88" s="1" t="b">
        <f aca="false">TRUE()</f>
        <v>1</v>
      </c>
      <c r="J88" s="1" t="b">
        <f aca="false">TRUE()</f>
        <v>1</v>
      </c>
    </row>
    <row r="89" customFormat="false" ht="15" hidden="false" customHeight="false" outlineLevel="0" collapsed="false">
      <c r="A89" s="1" t="s">
        <v>387</v>
      </c>
      <c r="B89" s="5" t="s">
        <v>388</v>
      </c>
      <c r="C89" s="1" t="s">
        <v>389</v>
      </c>
      <c r="D89" s="1" t="s">
        <v>15</v>
      </c>
      <c r="E89" s="1" t="s">
        <v>29</v>
      </c>
      <c r="F89" s="1" t="s">
        <v>43</v>
      </c>
      <c r="G89" s="1" t="s">
        <v>29</v>
      </c>
      <c r="H89" s="1" t="s">
        <v>390</v>
      </c>
      <c r="I89" s="3" t="b">
        <f aca="false">FALSE()</f>
        <v>0</v>
      </c>
      <c r="J89" s="1" t="b">
        <f aca="false">TRUE()</f>
        <v>1</v>
      </c>
      <c r="L89" s="1" t="s">
        <v>17</v>
      </c>
      <c r="M89" s="1" t="s">
        <v>391</v>
      </c>
    </row>
    <row r="90" customFormat="false" ht="15" hidden="false" customHeight="false" outlineLevel="0" collapsed="false">
      <c r="A90" s="1" t="s">
        <v>392</v>
      </c>
      <c r="B90" s="1" t="s">
        <v>393</v>
      </c>
      <c r="C90" s="1" t="s">
        <v>394</v>
      </c>
      <c r="D90" s="1" t="s">
        <v>15</v>
      </c>
      <c r="E90" s="1" t="s">
        <v>22</v>
      </c>
      <c r="F90" s="1" t="s">
        <v>22</v>
      </c>
      <c r="G90" s="1" t="s">
        <v>17</v>
      </c>
      <c r="H90" s="1" t="s">
        <v>395</v>
      </c>
      <c r="I90" s="1" t="b">
        <f aca="false">TRUE()</f>
        <v>1</v>
      </c>
      <c r="J90" s="1" t="b">
        <f aca="false">TRUE()</f>
        <v>1</v>
      </c>
    </row>
    <row r="91" customFormat="false" ht="15" hidden="false" customHeight="false" outlineLevel="0" collapsed="false">
      <c r="A91" s="1" t="s">
        <v>396</v>
      </c>
      <c r="B91" s="1" t="s">
        <v>397</v>
      </c>
      <c r="C91" s="1" t="s">
        <v>398</v>
      </c>
      <c r="D91" s="1" t="s">
        <v>15</v>
      </c>
      <c r="E91" s="1" t="s">
        <v>16</v>
      </c>
      <c r="F91" s="1" t="s">
        <v>16</v>
      </c>
      <c r="G91" s="1" t="s">
        <v>29</v>
      </c>
      <c r="H91" s="1" t="s">
        <v>399</v>
      </c>
      <c r="I91" s="1" t="b">
        <f aca="false">TRUE()</f>
        <v>1</v>
      </c>
      <c r="J91" s="1" t="b">
        <f aca="false">TRUE()</f>
        <v>1</v>
      </c>
    </row>
    <row r="92" customFormat="false" ht="15" hidden="false" customHeight="false" outlineLevel="0" collapsed="false">
      <c r="A92" s="1" t="s">
        <v>400</v>
      </c>
      <c r="B92" s="1" t="s">
        <v>401</v>
      </c>
      <c r="C92" s="1" t="s">
        <v>402</v>
      </c>
      <c r="D92" s="1" t="s">
        <v>15</v>
      </c>
      <c r="E92" s="1" t="s">
        <v>62</v>
      </c>
      <c r="F92" s="1" t="s">
        <v>62</v>
      </c>
      <c r="G92" s="1" t="s">
        <v>17</v>
      </c>
      <c r="H92" s="1" t="s">
        <v>403</v>
      </c>
      <c r="I92" s="1" t="b">
        <f aca="false">TRUE()</f>
        <v>1</v>
      </c>
      <c r="J92" s="1" t="b">
        <f aca="false">TRUE()</f>
        <v>1</v>
      </c>
    </row>
    <row r="93" customFormat="false" ht="15" hidden="false" customHeight="false" outlineLevel="0" collapsed="false">
      <c r="A93" s="1" t="s">
        <v>404</v>
      </c>
      <c r="B93" s="1" t="s">
        <v>405</v>
      </c>
      <c r="C93" s="1" t="s">
        <v>406</v>
      </c>
      <c r="D93" s="1" t="s">
        <v>15</v>
      </c>
      <c r="E93" s="1" t="s">
        <v>34</v>
      </c>
      <c r="F93" s="1" t="s">
        <v>34</v>
      </c>
      <c r="G93" s="1" t="s">
        <v>17</v>
      </c>
      <c r="H93" s="1" t="s">
        <v>407</v>
      </c>
      <c r="I93" s="1" t="b">
        <f aca="false">TRUE()</f>
        <v>1</v>
      </c>
      <c r="J93" s="1" t="b">
        <f aca="false">TRUE()</f>
        <v>1</v>
      </c>
    </row>
    <row r="94" customFormat="false" ht="15" hidden="false" customHeight="false" outlineLevel="0" collapsed="false">
      <c r="A94" s="1" t="s">
        <v>408</v>
      </c>
      <c r="B94" s="1" t="s">
        <v>409</v>
      </c>
      <c r="C94" s="1" t="s">
        <v>410</v>
      </c>
      <c r="D94" s="1" t="s">
        <v>15</v>
      </c>
      <c r="E94" s="1" t="s">
        <v>67</v>
      </c>
      <c r="F94" s="1" t="s">
        <v>77</v>
      </c>
      <c r="G94" s="1" t="s">
        <v>34</v>
      </c>
      <c r="H94" s="1" t="s">
        <v>411</v>
      </c>
      <c r="I94" s="3" t="b">
        <f aca="false">FALSE()</f>
        <v>0</v>
      </c>
      <c r="J94" s="1" t="b">
        <f aca="false">FALSE()</f>
        <v>0</v>
      </c>
      <c r="M94" s="1" t="s">
        <v>412</v>
      </c>
    </row>
    <row r="95" customFormat="false" ht="15" hidden="false" customHeight="false" outlineLevel="0" collapsed="false">
      <c r="A95" s="1" t="s">
        <v>413</v>
      </c>
      <c r="B95" s="1" t="s">
        <v>414</v>
      </c>
      <c r="C95" s="1" t="s">
        <v>415</v>
      </c>
      <c r="D95" s="1" t="s">
        <v>15</v>
      </c>
      <c r="E95" s="1" t="s">
        <v>62</v>
      </c>
      <c r="F95" s="1" t="s">
        <v>62</v>
      </c>
      <c r="G95" s="1" t="s">
        <v>77</v>
      </c>
      <c r="H95" s="1" t="s">
        <v>416</v>
      </c>
      <c r="I95" s="1" t="b">
        <f aca="false">TRUE()</f>
        <v>1</v>
      </c>
      <c r="J95" s="1" t="b">
        <f aca="false">TRUE()</f>
        <v>1</v>
      </c>
    </row>
    <row r="96" customFormat="false" ht="15" hidden="false" customHeight="false" outlineLevel="0" collapsed="false">
      <c r="A96" s="1" t="s">
        <v>417</v>
      </c>
      <c r="B96" s="5" t="s">
        <v>418</v>
      </c>
      <c r="C96" s="1" t="s">
        <v>419</v>
      </c>
      <c r="D96" s="1" t="s">
        <v>15</v>
      </c>
      <c r="E96" s="1" t="s">
        <v>29</v>
      </c>
      <c r="F96" s="1" t="s">
        <v>17</v>
      </c>
      <c r="G96" s="1" t="s">
        <v>29</v>
      </c>
      <c r="H96" s="1" t="s">
        <v>420</v>
      </c>
      <c r="I96" s="3" t="b">
        <f aca="false">FALSE()</f>
        <v>0</v>
      </c>
      <c r="J96" s="1" t="b">
        <f aca="false">TRUE()</f>
        <v>1</v>
      </c>
      <c r="M96" s="1" t="s">
        <v>421</v>
      </c>
    </row>
    <row r="97" customFormat="false" ht="15" hidden="false" customHeight="false" outlineLevel="0" collapsed="false">
      <c r="A97" s="1" t="s">
        <v>422</v>
      </c>
      <c r="B97" s="1" t="s">
        <v>423</v>
      </c>
      <c r="C97" s="1" t="s">
        <v>424</v>
      </c>
      <c r="D97" s="1" t="s">
        <v>15</v>
      </c>
      <c r="E97" s="1" t="s">
        <v>28</v>
      </c>
      <c r="F97" s="1" t="s">
        <v>28</v>
      </c>
      <c r="G97" s="1" t="s">
        <v>67</v>
      </c>
      <c r="H97" s="1" t="s">
        <v>425</v>
      </c>
      <c r="I97" s="1" t="b">
        <f aca="false">TRUE()</f>
        <v>1</v>
      </c>
      <c r="J97" s="1" t="b">
        <f aca="false">TRUE()</f>
        <v>1</v>
      </c>
    </row>
    <row r="98" customFormat="false" ht="15" hidden="false" customHeight="false" outlineLevel="0" collapsed="false">
      <c r="A98" s="1" t="s">
        <v>426</v>
      </c>
      <c r="B98" s="1" t="s">
        <v>427</v>
      </c>
      <c r="C98" s="1" t="s">
        <v>428</v>
      </c>
      <c r="D98" s="1" t="s">
        <v>15</v>
      </c>
      <c r="E98" s="1" t="s">
        <v>67</v>
      </c>
      <c r="F98" s="1" t="s">
        <v>29</v>
      </c>
      <c r="G98" s="1" t="s">
        <v>77</v>
      </c>
      <c r="H98" s="1" t="s">
        <v>429</v>
      </c>
      <c r="I98" s="3" t="b">
        <f aca="false">FALSE()</f>
        <v>0</v>
      </c>
      <c r="J98" s="1" t="b">
        <f aca="false">FALSE()</f>
        <v>0</v>
      </c>
      <c r="M98" s="1" t="s">
        <v>430</v>
      </c>
    </row>
    <row r="99" customFormat="false" ht="15" hidden="false" customHeight="false" outlineLevel="0" collapsed="false">
      <c r="A99" s="1" t="s">
        <v>431</v>
      </c>
      <c r="B99" s="1" t="s">
        <v>432</v>
      </c>
      <c r="C99" s="1" t="s">
        <v>433</v>
      </c>
      <c r="D99" s="1" t="s">
        <v>15</v>
      </c>
      <c r="E99" s="1" t="s">
        <v>77</v>
      </c>
      <c r="F99" s="1" t="s">
        <v>77</v>
      </c>
      <c r="G99" s="1" t="s">
        <v>67</v>
      </c>
      <c r="H99" s="1" t="s">
        <v>434</v>
      </c>
      <c r="I99" s="1" t="b">
        <f aca="false">TRUE()</f>
        <v>1</v>
      </c>
      <c r="J99" s="1" t="b">
        <f aca="false">TRUE()</f>
        <v>1</v>
      </c>
    </row>
    <row r="100" customFormat="false" ht="56" hidden="false" customHeight="false" outlineLevel="0" collapsed="false">
      <c r="A100" s="1" t="s">
        <v>435</v>
      </c>
      <c r="B100" s="1" t="s">
        <v>436</v>
      </c>
      <c r="C100" s="4" t="s">
        <v>437</v>
      </c>
      <c r="D100" s="1" t="s">
        <v>15</v>
      </c>
      <c r="E100" s="1" t="s">
        <v>28</v>
      </c>
      <c r="F100" s="1" t="s">
        <v>29</v>
      </c>
      <c r="G100" s="1" t="s">
        <v>34</v>
      </c>
      <c r="H100" s="1" t="s">
        <v>438</v>
      </c>
      <c r="I100" s="2" t="b">
        <f aca="false">FALSE()</f>
        <v>0</v>
      </c>
      <c r="J100" s="1" t="b">
        <f aca="false">FALSE()</f>
        <v>0</v>
      </c>
      <c r="L100" s="1" t="s">
        <v>29</v>
      </c>
      <c r="M100" s="1" t="s">
        <v>439</v>
      </c>
    </row>
    <row r="101" customFormat="false" ht="56" hidden="false" customHeight="false" outlineLevel="0" collapsed="false">
      <c r="A101" s="1" t="s">
        <v>440</v>
      </c>
      <c r="B101" s="1" t="s">
        <v>441</v>
      </c>
      <c r="C101" s="4" t="s">
        <v>442</v>
      </c>
      <c r="D101" s="1" t="s">
        <v>15</v>
      </c>
      <c r="E101" s="1" t="s">
        <v>29</v>
      </c>
      <c r="F101" s="1" t="s">
        <v>29</v>
      </c>
      <c r="G101" s="1" t="s">
        <v>34</v>
      </c>
      <c r="H101" s="1" t="s">
        <v>443</v>
      </c>
      <c r="I101" s="1" t="b">
        <f aca="false">TRUE()</f>
        <v>1</v>
      </c>
      <c r="J101" s="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6" activeCellId="0" sqref="E16"/>
    </sheetView>
  </sheetViews>
  <sheetFormatPr defaultColWidth="8.34375" defaultRowHeight="15" customHeight="false" zeroHeight="false" outlineLevelRow="0" outlineLevelCol="0"/>
  <sheetData>
    <row r="1" customFormat="false" ht="15" hidden="false" customHeight="false" outlineLevel="0" collapsed="false">
      <c r="A1" s="1" t="s">
        <v>4</v>
      </c>
      <c r="B1" s="1" t="s">
        <v>444</v>
      </c>
      <c r="C1" s="1" t="s">
        <v>8</v>
      </c>
      <c r="D1" s="1" t="s">
        <v>445</v>
      </c>
      <c r="E1" s="1" t="s">
        <v>446</v>
      </c>
      <c r="F1" s="1" t="s">
        <v>447</v>
      </c>
    </row>
    <row r="2" customFormat="false" ht="15" hidden="false" customHeight="false" outlineLevel="0" collapsed="false">
      <c r="A2" s="1" t="s">
        <v>28</v>
      </c>
      <c r="B2" s="1" t="n">
        <v>10</v>
      </c>
      <c r="C2" s="1" t="n">
        <v>9</v>
      </c>
      <c r="D2" s="1" t="n">
        <v>9</v>
      </c>
      <c r="E2" s="1" t="s">
        <v>448</v>
      </c>
      <c r="F2" s="1" t="s">
        <v>448</v>
      </c>
    </row>
    <row r="3" customFormat="false" ht="15" hidden="false" customHeight="false" outlineLevel="0" collapsed="false">
      <c r="A3" s="1" t="s">
        <v>62</v>
      </c>
      <c r="B3" s="1" t="n">
        <v>10</v>
      </c>
      <c r="C3" s="1" t="n">
        <v>10</v>
      </c>
      <c r="D3" s="1" t="n">
        <v>10</v>
      </c>
      <c r="E3" s="1" t="s">
        <v>449</v>
      </c>
      <c r="F3" s="1" t="s">
        <v>449</v>
      </c>
    </row>
    <row r="4" customFormat="false" ht="15" hidden="false" customHeight="false" outlineLevel="0" collapsed="false">
      <c r="A4" s="1" t="s">
        <v>29</v>
      </c>
      <c r="B4" s="1" t="n">
        <v>10</v>
      </c>
      <c r="C4" s="1" t="n">
        <v>6</v>
      </c>
      <c r="D4" s="1" t="n">
        <v>10</v>
      </c>
      <c r="E4" s="1" t="s">
        <v>450</v>
      </c>
      <c r="F4" s="1" t="s">
        <v>449</v>
      </c>
    </row>
    <row r="5" customFormat="false" ht="15" hidden="false" customHeight="false" outlineLevel="0" collapsed="false">
      <c r="A5" s="1" t="s">
        <v>22</v>
      </c>
      <c r="B5" s="1" t="n">
        <v>10</v>
      </c>
      <c r="C5" s="1" t="n">
        <v>9</v>
      </c>
      <c r="D5" s="1" t="n">
        <v>10</v>
      </c>
      <c r="E5" s="1" t="s">
        <v>448</v>
      </c>
      <c r="F5" s="1" t="s">
        <v>449</v>
      </c>
    </row>
    <row r="6" customFormat="false" ht="15" hidden="false" customHeight="false" outlineLevel="0" collapsed="false">
      <c r="A6" s="1" t="s">
        <v>34</v>
      </c>
      <c r="B6" s="1" t="n">
        <v>10</v>
      </c>
      <c r="C6" s="1" t="n">
        <v>6</v>
      </c>
      <c r="D6" s="1" t="n">
        <v>7</v>
      </c>
      <c r="E6" s="1" t="s">
        <v>450</v>
      </c>
      <c r="F6" s="1" t="s">
        <v>451</v>
      </c>
    </row>
    <row r="7" customFormat="false" ht="15" hidden="false" customHeight="false" outlineLevel="0" collapsed="false">
      <c r="A7" s="1" t="s">
        <v>77</v>
      </c>
      <c r="B7" s="1" t="n">
        <v>10</v>
      </c>
      <c r="C7" s="1" t="n">
        <v>9</v>
      </c>
      <c r="D7" s="1" t="n">
        <v>10</v>
      </c>
      <c r="E7" s="1" t="s">
        <v>448</v>
      </c>
      <c r="F7" s="1" t="s">
        <v>449</v>
      </c>
    </row>
    <row r="8" customFormat="false" ht="15" hidden="false" customHeight="false" outlineLevel="0" collapsed="false">
      <c r="A8" s="1" t="s">
        <v>17</v>
      </c>
      <c r="B8" s="1" t="n">
        <v>10</v>
      </c>
      <c r="C8" s="1" t="n">
        <v>9</v>
      </c>
      <c r="D8" s="1" t="n">
        <v>10</v>
      </c>
      <c r="E8" s="1" t="s">
        <v>448</v>
      </c>
      <c r="F8" s="1" t="s">
        <v>449</v>
      </c>
    </row>
    <row r="9" customFormat="false" ht="15" hidden="false" customHeight="false" outlineLevel="0" collapsed="false">
      <c r="A9" s="1" t="s">
        <v>67</v>
      </c>
      <c r="B9" s="1" t="n">
        <v>10</v>
      </c>
      <c r="C9" s="1" t="n">
        <v>2</v>
      </c>
      <c r="D9" s="1" t="n">
        <v>3</v>
      </c>
      <c r="E9" s="1" t="s">
        <v>452</v>
      </c>
      <c r="F9" s="1" t="s">
        <v>453</v>
      </c>
    </row>
    <row r="10" customFormat="false" ht="15" hidden="false" customHeight="false" outlineLevel="0" collapsed="false">
      <c r="A10" s="1" t="s">
        <v>43</v>
      </c>
      <c r="B10" s="1" t="n">
        <v>10</v>
      </c>
      <c r="C10" s="1" t="n">
        <v>10</v>
      </c>
      <c r="D10" s="1" t="n">
        <v>10</v>
      </c>
      <c r="E10" s="1" t="s">
        <v>449</v>
      </c>
      <c r="F10" s="1" t="s">
        <v>449</v>
      </c>
    </row>
    <row r="11" customFormat="false" ht="15" hidden="false" customHeight="false" outlineLevel="0" collapsed="false">
      <c r="A11" s="1" t="s">
        <v>16</v>
      </c>
      <c r="B11" s="1" t="n">
        <v>10</v>
      </c>
      <c r="C11" s="1" t="n">
        <v>9</v>
      </c>
      <c r="D11" s="1" t="n">
        <v>10</v>
      </c>
      <c r="E11" s="1" t="s">
        <v>448</v>
      </c>
      <c r="F11" s="1" t="s">
        <v>449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454</v>
      </c>
      <c r="B1" s="1" t="s">
        <v>455</v>
      </c>
      <c r="C1" s="1" t="s">
        <v>444</v>
      </c>
    </row>
    <row r="2" customFormat="false" ht="15" hidden="false" customHeight="false" outlineLevel="0" collapsed="false">
      <c r="A2" s="1" t="s">
        <v>456</v>
      </c>
      <c r="B2" s="1" t="s">
        <v>457</v>
      </c>
      <c r="C2" s="1" t="n">
        <v>100</v>
      </c>
    </row>
    <row r="3" customFormat="false" ht="15" hidden="false" customHeight="false" outlineLevel="0" collapsed="false">
      <c r="A3" s="1" t="s">
        <v>458</v>
      </c>
      <c r="B3" s="1" t="s">
        <v>459</v>
      </c>
      <c r="C3" s="1" t="n">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808</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2026-06-22T18:38:41Z</dcterms:created>
  <dc:creator>openpyxl</dc:creator>
  <dc:description/>
  <dc:language>en-GB</dc:language>
  <cp:lastModifiedBy/>
  <dcterms:modified xsi:type="dcterms:W3CDTF">2026-06-23T12:54:41Z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