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<sst xmlns="http://schemas.openxmlformats.org/spreadsheetml/2006/main" count="250" uniqueCount="142">
  <si>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</si>
  <si>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</si>
  <si>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</si>
  <si>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</si>
  <si>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</si>
  <si>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</si>
  <si>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</si>
  <si>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</si>
  <si>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</si>
  <si>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</si>
  <si>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</si>
  <si>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pub.1190533978</t>
  </si>
  <si>
    <t xml:space="preserve">Evaluation of the genotoxic potential and minimisation of antinutrients in edible Xuta (Jatropha curcas L.) kernels</t>
  </si>
  <si>
    <t xml:space="preserve">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</si>
  <si>
    <t xml:space="preserve">PB</t>
  </si>
  <si>
    <t xml:space="preserve">Ingredient optimisation</t>
  </si>
  <si>
    <t xml:space="preserve">Food safety &amp; quality</t>
  </si>
  <si>
    <t xml:space="preserve">The study primarily assesses genotoxicity, mutagenicity, and antinutritional factors (safety evaluation) of Jatropha curcas kernels, while also characterising the reduction of antinutrients through hydrothermal treatment, which relates to ingredient-level processing and quality optimisation.</t>
  </si>
  <si>
    <t xml:space="preserve">I agree with LLM. Primarily a food safety assessment.</t>
  </si>
  <si>
    <t xml:space="preserve">pub.1193708822</t>
  </si>
  <si>
    <t xml:space="preserve">How healthy are meat alternatives? A qualitative exploration among Dutch adults using the model of positive health</t>
  </si>
  <si>
    <t xml:space="preserve">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</si>
  <si>
    <t xml:space="preserve">Health &amp; nutrition</t>
  </si>
  <si>
    <t xml:space="preserve">Consumer &amp; market research</t>
  </si>
  <si>
    <t xml:space="preserve">The study uses qualitative interviews to explore consumer perceptions and experiences with meat alternatives through a holistic health model, making it primarily consumer behaviour research, with secondary relevance to health and nutrition given its focus on perceived health outcomes of dietary choices.</t>
  </si>
  <si>
    <t xml:space="preserve">I agree with LLM. There is no assessment of health &amp; nutrition, only how consumers perceive the healthiness of meat alternatives and how it affects their daily lives.</t>
  </si>
  <si>
    <t xml:space="preserve">pub.1191161017</t>
  </si>
  <si>
    <t xml:space="preserve">Understanding sensory and emotional drivers of plant-based fish analogues acceptance in children and adul</t>
  </si>
  <si>
    <t xml:space="preserve">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</si>
  <si>
    <t xml:space="preserve">End product formulation</t>
  </si>
  <si>
    <t xml:space="preserve">The study primarily investigates consumer acceptance, sensory drivers of liking, and emotional responses across age groups—core consumer research topics—while also evaluating multiple finished plant-based fish analogue formulations differing in protein base (wheat, rice flake, etc.), making end product formulation a secondary focus.</t>
  </si>
  <si>
    <t xml:space="preserve">I agree with LLM. While this research may inform end product formulation decisions, it is entirely consumer research.</t>
  </si>
  <si>
    <t xml:space="preserve">pub.1192660347</t>
  </si>
  <si>
    <t xml:space="preserve">Cooks as collaborative creators and evaluators: An iterative sensory-driven workshop to create vegetarian dishes</t>
  </si>
  <si>
    <t xml:space="preserve">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</si>
  <si>
    <t xml:space="preserve">Other</t>
  </si>
  <si>
    <t xml:space="preserve">The study focuses on consumer/culinary professional behavior and attitudes toward plant-based dishes through a collaborative workshop, while also involving sensory evaluation and creation of finished vegetarian dishes, making it primarily consumer/market research with secondary relevance to end product formulation.</t>
  </si>
  <si>
    <t xml:space="preserve">Weird one. All three labels are defensible, but I have updated end product to exclude recipe development and updated other to include case studies and other more unusual types of publication.</t>
  </si>
  <si>
    <t xml:space="preserve">pub.1193375700</t>
  </si>
  <si>
    <t xml:space="preserve">Challenges in the Plant-based Dairy Alternatives Market: A Case Study of Ripened Rennet Cheese Alternatives in the Context of Sustainable Development Policy Principles</t>
  </si>
  <si>
    <t xml:space="preserve">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</si>
  <si>
    <t xml:space="preserve">Impact assessments</t>
  </si>
  <si>
    <t xml:space="preserve">The study critically analyses the plant-based dairy alternatives market against sustainable development policy and SDGs using structured review and policy analysis methods, while also identifying consumer acceptance and market development challenges as key implications.</t>
  </si>
  <si>
    <t xml:space="preserve">I agree with LLM. Policy focussed and therefore impact assessments.</t>
  </si>
  <si>
    <t xml:space="preserve">pub.1193472711</t>
  </si>
  <si>
    <t xml:space="preserve">Rheological analysis of swelling food soils for optimized cleaning in plant-based food production</t>
  </si>
  <si>
    <t xml:space="preserve">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</si>
  <si>
    <t xml:space="preserve">The study focuses on cleaning methodology for food production lines to ensure food safety by analyzing rheological properties of food soils, which is a safety/quality concern; ingredient optimisation is secondary as the rheological analysis of plant-based food soils relates to understanding material properties in processing contexts.</t>
  </si>
  <si>
    <t xml:space="preserve">Should be other. Prompt updated to promote Other selection and improve wording and examples for generic cleaning and equipment maintenance.</t>
  </si>
  <si>
    <t xml:space="preserve">pub.1192912327</t>
  </si>
  <si>
    <t xml:space="preserve">An update on fermented plant-based dairy alternatives: Advances towards consumer acceptability and modern diets</t>
  </si>
  <si>
    <t xml:space="preserve">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</si>
  <si>
    <t xml:space="preserve">The review focuses on fermented plant-based dairy alternatives as finished products, covering formulation challenges including rheological/sensory properties and fermentation technology, while also addressing consumer perception and acceptability of these products.</t>
  </si>
  <si>
    <t xml:space="preserve">Broad review. Should be Other</t>
  </si>
  <si>
    <t xml:space="preserve">pub.1187179468</t>
  </si>
  <si>
    <t xml:space="preserve">Historicizing the marketing of plant-based meat substitutes: a multimodal analysis of Sanitas Nut Food Company advertisements, 1896-1901</t>
  </si>
  <si>
    <t xml:space="preserve">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</si>
  <si>
    <t xml:space="preserve">The paper analyzes historical marketing and advertising strategies for plant-based meat substitutes, focusing on consumer messaging, rhetorical strategies, and 'eating knowledge,' which fits Consumer &amp; Market Research; the broader historical and philosophical reflections on meat myths and dietary change place secondary relevance in Other.</t>
  </si>
  <si>
    <t xml:space="preserve">I agree with LLM. Looks at historic advertising to inform marketing, so comes under consumer &amp; market research.</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</si>
  <si>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</si>
  <si>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</si>
  <si>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</si>
  <si>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The study formulates finished meat and plant-based balls and evaluates their (glyc)oxidative stability through barbecuing and digestion, making it primarily an end-product study; the assessment of oxidation products and advanced glycation endproducts also relates to food safety and quality concerns.</t>
  </si>
  <si>
    <t xml:space="preserve">Should be Health. Prompt updated to make any publication reporting health-relevant outcomes be health &amp; nutrition, leaving end product formulation to be focused on functional, sensory, and nutritional qualities only, but not measured health impacts (in vitro or in vivo).</t>
  </si>
  <si>
    <t xml:space="preserve">pub.1189576105</t>
  </si>
  <si>
    <t xml:space="preserve">Functional and nutritional properties of fava bean ingredients processed by extrusion</t>
  </si>
  <si>
    <t xml:space="preserve">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</si>
  <si>
    <t xml:space="preserve">Texturization methods</t>
  </si>
  <si>
    <t xml:space="preserve">The study characterises functional and nutritional properties of fava bean ingredient fractions (flour, starch, protein concentrates) processed by extrusion, focusing on ingredient-level outcomes such as solubility, pasting, emulsification, and digestibility, with extrusion serving as the processing method to modulate ingredient characteristics.</t>
  </si>
  <si>
    <t xml:space="preserve">I agree with LLM. Extrusion is being used to modify plant protein ingredients (like water solubility, emulsifying properities), not to modify textural or structural endpoints (like bite, chewiness).</t>
  </si>
  <si>
    <t xml:space="preserve">pub.1186333542</t>
  </si>
  <si>
    <t xml:space="preserve">Sustainable valorization of almond and peanut plant-based milk cakes: The use of terpenoid mixtures as ready-to-use solvents to enhance supercritical CO2 extraction</t>
  </si>
  <si>
    <t xml:space="preserve">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</si>
  <si>
    <t xml:space="preserve">The study focuses on improving fractionation and extraction processing of lipid and protein fractions from almond and peanut milk cakes, characterising functional properties of the resulting ingredients, which fits Ingredient Optimisation; the valorization context targeting food, cosmetics, and pharmaceutical applications touches on End Product Formulation considerations.</t>
  </si>
  <si>
    <t xml:space="preserve">Borderline. I am leaning ingredient optimisation because it researches a method for extracting plant-based food ingredients. I think it was labelled Other as the most obvious link to AP is waste valorisation, but this is more contextual / provides a sustainability reason for the research rather than actually what the research itself does.</t>
  </si>
  <si>
    <t xml:space="preserve">pub.1187663980</t>
  </si>
  <si>
    <t xml:space="preserve">High-moisture extrusion enhances soy protein quality based on in vitro protein digestibility and amino acid scores</t>
  </si>
  <si>
    <t xml:space="preserve">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</si>
  <si>
    <t xml:space="preserve">The study investigates high-moisture extrusion (HME) process conditions as a manufacturing method for meat analogues, while also characterizing the resulting protein digestibility and amino acid scores at the ingredient/extrudate level.</t>
  </si>
  <si>
    <t xml:space="preserve">Spent a while thinking about this and in vitro digestibility should definitely be ingredient optimisation, not health &amp; nutrition, and past labels are inconsistent between the two.</t>
  </si>
  <si>
    <t xml:space="preserve">pub.1189927278</t>
  </si>
  <si>
    <t xml:space="preserve">The effect of fortification on in vitro iron and zinc bioavailability in plant-based meat alternatives</t>
  </si>
  <si>
    <t xml:space="preserve">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</si>
  <si>
    <t xml:space="preserve">The study evaluates fortification strategies for a finished plant-based meat product (PBM) and measures mineral bioavailability using in vitro Caco-2 cell models, making it primarily an end product formulation study, with secondary relevance to health and nutrition given its focus on mineral bioavailability and dietary adequacy of plant-based diets.</t>
  </si>
  <si>
    <t xml:space="preserve">I agree with LLM. End product formulation specifically includes ‘nutritional assessment and fortification’. However, health &amp; nutrition should be second because cell-based mineral uptake is a physiological endpoint.</t>
  </si>
  <si>
    <t xml:space="preserve">pub.1186993694</t>
  </si>
  <si>
    <t xml:space="preserve">Risks, resilience and sustainability of plant-based protein chains in Europe: a stakeholder analysis</t>
  </si>
  <si>
    <t xml:space="preserve">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</si>
  <si>
    <t xml:space="preserve">The study surveys consumers, farmers, industry professionals, and policymakers to assess perceptions of risk, resilience, and sustainability in plant-based protein chains, which is fundamentally consumer/stakeholder behaviour research; the secondary focus on sustainability and resilience of food systems aligns with structured impact assessment themes.</t>
  </si>
  <si>
    <t xml:space="preserve">Should be impact but my impact definition was limited to quantitative or structured assessments and I think the stakeholder focus drew it to consumer research. Have edited impact definition to also mention supply chain resilience and food security as impacts.</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</si>
  <si>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</si>
  <si>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</si>
  <si>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</si>
  <si>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This systematic review focuses on mushroom incorporation into finished meat analogue products, evaluating their physical, sensory, amino acid, and fibre properties, which spans both finished product formulation and ingredient-level characterisation of mushrooms as a protein ingredient.</t>
  </si>
  <si>
    <t xml:space="preserve">Should be end product. Sonnet got it right. Not sure I can do much else to the prompt.</t>
  </si>
  <si>
    <t xml:space="preserve">pub.1188024088</t>
  </si>
  <si>
    <t xml:space="preserve">Protective Effect of Lactic Acid Bacteria Isolated from Ripened Foods Against Listeria monocytogenes in Plant-Based Fermented Dry-Cured Sausages</t>
  </si>
  <si>
    <t xml:space="preserve">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</si>
  <si>
    <t xml:space="preserve">Strain development</t>
  </si>
  <si>
    <t xml:space="preserve">The study primarily assesses microbial safety of a plant-based sausage analog by screening LAB strains for biocontrol against Listeria monocytogenes, which is a food safety application; the screening and selection of microbial strains (LAB) as protective starters also places it in Strain Development.</t>
  </si>
  <si>
    <t xml:space="preserve">Should be food safety first, then strain development. Sonnet got this right.</t>
  </si>
  <si>
    <t xml:space="preserve">pub.1184990844</t>
  </si>
  <si>
    <t xml:space="preserve">Foaming properties and olfactory profile of fermented chickpea aquafaba and its application in vegan chocolate mousse</t>
  </si>
  <si>
    <t xml:space="preserve">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</si>
  <si>
    <t xml:space="preserve">The study primarily focuses on improving aquafaba's functional properties (foaming) and sensory attributes (off-flavour reduction) through fermentation at the ingredient level, while also testing the fermented ingredient in a finished chocolate mousse product as a secondary application.</t>
  </si>
  <si>
    <t xml:space="preserve">I agree with Sonnet. Ingredient optimisation primary – core contribution is improving aquafaba as an ingredient through fermentation. End product formulation is secondary as it is demonstrative and not the primary subject of the study.</t>
  </si>
  <si>
    <t xml:space="preserve">pub.1193027836</t>
  </si>
  <si>
    <t xml:space="preserve">The Necessary Transition Towards Healthier Diets: An Assessment of Replacing Meat and Refined Wheat Flour with a Mixture of Different Plant-Based Foods</t>
  </si>
  <si>
    <t xml:space="preserve">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</si>
  <si>
    <t xml:space="preserve">The paper primarily assesses GHG emissions and environmental sustainability of dietary shifts away from meat, while also evaluating the health implications of replacing animal proteins with plant-based foods.</t>
  </si>
  <si>
    <t xml:space="preserve">Other is probably correct. It’s a more generalist / opinion publication arguing for a dietary change in response to sustainability concerns, but doesn’t seem to do a systematic review of literature or data. More of an opinion piece.</t>
  </si>
  <si>
    <t xml:space="preserve">pub.1195195931</t>
  </si>
  <si>
    <t xml:space="preserve">Navigating the shift toward sustainable diets: the use of protein blends in dairy alternatives</t>
  </si>
  <si>
    <t xml:space="preserve">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</si>
  <si>
    <t xml:space="preserve">The paper focuses on using protein blends in dairy alternative formulations to improve nutritional profile and sensory characteristics, which is primarily about finished product design, with ingredient-level optimization of plant protein blends as the secondary focus.</t>
  </si>
  <si>
    <t xml:space="preserve">Sonnet was correct. Boundary definition is clear enough, just need to use Sonnet,</t>
  </si>
  <si>
    <t xml:space="preserve">pub.1187762379</t>
  </si>
  <si>
    <t xml:space="preserve">Plant-Based Alternatives to Meat Products</t>
  </si>
  <si>
    <t xml:space="preserve">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</si>
  <si>
    <t xml:space="preserve">The review focuses primarily on the formulation, quality attributes, and fabrication of plant-based meat analogues as finished products, while also broadly covering consumer acceptance, nutrition, sustainability, and market factors across numerous aspects of the field, making it a wide-scope review that spans multiple categories.</t>
  </si>
  <si>
    <t xml:space="preserve">Should be Other. Sonnet at least got it as secondary. Prompt v3 and v4 have already been updated to give more clarity over Other and need testing.</t>
  </si>
  <si>
    <t xml:space="preserve">pub.1187441388</t>
  </si>
  <si>
    <t xml:space="preserve">Exploring the Nutritional Profile and Cost of Plant-Based Milk Alternatives Compared with Dairy Milk in the UK with Consideration of Environmental Impact Data</t>
  </si>
  <si>
    <t xml:space="preserve">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</si>
  <si>
    <t xml:space="preserve">The study primarily compares the nutritional profiles, ingredients, fortification, and cost of finished plant-based milk alternative products versus dairy milk, fitting End Product Formulation; the health implications and dietary recommendations for consumers align with Health &amp; Nutrition.</t>
  </si>
  <si>
    <t xml:space="preserve">Agree with LLM. Comparison and characterisation of finished plant-based milks against dairy milks to inform product formulation. It’s not consumer research because there are no perceptions, behaviours, or purchasing intent. It could be health &amp; nutrition given the nutrition focus but that is a fine secondary.</t>
  </si>
  <si>
    <t xml:space="preserve">Haiku was correct</t>
  </si>
  <si>
    <t xml:space="preserve">Haiku v2 was incorrect</t>
  </si>
  <si>
    <t xml:space="preserve">n</t>
  </si>
  <si>
    <t xml:space="preserve">top2_correct</t>
  </si>
  <si>
    <t xml:space="preserve">primary_acc</t>
  </si>
  <si>
    <t xml:space="preserve">top2_acc</t>
  </si>
  <si>
    <t xml:space="preserve">0%</t>
  </si>
  <si>
    <t xml:space="preserve">50%</t>
  </si>
  <si>
    <t xml:space="preserve">100%</t>
  </si>
  <si>
    <t xml:space="preserve">25%</t>
  </si>
  <si>
    <t xml:space="preserve">metric</t>
  </si>
  <si>
    <t xml:space="preserve">value</t>
  </si>
  <si>
    <t xml:space="preserve">top1_accuracy</t>
  </si>
  <si>
    <t xml:space="preserve">14%</t>
  </si>
  <si>
    <t xml:space="preserve">top2_accuracy</t>
  </si>
  <si>
    <t xml:space="preserve">57%</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</si>
</sst>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28" activeCellId="0" sqref="M28"/>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L1" s="0" t="s">
        <v>10</v>
      </c>
    </row>
    <row r="2" customFormat="false" ht="15" hidden="false" customHeight="false" outlineLevel="0" collapsed="false">
      <c r="A2" s="0" t="s">
        <v>11</v>
      </c>
      <c r="B2" s="0" t="s">
        <v>12</v>
      </c>
      <c r="C2" s="0" t="s">
        <v>13</v>
      </c>
      <c r="D2" s="0" t="s">
        <v>14</v>
      </c>
      <c r="E2" s="0" t="s">
        <v>15</v>
      </c>
      <c r="F2" s="0" t="s">
        <v>16</v>
      </c>
      <c r="G2" s="0" t="s">
        <v>15</v>
      </c>
      <c r="H2" s="0" t="s">
        <v>17</v>
      </c>
      <c r="I2" s="1" t="b">
        <f aca="false">FALSE()</f>
        <v>0</v>
      </c>
      <c r="J2" s="1" t="b">
        <f aca="false">TRUE()</f>
        <v>1</v>
      </c>
      <c r="L2" s="2" t="s">
        <v>16</v>
      </c>
      <c r="M2" s="0" t="s">
        <v>18</v>
      </c>
    </row>
    <row r="3" customFormat="false" ht="15" hidden="false" customHeight="false" outlineLevel="0" collapsed="false">
      <c r="A3" s="0" t="s">
        <v>19</v>
      </c>
      <c r="B3" s="0" t="s">
        <v>20</v>
      </c>
      <c r="C3" s="0" t="s">
        <v>21</v>
      </c>
      <c r="D3" s="0" t="s">
        <v>14</v>
      </c>
      <c r="E3" s="0" t="s">
        <v>22</v>
      </c>
      <c r="F3" s="0" t="s">
        <v>23</v>
      </c>
      <c r="G3" s="0" t="s">
        <v>22</v>
      </c>
      <c r="H3" s="0" t="s">
        <v>24</v>
      </c>
      <c r="I3" s="1" t="b">
        <f aca="false">FALSE()</f>
        <v>0</v>
      </c>
      <c r="J3" s="1" t="b">
        <f aca="false">TRUE()</f>
        <v>1</v>
      </c>
      <c r="L3" s="2" t="s">
        <v>23</v>
      </c>
      <c r="M3" s="0" t="s">
        <v>25</v>
      </c>
    </row>
    <row r="4" customFormat="false" ht="15" hidden="false" customHeight="false" outlineLevel="0" collapsed="false">
      <c r="A4" s="0" t="s">
        <v>26</v>
      </c>
      <c r="B4" s="0" t="s">
        <v>27</v>
      </c>
      <c r="C4" s="0" t="s">
        <v>28</v>
      </c>
      <c r="D4" s="0" t="s">
        <v>14</v>
      </c>
      <c r="E4" s="0" t="s">
        <v>29</v>
      </c>
      <c r="F4" s="0" t="s">
        <v>23</v>
      </c>
      <c r="G4" s="0" t="s">
        <v>29</v>
      </c>
      <c r="H4" s="0" t="s">
        <v>30</v>
      </c>
      <c r="I4" s="1" t="b">
        <f aca="false">FALSE()</f>
        <v>0</v>
      </c>
      <c r="J4" s="1" t="b">
        <f aca="false">TRUE()</f>
        <v>1</v>
      </c>
      <c r="L4" s="2" t="s">
        <v>23</v>
      </c>
      <c r="M4" s="0" t="s">
        <v>31</v>
      </c>
    </row>
    <row r="5" customFormat="false" ht="15" hidden="false" customHeight="false" outlineLevel="0" collapsed="false">
      <c r="A5" s="0" t="s">
        <v>32</v>
      </c>
      <c r="B5" s="0" t="s">
        <v>33</v>
      </c>
      <c r="C5" s="0" t="s">
        <v>34</v>
      </c>
      <c r="D5" s="0" t="s">
        <v>14</v>
      </c>
      <c r="E5" s="0" t="s">
        <v>35</v>
      </c>
      <c r="F5" s="0" t="s">
        <v>23</v>
      </c>
      <c r="G5" s="0" t="s">
        <v>29</v>
      </c>
      <c r="H5" s="0" t="s">
        <v>36</v>
      </c>
      <c r="I5" s="1" t="b">
        <f aca="false">FALSE()</f>
        <v>0</v>
      </c>
      <c r="J5" s="1" t="b">
        <f aca="false">FALSE()</f>
        <v>0</v>
      </c>
      <c r="L5" s="3"/>
      <c r="M5" s="0" t="s">
        <v>37</v>
      </c>
    </row>
    <row r="6" customFormat="false" ht="15" hidden="false" customHeight="false" outlineLevel="0" collapsed="false">
      <c r="A6" s="0" t="s">
        <v>38</v>
      </c>
      <c r="B6" s="0" t="s">
        <v>39</v>
      </c>
      <c r="C6" s="0" t="s">
        <v>40</v>
      </c>
      <c r="D6" s="0" t="s">
        <v>14</v>
      </c>
      <c r="E6" s="0" t="s">
        <v>35</v>
      </c>
      <c r="F6" s="0" t="s">
        <v>41</v>
      </c>
      <c r="G6" s="0" t="s">
        <v>23</v>
      </c>
      <c r="H6" s="0" t="s">
        <v>42</v>
      </c>
      <c r="I6" s="1" t="b">
        <f aca="false">FALSE()</f>
        <v>0</v>
      </c>
      <c r="J6" s="1" t="b">
        <f aca="false">FALSE()</f>
        <v>0</v>
      </c>
      <c r="L6" s="2" t="s">
        <v>41</v>
      </c>
      <c r="M6" s="0" t="s">
        <v>43</v>
      </c>
    </row>
    <row r="7" customFormat="false" ht="23.3" hidden="false" customHeight="false" outlineLevel="0" collapsed="false">
      <c r="A7" s="0" t="s">
        <v>44</v>
      </c>
      <c r="B7" s="0" t="s">
        <v>45</v>
      </c>
      <c r="C7" s="4" t="s">
        <v>46</v>
      </c>
      <c r="D7" s="0" t="s">
        <v>14</v>
      </c>
      <c r="E7" s="0" t="s">
        <v>35</v>
      </c>
      <c r="F7" s="0" t="s">
        <v>16</v>
      </c>
      <c r="G7" s="0" t="s">
        <v>15</v>
      </c>
      <c r="H7" s="0" t="s">
        <v>47</v>
      </c>
      <c r="I7" s="1" t="b">
        <f aca="false">FALSE()</f>
        <v>0</v>
      </c>
      <c r="J7" s="1" t="b">
        <f aca="false">FALSE()</f>
        <v>0</v>
      </c>
      <c r="L7" s="3"/>
      <c r="M7" s="0" t="s">
        <v>48</v>
      </c>
    </row>
    <row r="8" customFormat="false" ht="15" hidden="false" customHeight="false" outlineLevel="0" collapsed="false">
      <c r="A8" s="0" t="s">
        <v>49</v>
      </c>
      <c r="B8" s="0" t="s">
        <v>50</v>
      </c>
      <c r="C8" s="0" t="s">
        <v>51</v>
      </c>
      <c r="D8" s="0" t="s">
        <v>14</v>
      </c>
      <c r="E8" s="0" t="s">
        <v>35</v>
      </c>
      <c r="F8" s="0" t="s">
        <v>29</v>
      </c>
      <c r="G8" s="0" t="s">
        <v>23</v>
      </c>
      <c r="H8" s="0" t="s">
        <v>52</v>
      </c>
      <c r="I8" s="1" t="b">
        <f aca="false">FALSE()</f>
        <v>0</v>
      </c>
      <c r="J8" s="1" t="b">
        <f aca="false">FALSE()</f>
        <v>0</v>
      </c>
      <c r="L8" s="3"/>
      <c r="M8" s="0" t="s">
        <v>53</v>
      </c>
    </row>
    <row r="9" customFormat="false" ht="15" hidden="false" customHeight="false" outlineLevel="0" collapsed="false">
      <c r="A9" s="0" t="s">
        <v>54</v>
      </c>
      <c r="B9" s="0" t="s">
        <v>55</v>
      </c>
      <c r="C9" s="0" t="s">
        <v>56</v>
      </c>
      <c r="D9" s="0" t="s">
        <v>14</v>
      </c>
      <c r="E9" s="0" t="s">
        <v>35</v>
      </c>
      <c r="F9" s="0" t="s">
        <v>23</v>
      </c>
      <c r="G9" s="0" t="s">
        <v>35</v>
      </c>
      <c r="H9" s="0" t="s">
        <v>57</v>
      </c>
      <c r="I9" s="1" t="b">
        <f aca="false">FALSE()</f>
        <v>0</v>
      </c>
      <c r="J9" s="1" t="b">
        <f aca="false">TRUE()</f>
        <v>1</v>
      </c>
      <c r="L9" s="2" t="s">
        <v>23</v>
      </c>
      <c r="M9" s="0" t="s">
        <v>58</v>
      </c>
    </row>
    <row r="10" customFormat="false" ht="15" hidden="false" customHeight="false" outlineLevel="0" collapsed="false">
      <c r="A10" s="0" t="s">
        <v>59</v>
      </c>
      <c r="B10" s="0" t="s">
        <v>60</v>
      </c>
      <c r="C10" s="0" t="s">
        <v>61</v>
      </c>
      <c r="D10" s="0" t="s">
        <v>14</v>
      </c>
      <c r="E10" s="0" t="s">
        <v>22</v>
      </c>
      <c r="F10" s="0" t="s">
        <v>29</v>
      </c>
      <c r="G10" s="0" t="s">
        <v>16</v>
      </c>
      <c r="H10" s="0" t="s">
        <v>62</v>
      </c>
      <c r="I10" s="1" t="b">
        <f aca="false">FALSE()</f>
        <v>0</v>
      </c>
      <c r="J10" s="1" t="b">
        <f aca="false">FALSE()</f>
        <v>0</v>
      </c>
      <c r="L10" s="3"/>
      <c r="M10" s="0" t="s">
        <v>63</v>
      </c>
    </row>
    <row r="11" customFormat="false" ht="15" hidden="false" customHeight="false" outlineLevel="0" collapsed="false">
      <c r="A11" s="0" t="s">
        <v>64</v>
      </c>
      <c r="B11" s="0" t="s">
        <v>65</v>
      </c>
      <c r="C11" s="0" t="s">
        <v>66</v>
      </c>
      <c r="D11" s="0" t="s">
        <v>14</v>
      </c>
      <c r="E11" s="0" t="s">
        <v>67</v>
      </c>
      <c r="F11" s="0" t="s">
        <v>15</v>
      </c>
      <c r="G11" s="0" t="s">
        <v>67</v>
      </c>
      <c r="H11" s="0" t="s">
        <v>68</v>
      </c>
      <c r="I11" s="1" t="b">
        <f aca="false">FALSE()</f>
        <v>0</v>
      </c>
      <c r="J11" s="1" t="b">
        <f aca="false">TRUE()</f>
        <v>1</v>
      </c>
      <c r="L11" s="2" t="s">
        <v>15</v>
      </c>
      <c r="M11" s="0" t="s">
        <v>69</v>
      </c>
    </row>
    <row r="12" customFormat="false" ht="15" hidden="false" customHeight="false" outlineLevel="0" collapsed="false">
      <c r="A12" s="0" t="s">
        <v>70</v>
      </c>
      <c r="B12" s="0" t="s">
        <v>71</v>
      </c>
      <c r="C12" s="0" t="s">
        <v>72</v>
      </c>
      <c r="D12" s="0" t="s">
        <v>14</v>
      </c>
      <c r="E12" s="0" t="s">
        <v>35</v>
      </c>
      <c r="F12" s="0" t="s">
        <v>15</v>
      </c>
      <c r="G12" s="0" t="s">
        <v>29</v>
      </c>
      <c r="H12" s="0" t="s">
        <v>73</v>
      </c>
      <c r="I12" s="1" t="b">
        <f aca="false">FALSE()</f>
        <v>0</v>
      </c>
      <c r="J12" s="1" t="b">
        <f aca="false">FALSE()</f>
        <v>0</v>
      </c>
      <c r="L12" s="2" t="s">
        <v>15</v>
      </c>
      <c r="M12" s="0" t="s">
        <v>74</v>
      </c>
    </row>
    <row r="13" customFormat="false" ht="15" hidden="false" customHeight="false" outlineLevel="0" collapsed="false">
      <c r="A13" s="0" t="s">
        <v>75</v>
      </c>
      <c r="B13" s="0" t="s">
        <v>76</v>
      </c>
      <c r="C13" s="0" t="s">
        <v>77</v>
      </c>
      <c r="D13" s="0" t="s">
        <v>14</v>
      </c>
      <c r="E13" s="0" t="s">
        <v>22</v>
      </c>
      <c r="F13" s="0" t="s">
        <v>67</v>
      </c>
      <c r="G13" s="0" t="s">
        <v>15</v>
      </c>
      <c r="H13" s="0" t="s">
        <v>78</v>
      </c>
      <c r="I13" s="1" t="b">
        <f aca="false">FALSE()</f>
        <v>0</v>
      </c>
      <c r="J13" s="1" t="b">
        <f aca="false">FALSE()</f>
        <v>0</v>
      </c>
      <c r="L13" s="3" t="s">
        <v>15</v>
      </c>
      <c r="M13" s="0" t="s">
        <v>79</v>
      </c>
    </row>
    <row r="14" customFormat="false" ht="15" hidden="false" customHeight="false" outlineLevel="0" collapsed="false">
      <c r="A14" s="0" t="s">
        <v>80</v>
      </c>
      <c r="B14" s="0" t="s">
        <v>81</v>
      </c>
      <c r="C14" s="0" t="s">
        <v>82</v>
      </c>
      <c r="D14" s="0" t="s">
        <v>14</v>
      </c>
      <c r="E14" s="0" t="s">
        <v>22</v>
      </c>
      <c r="F14" s="0" t="s">
        <v>29</v>
      </c>
      <c r="G14" s="0" t="s">
        <v>22</v>
      </c>
      <c r="H14" s="0" t="s">
        <v>83</v>
      </c>
      <c r="I14" s="1" t="b">
        <f aca="false">FALSE()</f>
        <v>0</v>
      </c>
      <c r="J14" s="1" t="b">
        <f aca="false">TRUE()</f>
        <v>1</v>
      </c>
      <c r="L14" s="2" t="s">
        <v>29</v>
      </c>
      <c r="M14" s="0" t="s">
        <v>84</v>
      </c>
    </row>
    <row r="15" customFormat="false" ht="15" hidden="false" customHeight="false" outlineLevel="0" collapsed="false">
      <c r="A15" s="0" t="s">
        <v>85</v>
      </c>
      <c r="B15" s="0" t="s">
        <v>86</v>
      </c>
      <c r="C15" s="0" t="s">
        <v>87</v>
      </c>
      <c r="D15" s="0" t="s">
        <v>14</v>
      </c>
      <c r="E15" s="0" t="s">
        <v>41</v>
      </c>
      <c r="F15" s="0" t="s">
        <v>23</v>
      </c>
      <c r="G15" s="0" t="s">
        <v>41</v>
      </c>
      <c r="H15" s="0" t="s">
        <v>88</v>
      </c>
      <c r="I15" s="1" t="b">
        <f aca="false">FALSE()</f>
        <v>0</v>
      </c>
      <c r="J15" s="1" t="b">
        <f aca="false">TRUE()</f>
        <v>1</v>
      </c>
      <c r="L15" s="3"/>
      <c r="M15" s="0" t="s">
        <v>89</v>
      </c>
    </row>
    <row r="16" customFormat="false" ht="15" hidden="false" customHeight="false" outlineLevel="0" collapsed="false">
      <c r="A16" s="0" t="s">
        <v>90</v>
      </c>
      <c r="B16" s="0" t="s">
        <v>91</v>
      </c>
      <c r="C16" s="0" t="s">
        <v>92</v>
      </c>
      <c r="D16" s="0" t="s">
        <v>14</v>
      </c>
      <c r="E16" s="0" t="s">
        <v>29</v>
      </c>
      <c r="F16" s="0" t="s">
        <v>29</v>
      </c>
      <c r="G16" s="0" t="s">
        <v>15</v>
      </c>
      <c r="H16" s="0" t="s">
        <v>93</v>
      </c>
      <c r="I16" s="1" t="b">
        <f aca="false">TRUE()</f>
        <v>1</v>
      </c>
      <c r="J16" s="1" t="b">
        <f aca="false">TRUE()</f>
        <v>1</v>
      </c>
      <c r="L16" s="3"/>
      <c r="M16" s="0" t="s">
        <v>94</v>
      </c>
    </row>
    <row r="17" customFormat="false" ht="15" hidden="false" customHeight="false" outlineLevel="0" collapsed="false">
      <c r="A17" s="0" t="s">
        <v>95</v>
      </c>
      <c r="B17" s="0" t="s">
        <v>96</v>
      </c>
      <c r="C17" s="0" t="s">
        <v>97</v>
      </c>
      <c r="D17" s="0" t="s">
        <v>14</v>
      </c>
      <c r="E17" s="0" t="s">
        <v>16</v>
      </c>
      <c r="F17" s="0" t="s">
        <v>16</v>
      </c>
      <c r="G17" s="0" t="s">
        <v>98</v>
      </c>
      <c r="H17" s="0" t="s">
        <v>99</v>
      </c>
      <c r="I17" s="1" t="b">
        <f aca="false">TRUE()</f>
        <v>1</v>
      </c>
      <c r="J17" s="1" t="b">
        <f aca="false">TRUE()</f>
        <v>1</v>
      </c>
      <c r="L17" s="3"/>
      <c r="M17" s="0" t="s">
        <v>100</v>
      </c>
    </row>
    <row r="18" customFormat="false" ht="15" hidden="false" customHeight="false" outlineLevel="0" collapsed="false">
      <c r="A18" s="0" t="s">
        <v>101</v>
      </c>
      <c r="B18" s="0" t="s">
        <v>102</v>
      </c>
      <c r="C18" s="0" t="s">
        <v>103</v>
      </c>
      <c r="D18" s="0" t="s">
        <v>14</v>
      </c>
      <c r="E18" s="0" t="s">
        <v>29</v>
      </c>
      <c r="F18" s="0" t="s">
        <v>15</v>
      </c>
      <c r="G18" s="0" t="s">
        <v>29</v>
      </c>
      <c r="H18" s="0" t="s">
        <v>104</v>
      </c>
      <c r="I18" s="1" t="b">
        <f aca="false">FALSE()</f>
        <v>0</v>
      </c>
      <c r="J18" s="1" t="b">
        <f aca="false">TRUE()</f>
        <v>1</v>
      </c>
      <c r="L18" s="3" t="s">
        <v>15</v>
      </c>
      <c r="M18" s="0" t="s">
        <v>105</v>
      </c>
    </row>
    <row r="19" customFormat="false" ht="15" hidden="false" customHeight="false" outlineLevel="0" collapsed="false">
      <c r="A19" s="0" t="s">
        <v>106</v>
      </c>
      <c r="B19" s="0" t="s">
        <v>107</v>
      </c>
      <c r="C19" s="0" t="s">
        <v>108</v>
      </c>
      <c r="D19" s="0" t="s">
        <v>14</v>
      </c>
      <c r="E19" s="0" t="s">
        <v>35</v>
      </c>
      <c r="F19" s="0" t="s">
        <v>41</v>
      </c>
      <c r="G19" s="0" t="s">
        <v>22</v>
      </c>
      <c r="H19" s="0" t="s">
        <v>109</v>
      </c>
      <c r="I19" s="1" t="b">
        <f aca="false">FALSE()</f>
        <v>0</v>
      </c>
      <c r="J19" s="1" t="b">
        <f aca="false">FALSE()</f>
        <v>0</v>
      </c>
      <c r="L19" s="3"/>
      <c r="M19" s="0" t="s">
        <v>110</v>
      </c>
    </row>
    <row r="20" customFormat="false" ht="15" hidden="false" customHeight="false" outlineLevel="0" collapsed="false">
      <c r="A20" s="0" t="s">
        <v>111</v>
      </c>
      <c r="B20" s="0" t="s">
        <v>112</v>
      </c>
      <c r="C20" s="0" t="s">
        <v>113</v>
      </c>
      <c r="D20" s="0" t="s">
        <v>14</v>
      </c>
      <c r="E20" s="0" t="s">
        <v>29</v>
      </c>
      <c r="F20" s="0" t="s">
        <v>29</v>
      </c>
      <c r="G20" s="0" t="s">
        <v>15</v>
      </c>
      <c r="H20" s="0" t="s">
        <v>114</v>
      </c>
      <c r="I20" s="1" t="b">
        <f aca="false">TRUE()</f>
        <v>1</v>
      </c>
      <c r="J20" s="1" t="b">
        <f aca="false">TRUE()</f>
        <v>1</v>
      </c>
      <c r="L20" s="3"/>
      <c r="M20" s="0" t="s">
        <v>115</v>
      </c>
    </row>
    <row r="21" customFormat="false" ht="15" hidden="false" customHeight="false" outlineLevel="0" collapsed="false">
      <c r="A21" s="0" t="s">
        <v>116</v>
      </c>
      <c r="B21" s="0" t="s">
        <v>117</v>
      </c>
      <c r="C21" s="0" t="s">
        <v>118</v>
      </c>
      <c r="D21" s="0" t="s">
        <v>14</v>
      </c>
      <c r="E21" s="0" t="s">
        <v>35</v>
      </c>
      <c r="F21" s="0" t="s">
        <v>29</v>
      </c>
      <c r="G21" s="0" t="s">
        <v>35</v>
      </c>
      <c r="H21" s="0" t="s">
        <v>119</v>
      </c>
      <c r="I21" s="1" t="b">
        <f aca="false">FALSE()</f>
        <v>0</v>
      </c>
      <c r="J21" s="1" t="b">
        <f aca="false">TRUE()</f>
        <v>1</v>
      </c>
      <c r="L21" s="3"/>
      <c r="M21" s="0" t="s">
        <v>120</v>
      </c>
    </row>
    <row r="22" customFormat="false" ht="56" hidden="false" customHeight="false" outlineLevel="0" collapsed="false">
      <c r="A22" s="0" t="s">
        <v>121</v>
      </c>
      <c r="B22" s="0" t="s">
        <v>122</v>
      </c>
      <c r="C22" s="4" t="s">
        <v>123</v>
      </c>
      <c r="D22" s="0" t="s">
        <v>14</v>
      </c>
      <c r="E22" s="0" t="s">
        <v>23</v>
      </c>
      <c r="F22" s="0" t="s">
        <v>29</v>
      </c>
      <c r="G22" s="0" t="s">
        <v>22</v>
      </c>
      <c r="H22" s="0" t="s">
        <v>124</v>
      </c>
      <c r="I22" s="1" t="b">
        <f aca="false">FALSE()</f>
        <v>0</v>
      </c>
      <c r="J22" s="1" t="b">
        <f aca="false">FALSE()</f>
        <v>0</v>
      </c>
      <c r="L22" s="2" t="s">
        <v>29</v>
      </c>
      <c r="M22" s="0" t="s">
        <v>125</v>
      </c>
    </row>
    <row r="25" customFormat="false" ht="15" hidden="false" customHeight="false" outlineLevel="0" collapsed="false">
      <c r="L25" s="2" t="s">
        <v>126</v>
      </c>
    </row>
    <row r="26" customFormat="false" ht="15" hidden="false" customHeight="false" outlineLevel="0" collapsed="false">
      <c r="L26" s="3"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128</v>
      </c>
      <c r="C1" s="0" t="s">
        <v>8</v>
      </c>
      <c r="D1" s="0" t="s">
        <v>129</v>
      </c>
      <c r="E1" s="0" t="s">
        <v>130</v>
      </c>
      <c r="F1" s="0" t="s">
        <v>131</v>
      </c>
    </row>
    <row r="2" customFormat="false" ht="15" hidden="false" customHeight="false" outlineLevel="0" collapsed="false">
      <c r="A2" s="0" t="s">
        <v>23</v>
      </c>
      <c r="B2" s="0" t="n">
        <v>1</v>
      </c>
      <c r="C2" s="0" t="n">
        <v>0</v>
      </c>
      <c r="D2" s="0" t="n">
        <v>0</v>
      </c>
      <c r="E2" s="0" t="s">
        <v>132</v>
      </c>
      <c r="F2" s="0" t="s">
        <v>132</v>
      </c>
    </row>
    <row r="3" customFormat="false" ht="15" hidden="false" customHeight="false" outlineLevel="0" collapsed="false">
      <c r="A3" s="0" t="s">
        <v>29</v>
      </c>
      <c r="B3" s="0" t="n">
        <v>4</v>
      </c>
      <c r="C3" s="0" t="n">
        <v>2</v>
      </c>
      <c r="D3" s="0" t="n">
        <v>4</v>
      </c>
      <c r="E3" s="0" t="s">
        <v>133</v>
      </c>
      <c r="F3" s="0" t="s">
        <v>134</v>
      </c>
    </row>
    <row r="4" customFormat="false" ht="15" hidden="false" customHeight="false" outlineLevel="0" collapsed="false">
      <c r="A4" s="0" t="s">
        <v>16</v>
      </c>
      <c r="B4" s="0" t="n">
        <v>1</v>
      </c>
      <c r="C4" s="0" t="n">
        <v>1</v>
      </c>
      <c r="D4" s="0" t="n">
        <v>1</v>
      </c>
      <c r="E4" s="0" t="s">
        <v>134</v>
      </c>
      <c r="F4" s="0" t="s">
        <v>134</v>
      </c>
    </row>
    <row r="5" customFormat="false" ht="15" hidden="false" customHeight="false" outlineLevel="0" collapsed="false">
      <c r="A5" s="0" t="s">
        <v>22</v>
      </c>
      <c r="B5" s="0" t="n">
        <v>4</v>
      </c>
      <c r="C5" s="0" t="n">
        <v>0</v>
      </c>
      <c r="D5" s="0" t="n">
        <v>2</v>
      </c>
      <c r="E5" s="0" t="s">
        <v>132</v>
      </c>
      <c r="F5" s="0" t="s">
        <v>133</v>
      </c>
    </row>
    <row r="6" customFormat="false" ht="15" hidden="false" customHeight="false" outlineLevel="0" collapsed="false">
      <c r="A6" s="0" t="s">
        <v>41</v>
      </c>
      <c r="B6" s="0" t="n">
        <v>1</v>
      </c>
      <c r="C6" s="0" t="n">
        <v>0</v>
      </c>
      <c r="D6" s="0" t="n">
        <v>1</v>
      </c>
      <c r="E6" s="0" t="s">
        <v>132</v>
      </c>
      <c r="F6" s="0" t="s">
        <v>134</v>
      </c>
    </row>
    <row r="7" customFormat="false" ht="15" hidden="false" customHeight="false" outlineLevel="0" collapsed="false">
      <c r="A7" s="0" t="s">
        <v>15</v>
      </c>
      <c r="B7" s="0" t="n">
        <v>1</v>
      </c>
      <c r="C7" s="0" t="n">
        <v>0</v>
      </c>
      <c r="D7" s="0" t="n">
        <v>1</v>
      </c>
      <c r="E7" s="0" t="s">
        <v>132</v>
      </c>
      <c r="F7" s="0" t="s">
        <v>134</v>
      </c>
    </row>
    <row r="8" customFormat="false" ht="15" hidden="false" customHeight="false" outlineLevel="0" collapsed="false">
      <c r="A8" s="0" t="s">
        <v>35</v>
      </c>
      <c r="B8" s="0" t="n">
        <v>8</v>
      </c>
      <c r="C8" s="0" t="n">
        <v>0</v>
      </c>
      <c r="D8" s="0" t="n">
        <v>2</v>
      </c>
      <c r="E8" s="0" t="s">
        <v>132</v>
      </c>
      <c r="F8" s="0" t="s">
        <v>135</v>
      </c>
    </row>
    <row r="9" customFormat="false" ht="15" hidden="false" customHeight="false" outlineLevel="0" collapsed="false">
      <c r="A9" s="0" t="s">
        <v>67</v>
      </c>
      <c r="B9" s="0" t="n">
        <v>1</v>
      </c>
      <c r="C9" s="0" t="n">
        <v>0</v>
      </c>
      <c r="D9" s="0" t="n">
        <v>1</v>
      </c>
      <c r="E9" s="0" t="s">
        <v>132</v>
      </c>
      <c r="F9" s="0"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136</v>
      </c>
      <c r="B1" s="0" t="s">
        <v>137</v>
      </c>
      <c r="C1" s="0" t="s">
        <v>128</v>
      </c>
    </row>
    <row r="2" customFormat="false" ht="15" hidden="false" customHeight="false" outlineLevel="0" collapsed="false">
      <c r="A2" s="0" t="s">
        <v>138</v>
      </c>
      <c r="B2" s="0" t="s">
        <v>139</v>
      </c>
      <c r="C2" s="0" t="n">
        <v>21</v>
      </c>
    </row>
    <row r="3" customFormat="false" ht="15" hidden="false" customHeight="false" outlineLevel="0" collapsed="false">
      <c r="A3" s="0" t="s">
        <v>140</v>
      </c>
      <c r="B3" s="0" t="s">
        <v>141</v>
      </c>
      <c r="C3" s="0" t="n">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2026-06-22T19:29:37Z</dcterms:created>
  <dc:creator>openpyxl</dc:creator>
  <dc:description/>
  <dc:language>en-GB</dc:language>
  <cp:lastModifiedBy/>
  <dcterms:modified xsi:type="dcterms:W3CDTF">2026-06-23T11:28:04Z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