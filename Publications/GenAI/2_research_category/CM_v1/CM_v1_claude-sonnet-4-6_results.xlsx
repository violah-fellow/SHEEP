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<sst xmlns="http://schemas.openxmlformats.org/spreadsheetml/2006/main" count="615" uniqueCount="326">
  <si>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</si>
  <si>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</si>
  <si>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</si>
  <si>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</si>
  <si>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</si>
  <si>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</si>
  <si>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</si>
  <si>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</si>
  <si>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</si>
  <si>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</si>
  <si>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</si>
  <si>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Notes</t>
  </si>
  <si>
    <t xml:space="preserve">pub.1190691295</t>
  </si>
  <si>
    <t xml:space="preserve">Radiofrequency and microwave 3D bioprinting of emulsion gel for dysphagia diets</t>
  </si>
  <si>
    <t xml:space="preserve">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</si>
  <si>
    <t xml:space="preserve">CM</t>
  </si>
  <si>
    <t xml:space="preserve">Scaffolding</t>
  </si>
  <si>
    <t xml:space="preserve">End product formulation</t>
  </si>
  <si>
    <t xml:space="preserve">Bioprocess design</t>
  </si>
  <si>
    <t xml:space="preserve">The paper develops a 3D bioprinting system using RF/MW heating to formulate structured emulsion gels meeting dysphagia diet textural standards, with the primary focus on product design and characterisation, while the novel bioprinting apparatus and process engineering constitute a secondary contribution.</t>
  </si>
  <si>
    <t xml:space="preserve">Should definitely be scaffold. Add 3D printing / bioprinting into scaffold definition.</t>
  </si>
  <si>
    <t xml:space="preserve">pub.1190464463</t>
  </si>
  <si>
    <t xml:space="preserve">High-Throughput Label-Free Continuous Quantification of Muscle Stem Cell Proliferation and Myogenic Differentiation</t>
  </si>
  <si>
    <t xml:space="preserve">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</si>
  <si>
    <t xml:space="preserve">Cell culture media</t>
  </si>
  <si>
    <t xml:space="preserve">Cell line development</t>
  </si>
  <si>
    <t xml:space="preserve">The paper develops a novel high-throughput label-free imaging methodology to quantify satellite cell proliferation and myogenic differentiation, directly advancing cell characterisation and screening capabilities central to cell line development, while also demonstrating its utility for serum-free media formulation assessment in bovine and porcine satellite cells.</t>
  </si>
  <si>
    <t xml:space="preserve">Maybe I should remove screening from the cell line development definition – it’s true that large screening is more common in media development than cell line development (I would say). Regardless, the LLM has missed that serum free media development is the stated application.</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</si>
  <si>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</si>
  <si>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</si>
  <si>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</si>
  <si>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Consumer &amp; market research</t>
  </si>
  <si>
    <t xml:space="preserve">Food safety &amp; quality</t>
  </si>
  <si>
    <t xml:space="preserve">This is a consumer tracking survey measuring food-related attitudes, behaviours, purchasing decisions, and awareness of novel foods including lab-grown meat, making consumer behaviour and perceptions the primary focus, with food safety behaviours as a secondary theme.</t>
  </si>
  <si>
    <t xml:space="preserve">Borderline. It’s the development of a technique that could be used to monitor any of cell line development, cell culture media, or bioprocess design work. So I’m tempted to leave it as bioprocess design tbh.</t>
  </si>
  <si>
    <t xml:space="preserve">pub.1190615542</t>
  </si>
  <si>
    <t xml:space="preserve">Towards a cultivated ribeye</t>
  </si>
  <si>
    <t xml:space="preserve">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</si>
  <si>
    <t xml:space="preserve">The commentary focuses on perfusable scaffold design with capillary networks for oxygen and nutrient diffusion, which is central to scaffolding for thick cultivated meat tissue engineering.</t>
  </si>
  <si>
    <t xml:space="preserve">Sounds like scaffolding.</t>
  </si>
  <si>
    <t xml:space="preserve">pub.1186983375</t>
  </si>
  <si>
    <t xml:space="preserve">Cultivating change: persuasive counter-messaging strategies to foster consumer acceptance of cultured meat</t>
  </si>
  <si>
    <t xml:space="preserve">Purpose Conventional meat is linked to environmental and animal welfare-related concerns. Cultured meat, produced in the laboratory from animal cells, has been suggested as an alternative that could overcome these negative consequences of conventional meat, as it can incur fewer environmental impacts and avoid unnecessary animal suffering. Despite these prospective advantages, cultured meat acceptance varies substantially. In this study, we examined whether counter-messages emphasizing environmental damage, animal welfare impacts and unnatural aspects of conventional meat affect cultured meat acceptance compared to conventional meat.   Design/methodology/approach The current study employs a quantitative approach, with participants reading one counter-message (environmental, animal welfare, unnaturalness or control). The study follows a 2 (meat type: cultured vs conventional; within-subjects) × 4(essay condition: environmental, animal welfare, unnaturalness, control; between-subjects) mixed MANOVA design, with anticipated eating enjoyment and purchase intent as dependent variables.   Findings Counter-messages highlighting unnaturalness and negative animal welfare impacts of conventional meat increased cultured meat acceptance. However, counter-messages did not reduce conventional meat acceptance.   Originality/value The current study uniquely indicates that counter-messages highlighting unnaturalness and negative animal welfare impacts of conventional meat enhance cultured meat acceptance, suggesting marketers of cultured meat should focus on unnaturalness and animal welfare, rather than environmental impacts, of conventional meat to promote cultured meat.</t>
  </si>
  <si>
    <t xml:space="preserve">Other</t>
  </si>
  <si>
    <t xml:space="preserve">The study experimentally tests persuasive counter-messaging strategies on consumer acceptance and purchase intent for cultured meat, making it a consumer behaviour and market research study.</t>
  </si>
  <si>
    <t xml:space="preserve">pub.1193178199</t>
  </si>
  <si>
    <t xml:space="preserve">Hypothetical feed conversion efficiency of cultured meat compared to conventional animal production</t>
  </si>
  <si>
    <t xml:space="preserve">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</si>
  <si>
    <t xml:space="preserve">Impact assessments</t>
  </si>
  <si>
    <t xml:space="preserve">The paper develops a novel quantitative framework (CMCR) to compare feed conversion efficiency between cultured meat and conventional animal production, which is a structured system-level comparative assessment; cell culture media composition is the basis for the CMCR calculation, making it the secondary focus.</t>
  </si>
  <si>
    <t xml:space="preserve">Agree with impact assessments.</t>
  </si>
  <si>
    <t xml:space="preserve">pub.1192380853</t>
  </si>
  <si>
    <t xml:space="preserve">Low–intensity pulsed electromagnetic field stimulation enhances fusion in bovine myoblasts and improves tensile properties of engineered skeletal muscle tissue</t>
  </si>
  <si>
    <t xml:space="preserve">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</si>
  <si>
    <t xml:space="preserve">Texturization methods</t>
  </si>
  <si>
    <t xml:space="preserve">The paper develops and characterises 3D bio-artificial muscle constructs using PEMF stimulation to improve structural maturation, mechanical properties, and fusion of bovine myoblasts, which is a tissue engineering/scaffolding contribution, while the stimulation protocol optimisation also constitutes a bioprocess design innovation for cultured meat production.</t>
  </si>
  <si>
    <t xml:space="preserve">I actually think it should be bioprocess design. The improvement is caused by an alteration in the physical growth environment of the cells → bioprocess design. </t>
  </si>
  <si>
    <t xml:space="preserve">pub.1190538654</t>
  </si>
  <si>
    <t xml:space="preserve">LusoBioMaker: A low-cost 3D bioprinter with multi-extrusion and contour printing capabilities for thermo- and photocurable hydrogels towards complex tissue fabrication</t>
  </si>
  <si>
    <t xml:space="preserve">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</si>
  <si>
    <t xml:space="preserve">The paper develops a novel low-cost 3D bioprinter and characterises bioink formulations (hydrogels) for fabricating complex 3D tissue structures, with the primary contribution being the scaffold fabrication hardware and biomaterial inks, while the bioprinter engineering itself also represents a bioprocess/biofabrication design contribution.</t>
  </si>
  <si>
    <t xml:space="preserve">Agree, scaffolding.</t>
  </si>
  <si>
    <t xml:space="preserve">pub.1187223645</t>
  </si>
  <si>
    <t xml:space="preserve">Cultured meat: Identifying trust profiles of German consumers using latent profile analysis</t>
  </si>
  <si>
    <t xml:space="preserve">The global challenge of sustainable food production and consumption can be addressed with sustainable food technologies. One such, cultured meat, can contribute to improving food security and to do so more humanely and with fewer environmental impacts than conventional meat production. However, its acceptance is hampered by government safety regulations such as those of the European Food Safety Authority (EFSA), food industry resistance, and consumer distrust. Considering trust as essential for buying and eating new food products on a regular basis, we investigated consumer trust profiles in the German population. We used latent profile analysis of online survey data from 1099 consumers to identify four profiles, distinct in their trust level toward cultured meat and corresponding actors. The smallest profile, the Trusting Consumers (17.5 %), express the highest trust level and purchase intention for cultured meat. They are more likely to be younger, more educated, have higher incomes, the highest level of involvement, and the lowest food technology neophobia. However, 24.3 % are Distrustful Consumers, who are not willing to purchase cultured meat because they distrust the EFSA, cultured meat, fellow humans, and food manufacturers. They are 56 and older, less educated, have lower incomes, and report the highest level of food technology neophobia. The largest group are the Optimistic Consumers (37.5 %), who with the Sceptical Consumers (20.7 %) are undecided in their trust level and their purchase intention for cultured meat. As they make up almost 60 % of the sample, our results suggest that further research into suitable communication measures is especially relevant for these profiles to increase trust, and thus, extend the potential consumer base for a sustainable meat product.</t>
  </si>
  <si>
    <t xml:space="preserve">The paper uses latent profile analysis of survey data to identify distinct consumer trust profiles and purchase intentions toward cultured meat in Germany, making consumer behaviour and acceptance its primary focus; impact assessments is a secondary fit given the framing around sustainability and food security implications, though it is peripheral.</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</si>
  <si>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</si>
  <si>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</si>
  <si>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</si>
  <si>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The review covers alginate extraction and processing innovations with cultivated meat mentioned as a promising application direction, making scaffolding the most relevant specific category, but the broad cross-cutting nature of the review (covering extraction methods, solvents, functional properties, and diverse applications) places it closer to Other as a secondary classification.</t>
  </si>
  <si>
    <t xml:space="preserve">pub.1196485914</t>
  </si>
  <si>
    <t xml:space="preserve">Consumer‐Perceived Responsible Innovation: Scale Development and Its Influence on Adoption and Anticonsumption</t>
  </si>
  <si>
    <t xml:space="preserve">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</si>
  <si>
    <t xml:space="preserve">The paper develops and validates a consumer perception scale (CPRI) measuring responsible innovation, examining its influence on adoption and anticonsumption behaviors, with cultured meat as one of several innovation contexts tested.</t>
  </si>
  <si>
    <t xml:space="preserve">pub.1191203082</t>
  </si>
  <si>
    <t xml:space="preserve">Enhanced Media Optimize Bovine Myogenesis in 2D and 3D Models for Cultivated Meat Applications</t>
  </si>
  <si>
    <t xml:space="preserve">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</si>
  <si>
    <t xml:space="preserve">The paper's novel contribution is the formulation and optimisation of enhanced differentiation media using small molecules and multiomics characterisation to improve bovine MPC myogenic differentiation in 2D and 3D models, with secondary insights into the molecular/cellular landscape of bovine myogenic progenitor cell differentiation.</t>
  </si>
  <si>
    <t xml:space="preserve">pub.1190905692</t>
  </si>
  <si>
    <t xml:space="preserve">A global comprehensive review on cultured seafood</t>
  </si>
  <si>
    <t xml:space="preserve">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</si>
  <si>
    <t xml:space="preserve">This is a broad cross-cutting review spanning six domains (technology, public health, consumer acceptance, economic viability, environmental impact, and legislation) without a single specific technical or scientific focus, making Other the primary category, with Impact assessments as secondary given the coverage of environmental and economic viability considerations.</t>
  </si>
  <si>
    <t xml:space="preserve">pub.1195339063</t>
  </si>
  <si>
    <t xml:space="preserve">Is cultivated meat sustainable? – Research pathways to cleaner “clean meat”</t>
  </si>
  <si>
    <t xml:space="preserve">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</si>
  <si>
    <t xml:space="preserve">The paper's primary focus is a systematic review and gap analysis of existing life cycle assessments (LCAs) of cultivated meat, which is a structured assessment of environmental impacts — a core impact assessment methodology — while the broader cross-cutting discussion of multiple production system components places it secondarily in Other.</t>
  </si>
  <si>
    <t xml:space="preserve">pub.1185589034</t>
  </si>
  <si>
    <t xml:space="preserve">Animal Bodies and Futures: Rethinking Ethical Implications of Cultivated Meat and Fish</t>
  </si>
  <si>
    <t xml:space="preserve">This paper critically examines the ethical discourse surrounding cultivated meat and fish, arguing that it has largely remained confined to theoretical or speculative discussions, neglecting the practical and evolving implications of this emerging technology—particularly in relation to the continued involvement of animals in its production. I demonstrate that a significant gap exists in the assessment of the impact on animal bodies during cell harvesting and cultivation, leading to a distorted or incomplete understanding of the normative dimensions of this innovation. The paper further addresses the often-overlooked issue of “animal futures,” particularly the treatment of animals post-biopsy, and the ethical concerns surrounding the breeding of animals specifically for stem cell production. It critiques the lack of foresight in current ethical discussions, which fail to adequately consider the long-term lives of animals involved in the production of cultivated meat. Advocating for a more comprehensive ethical framework, the paper calls for a deeper, more nuanced consideration of both the immediate and future welfare of these animals. In doing so, the paper stresses that ethical reflection should not be an afterthought but an integral part of technological development—one that must influence both its design and its evolution. Through this analysis, the paper aims to contribute meaningfully to the ongoing discourse on the ethics of cultivated meat, urging a rethinking of the relationship between technological progress and animal welfare and rights.</t>
  </si>
  <si>
    <t xml:space="preserve">This is a philosophical/ethical commentary piece examining animal welfare implications of cultivated meat production, which falls under the 'Other' category for ethical and philosophical discussions; it touches on impact assessment themes but does not conduct any structured quantitative or systematic assessment.</t>
  </si>
  <si>
    <t xml:space="preserve">pub.1191558678</t>
  </si>
  <si>
    <t xml:space="preserve">Fetal bovine serum: how to leave it behind in the pursuit of more reliable science</t>
  </si>
  <si>
    <t xml:space="preserve">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</si>
  <si>
    <t xml:space="preserve">The paper's primary focus is reviewing and advocating for FBS replacements and serum-free/chemically defined media formulations across multiple cell culture applications, with cultivated meat as one of several highlighted use cases, making it primarily a cell culture media review but too broad across applications to assign a specific secondary category.</t>
  </si>
  <si>
    <t xml:space="preserve">pub.1196650490</t>
  </si>
  <si>
    <t xml:space="preserve">Fabrication of aligned adipose tissues using the FLight method for cultured meat applications</t>
  </si>
  <si>
    <t xml:space="preserve">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</si>
  <si>
    <t xml:space="preserve">The paper's novel contribution is the development and characterisation of FLight-fabricated 3D scaffolds with aligned microchannels to direct adipose tissue architecture, which is a scaffolding innovation; the cultured meat structural (muscle-fat) reconstruction goal links it secondarily to end product formulation.</t>
  </si>
  <si>
    <t xml:space="preserve">pub.1187475619</t>
  </si>
  <si>
    <t xml:space="preserve">Postharvest changes in bovine satellite cells in vitro resemble postmortem conversion of muscle to meat</t>
  </si>
  <si>
    <t xml:space="preserve">In this study, we explored postharvest changes in cultures of bovine satellite cells in vitro. Differentiated satellite cells forming myotubes were harvested and stored in Dulbecco's Phosphate-Buffered Saline at 4 °C for 0, 2, 4, 6, and 8 h. During storage, we measured cellular glycogen and lactate levels. Glycogen was highest at 0 h and decreased over time, while lactate production increased. Cells were lysed at each time point, and proteins were separated by SDS-PAGE, revealing muscle protein degradation. Western blot analyses showed proteolysis of myofibrillar proteins such as desmin, α-actinin, and troponin-T, which are known to enhance meat flavor. Zymography demonstrated active calpains in postharvest cells, indicating potential proteolysis during storage. Western blots also showed autolysis of calpains. In conclusion, these findings suggest that postharvest changes in cultivated muscle cells mimic conventional meat aging, which is important for the quality traits of cultivated meat.</t>
  </si>
  <si>
    <t xml:space="preserve">The paper investigates postharvest biochemical changes (glycogen, lactate, protein degradation, calpain activity) in cultivated bovine satellite cell myotubes to assess whether they mimic conventional meat aging, directly addressing quality traits of the finished cultivated meat product, with satellite cell differentiation as the experimental system.</t>
  </si>
  <si>
    <t xml:space="preserve">pub.1185308431</t>
  </si>
  <si>
    <t xml:space="preserve">More than a feeling: Development of an EmoSemio questionnaire to evaluate emotions evoked by cell-cultivated meat label terms in Singapore and the USA</t>
  </si>
  <si>
    <t xml:space="preserve">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</si>
  <si>
    <t xml:space="preserve">The paper develops and applies an emotional profiling questionnaire (EmoSemio) to assess consumer emotional responses to cell-cultivated meat label terms across two countries, which is squarely within consumer perception, labelling, and nomenclature research.</t>
  </si>
  <si>
    <t xml:space="preserve">pub.1183886498</t>
  </si>
  <si>
    <t xml:space="preserve">Incubation of adipocytes with α-linolenic acid and non-protein-bound iron results in a higher accumulation of omega-3 fatty acids and iron and lower oxidized lipids compared to incubation with docosahexaenoic acid and protein-bound iron</t>
  </si>
  <si>
    <t xml:space="preserve">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</si>
  <si>
    <t xml:space="preserve">Health &amp; nutrition</t>
  </si>
  <si>
    <t xml:space="preserve">The study investigates targeted enrichment of iron and omega-3 fatty acids in cultured adipocytes to improve the nutritional profile of cultivated meat, focusing on ingredient/source selection and resulting product composition and lipid oxidation — core end product formulation concerns, with secondary relevance to health-promoting nutrient delivery.</t>
  </si>
  <si>
    <t xml:space="preserve">I am tempted to agree with end product formulation. I originally thought it would be cell culture media, but incubation with these nutrients doesn’t quite fit the same?</t>
  </si>
  <si>
    <t xml:space="preserve">pub.1190999785</t>
  </si>
  <si>
    <t xml:space="preserve">Discovery and optimization of a guanylhydrazone-based small molecule to replace bFGF for cell culture applications</t>
  </si>
  <si>
    <t xml:space="preserve">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</si>
  <si>
    <t xml:space="preserve">The paper develops and optimises a small molecule FGFR1 agonist as a synthetic replacement for bFGF, a key growth factor component of cell culture media, directly addressing media formulation and cost-effectiveness for cultivated meat production.</t>
  </si>
  <si>
    <t xml:space="preserve">pub.1193718363</t>
  </si>
  <si>
    <t xml:space="preserve">Cultured Meat Reformulation: Health Potential and Sustainable Food Challenges—Narrative Review</t>
  </si>
  <si>
    <t xml:space="preserve">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</si>
  <si>
    <t xml:space="preserve">This is a broad narrative review covering multiple aspects of cultured meat including nutritional composition, lipid profiles, consumer acceptance, and technological/economic challenges without a single novel experimental or analytical contribution, making it primarily Other, with health and nutrition as the secondary focus given the emphasis on fatty acid profiles and public health implications.</t>
  </si>
  <si>
    <t xml:space="preserve">Other – broad review</t>
  </si>
  <si>
    <t xml:space="preserve">pub.1186089642</t>
  </si>
  <si>
    <t xml:space="preserve">Evaluation of Biocompatible Materials for Enhanced Mesenchymal Stem Cell Expansion: Collagen-Coated Alginate Microcarriers and PLGA Nanofibers</t>
  </si>
  <si>
    <t xml:space="preserve">Mesenchymal stem cells (MSCs) hold significant potential in regenerative medicine, tissue engineering, and cultivated meat production. However, large-scale MSC production is limited by their need for surface adherence during growth. This study evaluates two biocompatible materials-collagen-coated alginate microcarriers and polylactic-co-glycolic acid (PLGA) nanofibers-as novel growth substrates to enhance MSC proliferation. Physicochemical characterization confirmed successful collagen integration on both materials. In vitro, bone marrow-derived MSCs (bmMSCs) cultured on collagen-coated alginate microcarriers exhibited significantly enhanced growth compared to commercial microcarriers, while PLGA nanofibers supported bmMSC growth comparable to traditional growth surfaces. Scanning Electron Microscopy (SEM) revealed that bmMSCs adhered not only to the surface but also grew within the porous structure of the alginate microcarriers. Mycoplasma testing confirmed that the bmMSCs were free from contamination. Both materials were assessed for biocompatibility using ISO-10993 guidelines, demonstrating no skin or ocular irritation, supporting their potential for in situ applications in clinical and therapeutic settings. This study highlights the promise of collagen-coated alginate microcarriers and PLGA nanofibers for scalable MSC production, offering efficient, biocompatible alternatives to traditional growth surfaces in regenerative medicine and cultivated meat manufacturing. Future research should focus on optimizing these materials for larger-scale production and exploring specific applications in therapeutic and food sectors.</t>
  </si>
  <si>
    <t xml:space="preserve">The paper develops and characterises collagen-coated alginate microcarriers and PLGA nanofibers as novel growth substrates for MSC adherence and proliferation, which is a scaffolding/microcarrier contribution, with scalable MSC expansion as a secondary bioprocess focus.</t>
  </si>
  <si>
    <t xml:space="preserve">pub.1194018193</t>
  </si>
  <si>
    <t xml:space="preserve">Engineering functional scaffolds and fat phases for cultured meat</t>
  </si>
  <si>
    <t xml:space="preserve">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</si>
  <si>
    <t xml:space="preserve">The review's primary focus is on plant-based scaffold materials and fabrication techniques for cultured meat, with a secondary focus on fat phase integration to replicate meat structure, texture, and flavor in the final product.</t>
  </si>
  <si>
    <t xml:space="preserve">pub.1187813025</t>
  </si>
  <si>
    <t xml:space="preserve">A unique spontaneously immortalised cell line from pig with enhanced adipogenic capacity</t>
  </si>
  <si>
    <t xml:space="preserve">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</si>
  <si>
    <t xml:space="preserve">The paper's novel contribution is the development and characterisation of a spontaneously immortalised porcine mesenchymal stem cell line (FaTTy) with enhanced adipogenic capacity, directly fitting cell line development; secondary relevance to end product formulation arises from characterisation of fatty acid profiles and adipocyte maturation relevant to cultivated fat products.</t>
  </si>
  <si>
    <t xml:space="preserve">pub.1190066863</t>
  </si>
  <si>
    <t xml:space="preserve">Global developments in the regulation of cultivated meat: A comparative study of the EU, Singapore, US and Australia and New Zealand</t>
  </si>
  <si>
    <t xml:space="preserve">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</si>
  <si>
    <t xml:space="preserve">The paper conducts a systematic comparative regulatory policy analysis across four jurisdictions, identifying regulatory gaps, frameworks, and normative paradigms — fitting the impact assessments category for regulatory policy analysis — though its broad comparative and normative scope also places it partly in Other.</t>
  </si>
  <si>
    <t xml:space="preserve">Well shit. I think my colleague’s want changes to food regulation, and especially novel food regulation, to go into food safety &amp; quality.</t>
  </si>
  <si>
    <t xml:space="preserve">pub.1195234200</t>
  </si>
  <si>
    <t xml:space="preserve">Could Cultured Meat Be a Sustainable and Safe Source of Protein?</t>
  </si>
  <si>
    <t xml:space="preserve">Red and processed meat includes high-quality proteins and essential sources of micronutrients, such as iron, zinc, and vitamin B12; however, high consumption is linked to an increased risk of chronic disease burden and also harms environmental sustainability, as methane produced by ruminant animals is a significant contributor to greenhouse gas emissions. New strategies to mitigate chronic disease risk and methane production have been developed, and the replacement of natural beef with "cultured beef" has been discussed. Cultured Meat is an innovative field that addresses human nutrition and environmental preservation. However, further research is needed regarding the effects on human health, including the chronic burden of lifestyle-related diseases. This mini-review summarizes recent findings on the production technologies, environmental footprint, and nutritional composition of cultured meat, highlighting both its promises and current limitations. Notably, no clinical trials have evaluated its health effects in humans, and sustainability claims remain largely theoretical and dependent on renewable energy sources.</t>
  </si>
  <si>
    <t xml:space="preserve">This is a broad mini-review covering production technologies, environmental footprint, and nutritional composition without a specific novel experimental or analytical contribution, making it a cross-cutting commentary piece; the closest secondary focus is impact assessments given its discussion of sustainability and environmental claims.</t>
  </si>
  <si>
    <t xml:space="preserve">pub.1194012217</t>
  </si>
  <si>
    <t xml:space="preserve">Plant-based alginate-guar gum-konjac glucomannan scaffold with enhanced thermal stability and biocompatibility for cultured meat production</t>
  </si>
  <si>
    <t xml:space="preserve">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</si>
  <si>
    <t xml:space="preserve">The paper's novel contribution is the development and characterisation of a plant-based alginate-guar gum-konjac glucomannan scaffold with enhanced thermal stability and biocompatibility for cultured meat, with secondary relevance to end product formulation given the focus on mechanical properties mimicking conventional meat and cooking stability.</t>
  </si>
  <si>
    <t xml:space="preserve">pub.1186250348</t>
  </si>
  <si>
    <t xml:space="preserve">A Systematic Literature Review of Cultured Meat Through the Conceptual Frameworks of the Entrepreneurial Ecosystem and Global Value Chain</t>
  </si>
  <si>
    <t xml:space="preserve">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</si>
  <si>
    <t xml:space="preserve">This systematic literature review applies entrepreneurial ecosystem and global value chain frameworks to analyse regulatory, technological, funding, and market actor dynamics in cultured meat, constituting a structured assessment of system-level impacts, policy, and viability rather than a specific technical contribution.</t>
  </si>
  <si>
    <t xml:space="preserve">I kind of agree that the prompt makes this an impact assessment, but it is quite broad and non-specific, so I feel like it should be in Other…</t>
  </si>
  <si>
    <t xml:space="preserve">pub.1188180860</t>
  </si>
  <si>
    <t xml:space="preserve">Bibliometric insights into the science of lab-grown meat as alternative protein</t>
  </si>
  <si>
    <t xml:space="preserve">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</si>
  <si>
    <t xml:space="preserve">This is a bibliometric analysis providing a broad overview of research trends in cultured meat, which is a cross-cutting review/meta-analysis methodology that does not focus on any single specific technical category, though it touches on sustainability and regulatory implications as secondary themes.</t>
  </si>
  <si>
    <t xml:space="preserve">pub.1194872857</t>
  </si>
  <si>
    <t xml:space="preserve">Cultured meat: advances in stem cell biology, tissue engineering, and bioprocess optimisation for scalable and sustainable production—a review</t>
  </si>
  <si>
    <t xml:space="preserve">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</si>
  <si>
    <t xml:space="preserve">This is a broad review article spanning multiple topics (cell line development, scaffolding, bioreactor design, media optimisation, consumer acceptance, and regulatory readiness) without a single novel experimental or analytical contribution, making it a cross-cutting review best classified as Other, with secondary consideration for its discussion of sustainability and regulatory readiness aspects.</t>
  </si>
  <si>
    <t xml:space="preserve">pub.1195231577</t>
  </si>
  <si>
    <t xml:space="preserve">Cloning, expression and functional characterization of prepared bovine, salmon, and cod basic fibroblast growth factor-2</t>
  </si>
  <si>
    <t xml:space="preserve">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</si>
  <si>
    <t xml:space="preserve">The paper clones and characterises recombinant FGF-2 variants from multiple species and validates their bioactivity in serum-free media to reduce growth factor costs, making cell culture media optimisation the primary contribution, with secondary relevance to muscle stem cell proliferation characterisation.</t>
  </si>
  <si>
    <t xml:space="preserve">pub.1196653689</t>
  </si>
  <si>
    <t xml:space="preserve">Development of a sustainable strategy for cultured fat production based on serum-free 3D culture of bovine adipose stem cells</t>
  </si>
  <si>
    <t xml:space="preserve">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</si>
  <si>
    <t xml:space="preserve">The paper's novel contribution is a serum-free medium formulation for bovine adipose-derived stem cells, with the 3D spheroid culture system serving as a secondary bioprocess innovation to enhance adipogenic maturation.</t>
  </si>
  <si>
    <t xml:space="preserve">pub.1193262475</t>
  </si>
  <si>
    <t xml:space="preserve">How Do Microbial Safety Issues Associated With Meat Apply to Cell Cultivated Products?</t>
  </si>
  <si>
    <t xml:space="preserve">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</si>
  <si>
    <t xml:space="preserve">The paper's primary focus is a systematic review of microbiological hazards, contamination sources, and mitigation measures for cell cultivated products, directly constituting a food safety assessment; it also spans broad regulatory and cross-cutting review elements that place it partially in Other.</t>
  </si>
  <si>
    <t xml:space="preserve">pub.1195033972</t>
  </si>
  <si>
    <t xml:space="preserve">Paracrine effect of fibroblasts on the proliferation and differentiation of bovine satellite cells in vitro</t>
  </si>
  <si>
    <t xml:space="preserve">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</si>
  <si>
    <t xml:space="preserve">The paper investigates how fibroblast paracrine signalling affects bovine satellite cell proliferation and myogenic differentiation, directly characterising cell behaviour and transcriptomic changes relevant to cultivated meat cell line development, with the co-culture (transwell) system being a secondary bioprocess consideration.</t>
  </si>
  <si>
    <t xml:space="preserve">The novel contribution is co-culture, which is bioprocess design. I suppose I don’t want cell line development to be characterisation, it needs to be engineering to improve. I don’t want transcriptomics to be viewed as cell line development when it is a technique used to characterise cells all across cell line development, cell culture media, scaffolding, and bioprocess design.</t>
  </si>
  <si>
    <t xml:space="preserve">pub.1185448397</t>
  </si>
  <si>
    <t xml:space="preserve">Microalgae-enriched (bio)inks for 3D bioprinting of cultured seafood</t>
  </si>
  <si>
    <t xml:space="preserve">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</si>
  <si>
    <t xml:space="preserve">The paper's novel contribution is the development and characterisation of novel bioinks (κ-CAM and mFAT) as biomaterial scaffolds supporting seabass cell encapsulation and viability for 3D bioprinted cultured seafood structures, with secondary focus on the formulation and assembly of finished product prototypes including fat integration and sensory properties.</t>
  </si>
  <si>
    <t xml:space="preserve">It’s scaffolding – see previous.</t>
  </si>
  <si>
    <t xml:space="preserve">pub.1185346504</t>
  </si>
  <si>
    <t xml:space="preserve">Effective altruism, technoscience and the making of philanthropic value</t>
  </si>
  <si>
    <t xml:space="preserve">A recent philanthropic movement with advocates among high-profile tech entrepreneurs and philosophers, effective altruism (EA) has been widely disparaged for its flawed moral philosophy and conservative political implications. As philanthropic practice, however, it has been seldom studied. In this paper, we argue that claims to technoscientific expertise are central to how EA actors understand, legitimize, and take part in the production of philanthropic value. We analyze their practices of categorization, ranking and measurement as well as underlying technoscientific imaginaries and moral views through comparing three areas of EA intervention: neglected tropical diseases, cultured meat, and AI safety. We show how EA involves various and contested ambitions to direct knowledge production and redraw the boundaries of expert communities, shedding light on the centrality of technoscience in philanthropists' worldmaking ambitions.</t>
  </si>
  <si>
    <t xml:space="preserve">This is a sociological/philosophical analysis of effective altruism as philanthropic practice, using cultured meat only as one of three case studies; it does not make a novel technical or scientific contribution to any specific alternative protein research category.</t>
  </si>
  <si>
    <t xml:space="preserve">pub.1190903569</t>
  </si>
  <si>
    <t xml:space="preserve">Cell-based food: Driver and barriers to acceptance in professional kitchens</t>
  </si>
  <si>
    <t xml:space="preserve">The successful introduction and widespread acceptance of cell-based food products depend heavily on acceptance by consumers. Kitchen professionals, being influential figures in the culinary world, have the ability to shape early consumer attitudes towards cell-based products. Yet, the factors influencing kitchen professionals' adoption of cell-based foods are currently unclarified. This study aimed to investigate the factors that drive or hinder the acceptance and usage of cell-based foods among kitchen professionals, and more specifically to also clarify potential differences in acceptance between kitchen professionals familiar and unfamiliar with cell-based food. It involved a self-report online questionnaire completed by 107 kitchen professionals. Key response variables included initial acceptance and familiarity level, drivers and barriers to acceptance, and interest in learning more about cell-based food through related events. Participants were categorized based on their familiarity with cell-based food: familiar (n = 62) and unfamiliar (n = 45). The results revealed a strong positive correlation between the acceptance of cell-based food and familiarity. Palatability emerged as a key driver of acceptance, while concerns related to safety represented a crucial barrier. Participants reported a high willingness to learn more about cell-based food by participating in tasting sessions. These findings underscore the culinary sector's potential to normalize cell-based food and emphasize the need for collaboration between food scientists and kitchen professionals, to ultimately facilitate broader consumer acceptance of cell-based food.</t>
  </si>
  <si>
    <t xml:space="preserve">This study investigates kitchen professionals' acceptance, drivers, and barriers to cell-based food adoption through a questionnaire survey, making consumer/market research the clear primary focus, with no strong secondary category fitting the novel contribution.</t>
  </si>
  <si>
    <t xml:space="preserve">pub.1191484558</t>
  </si>
  <si>
    <t xml:space="preserve">Computational modeling of fluid motion and mass transfer in a rocking bioreactor with application to cultivated meat production</t>
  </si>
  <si>
    <t xml:space="preserve">Rocking or wave-mixed bioreactors have emerged as a promising innovation in the production of cultivated meat due to their disposable nature, low operating costs, and scalability. However, despite these advantages, the performance of rocking bioreactors is not well characterized in view of their relatively short history in the market and the wide range of geometrical and operating parameters. In the present study we develop a rigorous computational framework for this multiphase, multi-physics system to quantitatively evaluate mixing, oxygen transfer, and shear stress within a rectangular rocking bioreactor under various operating conditions. This framework is implemented using the Basilisk open-source platform. We use a second-order finite volume Navier–Stokes solver and a volume-of-fluid interface reconstruction scheme to accurately resolve the highly nonlinear fluid motion. By solving the advection–diffusion equation for a multi-fluid system, we examine mixing time and the oxygen mass transfer coefficient ( k L a ) for different operating conditions, both of which show a strong relationship with steady streaming underlying the instantaneous laminar flow. We further highlight two critical hydrodynamic phenomena that significantly influence bioreactor performance. Firstly, we investigate the transitional regime from laminar to turbulent flow. Moreover, we identify specific operating conditions that trigger resonance within the bioreactor, enhancing mixing and oxygen transfer. We finally discuss the potential effects of shear stress and energy dissipation rate on cell survival. Our findings are expected to provide valuable insights and guidelines for designing optimized bioreactors to support the next-generation cultivated meat industry pipelines.</t>
  </si>
  <si>
    <t xml:space="preserve">The paper develops a computational fluid dynamics framework to characterise mixing, oxygen transfer, and shear stress in rocking bioreactors, directly advancing bioreactor design and process engineering for cultivated meat production.</t>
  </si>
  <si>
    <t xml:space="preserve">pub.1196249573</t>
  </si>
  <si>
    <t xml:space="preserve">Techno-Fixes: On the Non-Disruptive Disruptions of Cultured Meat, Social Freezing and AI Assistants.</t>
  </si>
  <si>
    <t xml:space="preserve">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</si>
  <si>
    <t xml:space="preserve">This is a sociological/philosophical analysis of cultured meat as a 'techno-fix' using ethnography and discourse analysis, not focused on any specific technical domain of cultivated meat production; it broadly examines social and systemic implications across multiple technologies, fitting Other, with the closest secondary category being impact assessments given its structured evaluation of societal impacts.</t>
  </si>
  <si>
    <t xml:space="preserve">pub.1190503848</t>
  </si>
  <si>
    <t xml:space="preserve">Co‐Cultivation With New Glucose‐Sparing Chlorella Algae Boosts Tissue Culture Efficiency by Reducing Cell Waste</t>
  </si>
  <si>
    <t xml:space="preserve">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</si>
  <si>
    <t xml:space="preserve">The paper develops a novel co-cultivation system using glucose-sparing Chlorella algae to improve oxygenation, waste management, and culture longevity in mammalian cell culture, which is a bioprocess innovation, while also demonstrating reduced serum requirements, touching on media optimisation.</t>
  </si>
  <si>
    <t xml:space="preserve">pub.1187400215</t>
  </si>
  <si>
    <t xml:space="preserve">Quantifying environmental impacts of cell banking through life cycle assessment</t>
  </si>
  <si>
    <t xml:space="preserve">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</si>
  <si>
    <t xml:space="preserve">The paper's novel contribution is a life cycle assessment (LCA) quantifying the environmental impacts of cell banking processes using primary industry data, with cell banking (a cell line development-adjacent process) as the subject of analysis.</t>
  </si>
  <si>
    <t xml:space="preserve">pub.1184683334</t>
  </si>
  <si>
    <t xml:space="preserve">Nattokinase as a novel food-grade enzyme for long term cell subculture</t>
  </si>
  <si>
    <t xml:space="preserve">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</si>
  <si>
    <t xml:space="preserve">The paper develops and validates nattokinase as a food-grade, non-animal-derived dissociation enzyme for cell subculture, directly contributing to cell line maintenance protocols, with secondary relevance to reducing animal-derived inputs in culture processes.</t>
  </si>
  <si>
    <t xml:space="preserve">Should be bioprocess. Basically, anything that isn’t directly engineering a cell, developing media, or making a scaffold, is bioprocess. This is an improvement to the protocols for cell detachment → bioprocess design.</t>
  </si>
  <si>
    <t xml:space="preserve">pub.1195438538</t>
  </si>
  <si>
    <t xml:space="preserve">Addressing hurdles in cultured meat by exploring reduced myogenesis after bovine myoblast expansion</t>
  </si>
  <si>
    <t xml:space="preserve">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</si>
  <si>
    <t xml:space="preserve">The paper's novel contribution is characterising primary bovine myoblast expansion capacity, senescence, CD56 expression, and declining differentiation over population doublings, with transcriptomic/proteomic analysis of myogenic capacity — core cell line development questions for cultivated meat; scalability for industrial production is the secondary framing.</t>
  </si>
  <si>
    <t xml:space="preserve">pub.1191325321</t>
  </si>
  <si>
    <t xml:space="preserve">Can blockchain revolutionize meat production? Addressing transparency, trust, and compliance in conventional and cultured meat</t>
  </si>
  <si>
    <t xml:space="preserve">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</si>
  <si>
    <t xml:space="preserve">The paper reviews blockchain technology for traceability, authenticity, and regulatory compliance in meat supply chains, which aligns most closely with food safety and quality assurance, but its broad scoping review nature covering multiple topics (transparency, trust, consumer perceptions, regulatory frameworks) across both conventional and cultured meat pushes the secondary classification toward Other.</t>
  </si>
  <si>
    <t xml:space="preserve">The most Other publication I’ve seen. I cannot believe this has been categorised as food safety.</t>
  </si>
  <si>
    <t xml:space="preserve">pub.1193006903</t>
  </si>
  <si>
    <t xml:space="preserve">An RNA sequencing dataset from a porcine immortalized pre-adipocyte cell line</t>
  </si>
  <si>
    <t xml:space="preserve">There is a significant need for livestock cell lines that can be robustly expanded in culture while maintaining their functional characteristics, both for use as in vitro models to understand animal physiology and for industrial applications such as in the emerging sector of cellular agriculture. Here we describe RNA sequencing datasets from a spontaneously immortalized pre-adipocyte line that was derived through serial passaging of porcine adipose-derived mesenchymal stromal cells (MSCs). This cell line, known as FaTTy, is unique in that it displays enhanced adipogenic capacity during long-term culture, characterised by a close to 100% differentiation efficiency and the ability to generate mature adipocytes. Bulk RNA sequencing was performed from FaTTy and parental MSCs. We present analysis of the raw files and bioinformatics analyses, including differential gene expression. These data provide valuable insight on the mechanisms of cell immortalization and the unique phenotype of the FaTTy cell line, with distinctive advantages as a prospective cell source for cultivated fat manufacture.</t>
  </si>
  <si>
    <t xml:space="preserve">The paper describes and characterises a spontaneously immortalised porcine pre-adipocyte cell line (FaTTy) using RNA sequencing and differential gene expression analysis, with the novel contribution being the development and characterisation of this cell line for cultivated fat applications.</t>
  </si>
  <si>
    <t xml:space="preserve">pub.1191284489</t>
  </si>
  <si>
    <t xml:space="preserve">Driving Sustainable Consumption: Factors Influencing Consumer Acceptance of Cultured Meat</t>
  </si>
  <si>
    <t xml:space="preserve">ABSTRACT Cultured meat is increasingly seen as a potential solution to the environmental and ethical challenges of the livestock industry; however, its market success depends largely on consumer acceptance. This study investigates the factors influencing consumers cultured meat acceptance as a means to support sustainable consumption and production patterns. An empirical study was developed in Italy through 18 in‐depth interviews and a structured questionnaire administered to a sample of 836 consumers. The Theory of Planned Behaviour model was employed as an analysis lens, and data were tested using structural equation modeling. The results reveal that attitudes, subjective norms, and perceived behavioral control significantly influence consumers' intentions. Ethical and sustainability‐related benefits are key drivers of acceptance, while concerns persist regarding health and safety. The findings offer practical insights for companies and policymakers to promote informed consumer choices and foster responsible and sustainable behaviors while managing the introduction of cultured meat into the market.</t>
  </si>
  <si>
    <t xml:space="preserve">The study empirically investigates consumer acceptance, attitudes, subjective norms, and behavioral intentions toward cultured meat using surveys and structural equation modeling, which is core consumer behavior research, with secondary relevance to sustainability and policy implications of cultured meat adoption.</t>
  </si>
  <si>
    <t xml:space="preserve">pub.1188204445</t>
  </si>
  <si>
    <t xml:space="preserve">Low-cost food-grade alternatives for serum albumins in FBS-free cell culture media</t>
  </si>
  <si>
    <t xml:space="preserve">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</si>
  <si>
    <t xml:space="preserve">The paper directly formulates and optimises serum-free media by identifying and validating low-cost, food-grade alternatives to serum albumin as media stabilizers, with testing across multiple muscle stem cell lines and CHO cells.</t>
  </si>
  <si>
    <t xml:space="preserve">pub.1184711822</t>
  </si>
  <si>
    <t xml:space="preserve">The climate impact and land use of cultivated meat: Evaluating agricultural feedstock production</t>
  </si>
  <si>
    <t xml:space="preserve">As global demand for meat continues to rise, alternative and sustainable methods of production are being explored. Cultivated meat (CM) is one such alternative that holds potential for sustainable production with less environmental impact. This study develops an approach to evaluate CM production based on agricultural feedstock. The specific objectives are to determine the minimum land area required to produce a certain amount of cell medium-feedstock for CM production-on agricultural land and to identify potential future land use scenarios assuming that the macro components of the cell medium are solely produced from common agricultural crops in southern Germany. A linear programming model was developed to analyze four different scenarios of CM production, considering factors such as crop rotation, nutrient sourcing, and solar energy use. The results indicate that CM production using plants as raw material for the cell medium cannot improve land use efficiency substantially compared to conventional pork production. Extraction methods, crop choice, and energy sources will strongly influence future pathways for CM. We also find that there is no substantial benefit from CM in terms of climate change mitigation when feedstock is sourced solely from plants. This study provides valuable insights into the limitations of using agricultural feedstock for sustainable CM production. The findings suggest that future research should focus on optimizing the land use efficiency of CM. This includes exploring alternatives such as sourcing cell media from precision fermentation instead of relying solely on crops, and utilizing upcycling possibilities.</t>
  </si>
  <si>
    <t xml:space="preserve">The paper conducts a structured quantitative assessment (linear programming model) of land use and climate impact of cultivated meat production based on agricultural feedstock for cell media, making impact assessment the primary contribution, with cell culture media feedstock sourcing as the secondary analytical focus.</t>
  </si>
  <si>
    <t xml:space="preserve">pub.1195800428</t>
  </si>
  <si>
    <t xml:space="preserve">Exploring Consumer Choice for Beef-Based Cultured Meat: Evidence from a Choice Experiment in China</t>
  </si>
  <si>
    <t xml:space="preserve">Abstract  Amid growing attention on cultured meat as a sustainable food source to mitigate global population pressures, this study investigated Chinese consumers’ willingness to pay (WTP) for cultured meat using an online discrete choice experiment ( N = 243). A mixed logit model revealed a negative preference for cultured meat, suggesting technological concerns outweigh quality or health factors. Conversely, a positive WTP was found for imported products (+$2.35). Heterogeneity analysis identified older, low-income, and male consumers as more receptive. These preliminary results suggest a need for market segmentation and highlight the potential role of policy support.</t>
  </si>
  <si>
    <t xml:space="preserve">The study uses a discrete choice experiment and mixed logit model to measure Chinese consumers' willingness to pay and preferences for cultured meat, with heterogeneity analysis and market segmentation insights, which is core consumer behaviour research; impact assessments is secondary as the paper touches on policy implications and market viability considerations.</t>
  </si>
  <si>
    <t xml:space="preserve">pub.1191309090</t>
  </si>
  <si>
    <t xml:space="preserve">Cultured meat and halal: A comprehensive analysis from jurisprudence, biology, and ethics</t>
  </si>
  <si>
    <t xml:space="preserve">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</si>
  <si>
    <t xml:space="preserve">This paper is a qualitative jurisprudential and ethical analysis of cultured meat's halal status, not an experimental or technical study; it spans religious law, consumer perspectives, and ethics without a specific technical novel contribution fitting the defined categories, though it touches on consumer perceptions of cultured meat among Muslim populations.</t>
  </si>
  <si>
    <t xml:space="preserve">pub.1188720931</t>
  </si>
  <si>
    <t xml:space="preserve">Generation of bovine iPSCs from fetal fibroblasts for in vitro myogenesis and cultured meat</t>
  </si>
  <si>
    <t xml:space="preserve">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</si>
  <si>
    <t xml:space="preserve">The paper's novel contribution is the generation and characterisation of bovine iPSC lines via lentiviral and episomal reprogramming strategies, with assessment of their myogenic differentiation capacity for cultivated meat, which is squarely within cell line development; bioprocess design is a secondary consideration as differentiation protocol optimisation relates to scalable production processes.</t>
  </si>
  <si>
    <t xml:space="preserve">pub.1187346550</t>
  </si>
  <si>
    <t xml:space="preserve">Unfamiliar familiarity: A scoping review on the role of familiarity in consumer acceptance of cultivated meat</t>
  </si>
  <si>
    <t xml:space="preserve">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</si>
  <si>
    <t xml:space="preserve">This scoping review directly investigates consumer familiarity as a psychological factor influencing acceptance of cultivated meat, making consumer behaviour and perceptions its primary focus, with the broad review methodology spanning multiple constructs warranting a secondary 'Other' classification.</t>
  </si>
  <si>
    <t xml:space="preserve">pub.1185338019</t>
  </si>
  <si>
    <t xml:space="preserve">A perspective on the regulation of cultivated meat in the European Union</t>
  </si>
  <si>
    <t xml:space="preserve">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</si>
  <si>
    <t xml:space="preserve">The paper conducts a regulatory policy analysis of the EU novel food framework as applied to cultivated meat, evaluating regulatory gaps, the precautionary principle, and existing provisions — fitting the impact assessments category for regulatory policy analysis.</t>
  </si>
  <si>
    <t xml:space="preserve">pub.1190561629</t>
  </si>
  <si>
    <t xml:space="preserve">The extracellular matrix of beef: A characterization towards a 3D scaffold for cultured meat</t>
  </si>
  <si>
    <t xml:space="preserve">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</si>
  <si>
    <t xml:space="preserve">The paper characterizes the native bovine ECM's structural and mechanical properties specifically to provide reference data for designing scaffolds for cultured meat, making scaffolding the clear primary focus, with bioprocess design as a secondary consideration given the decellularization protocol optimization.</t>
  </si>
  <si>
    <t xml:space="preserve">pub.1194139593</t>
  </si>
  <si>
    <t xml:space="preserve">Influence of pea protein on alginate gelation behaviour: Implications for plant-based inks in 3D printing</t>
  </si>
  <si>
    <t xml:space="preserve">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</si>
  <si>
    <t xml:space="preserve">The paper develops and characterises plant-based (pea protein–alginate) bioink formulations intended as scaffolds for cultured meat and biomedical applications, with the novel contribution being the rheological and gelation characterisation of these composite materials for 3D bioprinting scaffold use.</t>
  </si>
  <si>
    <t xml:space="preserve">pub.1187537295</t>
  </si>
  <si>
    <t xml:space="preserve">Exploring the sustainability narratives of cultured meat</t>
  </si>
  <si>
    <t xml:space="preserve">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</si>
  <si>
    <t xml:space="preserve">This systematic literature review synthesises promissory and counter-narratives on the economic, environmental, and social sustainability of cultured meat, making structured assessment of system-level impacts its primary contribution, though its broad cross-cutting scope also gives it characteristics of a general review/commentary piece.</t>
  </si>
  <si>
    <t xml:space="preserve">pub.1195262622</t>
  </si>
  <si>
    <t xml:space="preserve">Starch‐Based Scaffolds for Cultivated Meat Production: Challenges and Perspectives</t>
  </si>
  <si>
    <t xml:space="preserve">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</si>
  <si>
    <t xml:space="preserve">This review focuses specifically on starch-based scaffold materials for cultivated meat, evaluating their physicochemical properties, processing routes, and food-grade performance, making scaffolding the clear primary contribution, while the broad cross-cutting review nature covering multiple aspects warrants Other as secondary.</t>
  </si>
  <si>
    <t xml:space="preserve">pub.1195696748</t>
  </si>
  <si>
    <t xml:space="preserve">Guidelines for environmental life cycle assessment of cultivated meat</t>
  </si>
  <si>
    <t xml:space="preserve">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</si>
  <si>
    <t xml:space="preserve">The paper's novel contribution is a set of technical guidelines specifically for conducting life cycle assessments (LCAs) of cultivated meat, making impact assessments the clear primary focus, while the consensus-building workshop methodology and broad cross-cutting scope place it secondarily in Other.</t>
  </si>
  <si>
    <t xml:space="preserve">pub.1189830000</t>
  </si>
  <si>
    <t xml:space="preserve">Low concentration press cake protein isolates preserve biological activity during lyophilization and spray drying</t>
  </si>
  <si>
    <t xml:space="preserve">A primary challenge in bringing cultivated meat to the market is the high cost of the cell culture media, largely due to their reliance on serum albumins. The production of these albumins is anticipated to become a major bottleneck of this industry. Recently, human serum albumin (HSA) was successfully substituted with seed protein isolates from press cakes enriched with plant albumins. However, these isolates require storage at -80°C to maintain activity, as long-term storage at 4°C or lyophilization leads to aggregation and loss of biological activity. Here, we show that concentrated protein isolates from Styrian oil pumpkin can effectively substitute for human serum albumin (HSA) and support higher proliferation rates in short term experiments as compared to HSA when stored at -80°C (p &lt; 0.001), or even when lyophilized (p &lt; 0.01). We also demonstrate that protein isolates from Styrian oil pumpkin and rapeseed press cakes perform comparably to HSA (no significant differences) when lyophilized or even spray-dried, provided that the concentration step is omitted. Furthermore, we report protein yields that are four times higher when a more thorough grinding method is utilized. These advancements eliminate the necessity for -80°C storage, thereby facilitating the utilization of locally available press cake protein isolates in media stabilization applications.</t>
  </si>
  <si>
    <t xml:space="preserve">The paper directly investigates plant-derived press cake protein isolates as serum albumin substitutes in cell culture media, optimising their formulation, processing (lyophilization, spray drying), and storage conditions to maintain biological activity for cultivated meat applications.</t>
  </si>
  <si>
    <t xml:space="preserve">pub.1185663045</t>
  </si>
  <si>
    <t xml:space="preserve">Development of a biomarker panel for cell characterization intended for cultivated meat</t>
  </si>
  <si>
    <t xml:space="preserve">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</si>
  <si>
    <t xml:space="preserve">The paper's novel contribution is the development of a biomarker panel (using ddPCR and immunofluorescence) to characterise and identify specific cell types within heterogeneous skeletal muscle cell populations, which directly supports cell sourcing, isolation, and characterisation for cultivated meat — core activities of cell line development.</t>
  </si>
  <si>
    <t xml:space="preserve">pub.1184995829</t>
  </si>
  <si>
    <t xml:space="preserve">Exploring aneuploidies in two-center isolated bovine embryonic stem cell lines: Implications for cultured meat production</t>
  </si>
  <si>
    <t xml:space="preserve">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</si>
  <si>
    <t xml:space="preserve">The paper derives and characterises bovine embryonic stem cell lines, investigating chromosomal abnormalities and genomic stability over long-term culture, which is directly relevant to cell line development for cultivated meat; food safety implications of these aneuploidies are a secondary concern raised.</t>
  </si>
  <si>
    <t xml:space="preserve">pub.1187867513</t>
  </si>
  <si>
    <t xml:space="preserve">Process intensification of cultivated meat production through microcarrier addition strategy optimisation</t>
  </si>
  <si>
    <t xml:space="preserve">The use of microcarriers (MCs) is currently the most promising method for scaling up bovine satellite cell (bSC) cultures for cultivated meat production. Thanks to the inherent ability of the cells to migrate from one MC to another, also known as bead-to-bead transfer, the need for cell detachment is limited to a minimum, leading to a seamless seeding train. With this study, we aim to intensify the bioprocessing of bSCs in serum-free medium, by exploring the parameters influencing bead-to-bead transfer and cell growth and by optimising the seeding conditions and the MC addition strategy. Keeping production scale bioprocessing requirements into consideration, such as maximisation of fold increase within the same system, we have grown bSCs in up to 80 cm2/ml MC concentrations, using seeding cell densities of 1,000 to 4,750 cells/cm2. We also demonstrated optimisation of the MC addition strategy by determining an optimal confluence range (15,000 to 25,000 cells/cm2) for MC additions and by maximising the MC expansion ratio to 10, without impairing growth. Finally, to ensure scalability of these findings, we successfully applied them at a 3 L bioreactor scale.</t>
  </si>
  <si>
    <t xml:space="preserve">The paper's novel contribution is optimising microcarrier addition strategies, bead-to-bead transfer parameters, and seeding conditions to intensify bovine satellite cell bioprocessing at bioreactor scale, which is core bioprocess engineering; cell culture aspects (serum-free medium, cell growth) are secondary experimental elements.</t>
  </si>
  <si>
    <t xml:space="preserve">pub.1193641914</t>
  </si>
  <si>
    <t xml:space="preserve">Integrative multi-omics modeling for cultivated meat production, quality, and safety</t>
  </si>
  <si>
    <t xml:space="preserve">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</si>
  <si>
    <t xml:space="preserve">The paper's novel contribution is a multi-omics interactome framework (TAM) for monitoring and optimizing cultivated meat production processes, with the case study specifically targeting metabolic interventions in culture media composition for duck embryonic stem cells.</t>
  </si>
  <si>
    <t xml:space="preserve">pub.1190984789</t>
  </si>
  <si>
    <t xml:space="preserve">Mimicking the myoseptum in cultivated fish by manufacturing edible microalgae-rich nanofibers</t>
  </si>
  <si>
    <t xml:space="preserve">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</si>
  <si>
    <t xml:space="preserve">The paper's novel contribution is the development and characterisation of edible zein-gelatin electrospun fibres incorporating microalgae biomass as scaffolds for cultivated fish, with cell culture on DLEC serving to validate biocompatibility and adhesion/proliferation outcomes.</t>
  </si>
  <si>
    <t xml:space="preserve">pub.1194016306</t>
  </si>
  <si>
    <t xml:space="preserve">Bioreactor parameters and systems for cultured meat production</t>
  </si>
  <si>
    <t xml:space="preserve">Cultured meat (CM) is an emerging technology involving the use of animal cells to produce meat in vitro. It has the potential to replace or complement traditional meat production, offering a sustainable and ethical alternative to farmed animals. CM could provide sufficient meat to satisfy the growing demand for animal-based protein while addressing the negative impact of traditional livestock agriculture such as disease transmission, antibiotic misuse, poor animal welfare, and greenhouse gas emissions. But efficient industrial bioreactor systems, low-cost media, and high producing suitable cells are needed for CM technology to compete with or supplement conventional meat production. Bioreactors provide a controlled in vitro environment for the supply of nutrients and stimulus to the cells, which is necessary for cell expansion and differentiation on a large scale. In this review, we discuss the state of the art in bioreactor systems used for CM production, highlighting their characteristics and applications, advantages and disadvantages, the effect of key process parameters, and scale-up strategies. We also consider key performance indicators for the bioreactor-based large-scale production of CM.</t>
  </si>
  <si>
    <t xml:space="preserve">This review focuses specifically on bioreactor systems, process parameters, and scale-up strategies for cultured meat production, making bioprocess design the clear primary focus, while its broad review format covering multiple aspects warrants Other as secondary.</t>
  </si>
  <si>
    <t xml:space="preserve">pub.1191684816</t>
  </si>
  <si>
    <t xml:space="preserve">Willingness to consume cultured meat: A meta-analysis</t>
  </si>
  <si>
    <t xml:space="preserve">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</si>
  <si>
    <t xml:space="preserve">This meta-analysis quantitatively synthesises consumer willingness-to-consume cultured meat across 48 studies, identifying key predictors of acceptance, which is squarely within consumer behaviour and market research; the systematic review methodology with effect size synthesis has a secondary resemblance to structured impact/policy assessments.</t>
  </si>
  <si>
    <t xml:space="preserve">n</t>
  </si>
  <si>
    <t xml:space="preserve">top2_correct</t>
  </si>
  <si>
    <t xml:space="preserve">primary_acc</t>
  </si>
  <si>
    <t xml:space="preserve">top2_acc</t>
  </si>
  <si>
    <t xml:space="preserve">56%</t>
  </si>
  <si>
    <t xml:space="preserve">78%</t>
  </si>
  <si>
    <t xml:space="preserve">88%</t>
  </si>
  <si>
    <t xml:space="preserve">100%</t>
  </si>
  <si>
    <t xml:space="preserve">86%</t>
  </si>
  <si>
    <t xml:space="preserve">50%</t>
  </si>
  <si>
    <t xml:space="preserve">33%</t>
  </si>
  <si>
    <t xml:space="preserve">80%</t>
  </si>
  <si>
    <t xml:space="preserve">90%</t>
  </si>
  <si>
    <t xml:space="preserve">0%</t>
  </si>
  <si>
    <t xml:space="preserve">metric</t>
  </si>
  <si>
    <t xml:space="preserve">value</t>
  </si>
  <si>
    <t xml:space="preserve">top1_accuracy</t>
  </si>
  <si>
    <t xml:space="preserve">top2_accuracy</t>
  </si>
  <si>
    <t xml:space="preserve">85%</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</si>
</sst>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FF0000"/>
        <bgColor rgb="FF993300"/>
      </patternFill>
    </fill>
    <fill>
      <patternFill patternType="solid">
        <fgColor rgb="FF81D41A"/>
        <bgColor rgb="FF96969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A47" colorId="64" zoomScale="100" zoomScaleNormal="100" zoomScalePageLayoutView="100" workbookViewId="0">
      <selection pane="topLeft" activeCell="G52" activeCellId="0" sqref="G52"/>
    </sheetView>
  </sheetViews>
  <sheetFormatPr defaultColWidth="8.343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L1" s="1" t="s">
        <v>10</v>
      </c>
      <c r="M1" s="1" t="s">
        <v>11</v>
      </c>
    </row>
    <row r="2" customFormat="false" ht="15" hidden="false" customHeight="false" outlineLevel="0" collapsed="false">
      <c r="A2" s="1" t="s">
        <v>12</v>
      </c>
      <c r="B2" s="1" t="s">
        <v>13</v>
      </c>
      <c r="C2" s="1" t="s">
        <v>14</v>
      </c>
      <c r="D2" s="1" t="s">
        <v>15</v>
      </c>
      <c r="E2" s="1" t="s">
        <v>16</v>
      </c>
      <c r="F2" s="1" t="s">
        <v>17</v>
      </c>
      <c r="G2" s="1" t="s">
        <v>18</v>
      </c>
      <c r="H2" s="1" t="s">
        <v>19</v>
      </c>
      <c r="I2" s="2" t="b">
        <f aca="false">FALSE()</f>
        <v>0</v>
      </c>
      <c r="J2" s="3" t="b">
        <f aca="false">FALSE()</f>
        <v>0</v>
      </c>
      <c r="M2" s="1" t="s">
        <v>20</v>
      </c>
    </row>
    <row r="3" customFormat="false" ht="15" hidden="false" customHeight="false" outlineLevel="0" collapsed="false">
      <c r="A3" s="1" t="s">
        <v>21</v>
      </c>
      <c r="B3" s="1" t="s">
        <v>22</v>
      </c>
      <c r="C3" s="1" t="s">
        <v>23</v>
      </c>
      <c r="D3" s="1" t="s">
        <v>15</v>
      </c>
      <c r="E3" s="1" t="s">
        <v>24</v>
      </c>
      <c r="F3" s="1" t="s">
        <v>25</v>
      </c>
      <c r="G3" s="1" t="s">
        <v>24</v>
      </c>
      <c r="H3" s="1" t="s">
        <v>26</v>
      </c>
      <c r="I3" s="2" t="b">
        <f aca="false">FALSE()</f>
        <v>0</v>
      </c>
      <c r="J3" s="3" t="b">
        <f aca="false">TRUE()</f>
        <v>1</v>
      </c>
      <c r="L3" s="1" t="s">
        <v>18</v>
      </c>
      <c r="M3" s="1" t="s">
        <v>27</v>
      </c>
    </row>
    <row r="4" customFormat="false" ht="15" hidden="false" customHeight="false" outlineLevel="0" collapsed="false">
      <c r="A4" s="1" t="s">
        <v>28</v>
      </c>
      <c r="B4" s="1" t="s">
        <v>29</v>
      </c>
      <c r="C4" s="1" t="s">
        <v>30</v>
      </c>
      <c r="D4" s="1" t="s">
        <v>15</v>
      </c>
      <c r="E4" s="1" t="s">
        <v>31</v>
      </c>
      <c r="F4" s="1" t="s">
        <v>31</v>
      </c>
      <c r="G4" s="1" t="s">
        <v>32</v>
      </c>
      <c r="H4" s="1" t="s">
        <v>33</v>
      </c>
      <c r="I4" s="3" t="b">
        <f aca="false">TRUE()</f>
        <v>1</v>
      </c>
      <c r="J4" s="3" t="b">
        <f aca="false">TRUE()</f>
        <v>1</v>
      </c>
      <c r="M4" s="1" t="s">
        <v>34</v>
      </c>
    </row>
    <row r="5" customFormat="false" ht="15" hidden="false" customHeight="false" outlineLevel="0" collapsed="false">
      <c r="A5" s="1" t="s">
        <v>35</v>
      </c>
      <c r="B5" s="1" t="s">
        <v>36</v>
      </c>
      <c r="C5" s="1" t="s">
        <v>37</v>
      </c>
      <c r="D5" s="1" t="s">
        <v>15</v>
      </c>
      <c r="E5" s="1" t="s">
        <v>18</v>
      </c>
      <c r="F5" s="1" t="s">
        <v>16</v>
      </c>
      <c r="G5" s="1" t="s">
        <v>18</v>
      </c>
      <c r="H5" s="1" t="s">
        <v>38</v>
      </c>
      <c r="I5" s="4" t="b">
        <f aca="false">FALSE()</f>
        <v>0</v>
      </c>
      <c r="J5" s="3" t="b">
        <f aca="false">TRUE()</f>
        <v>1</v>
      </c>
      <c r="L5" s="1" t="s">
        <v>16</v>
      </c>
      <c r="M5" s="1" t="s">
        <v>39</v>
      </c>
    </row>
    <row r="6" customFormat="false" ht="15" hidden="false" customHeight="false" outlineLevel="0" collapsed="false">
      <c r="A6" s="1" t="s">
        <v>40</v>
      </c>
      <c r="B6" s="1" t="s">
        <v>41</v>
      </c>
      <c r="C6" s="1" t="s">
        <v>42</v>
      </c>
      <c r="D6" s="1" t="s">
        <v>15</v>
      </c>
      <c r="E6" s="1" t="s">
        <v>31</v>
      </c>
      <c r="F6" s="1" t="s">
        <v>31</v>
      </c>
      <c r="G6" s="1" t="s">
        <v>43</v>
      </c>
      <c r="H6" s="1" t="s">
        <v>44</v>
      </c>
      <c r="I6" s="3" t="b">
        <f aca="false">TRUE()</f>
        <v>1</v>
      </c>
      <c r="J6" s="3" t="b">
        <f aca="false">TRUE()</f>
        <v>1</v>
      </c>
    </row>
    <row r="7" customFormat="false" ht="15" hidden="false" customHeight="false" outlineLevel="0" collapsed="false">
      <c r="A7" s="1" t="s">
        <v>45</v>
      </c>
      <c r="B7" s="1" t="s">
        <v>46</v>
      </c>
      <c r="C7" s="1" t="s">
        <v>47</v>
      </c>
      <c r="D7" s="1" t="s">
        <v>15</v>
      </c>
      <c r="E7" s="1" t="s">
        <v>18</v>
      </c>
      <c r="F7" s="1" t="s">
        <v>48</v>
      </c>
      <c r="G7" s="1" t="s">
        <v>24</v>
      </c>
      <c r="H7" s="1" t="s">
        <v>49</v>
      </c>
      <c r="I7" s="4" t="b">
        <f aca="false">FALSE()</f>
        <v>0</v>
      </c>
      <c r="J7" s="3" t="b">
        <f aca="false">FALSE()</f>
        <v>0</v>
      </c>
      <c r="L7" s="1" t="s">
        <v>48</v>
      </c>
      <c r="M7" s="1" t="s">
        <v>50</v>
      </c>
    </row>
    <row r="8" customFormat="false" ht="15" hidden="false" customHeight="false" outlineLevel="0" collapsed="false">
      <c r="A8" s="1" t="s">
        <v>51</v>
      </c>
      <c r="B8" s="1" t="s">
        <v>52</v>
      </c>
      <c r="C8" s="1" t="s">
        <v>53</v>
      </c>
      <c r="D8" s="1" t="s">
        <v>15</v>
      </c>
      <c r="E8" s="1" t="s">
        <v>54</v>
      </c>
      <c r="F8" s="1" t="s">
        <v>16</v>
      </c>
      <c r="G8" s="1" t="s">
        <v>18</v>
      </c>
      <c r="H8" s="1" t="s">
        <v>55</v>
      </c>
      <c r="I8" s="2" t="b">
        <f aca="false">FALSE()</f>
        <v>0</v>
      </c>
      <c r="J8" s="3" t="b">
        <f aca="false">FALSE()</f>
        <v>0</v>
      </c>
      <c r="L8" s="1" t="s">
        <v>18</v>
      </c>
      <c r="M8" s="1" t="s">
        <v>56</v>
      </c>
    </row>
    <row r="9" customFormat="false" ht="15" hidden="false" customHeight="false" outlineLevel="0" collapsed="false">
      <c r="A9" s="1" t="s">
        <v>57</v>
      </c>
      <c r="B9" s="1" t="s">
        <v>58</v>
      </c>
      <c r="C9" s="1" t="s">
        <v>59</v>
      </c>
      <c r="D9" s="1" t="s">
        <v>15</v>
      </c>
      <c r="E9" s="1" t="s">
        <v>54</v>
      </c>
      <c r="F9" s="1" t="s">
        <v>16</v>
      </c>
      <c r="G9" s="1" t="s">
        <v>18</v>
      </c>
      <c r="H9" s="1" t="s">
        <v>60</v>
      </c>
      <c r="I9" s="4" t="b">
        <f aca="false">FALSE()</f>
        <v>0</v>
      </c>
      <c r="J9" s="3" t="b">
        <f aca="false">FALSE()</f>
        <v>0</v>
      </c>
      <c r="L9" s="1" t="s">
        <v>16</v>
      </c>
      <c r="M9" s="1" t="s">
        <v>61</v>
      </c>
    </row>
    <row r="10" customFormat="false" ht="15" hidden="false" customHeight="false" outlineLevel="0" collapsed="false">
      <c r="A10" s="1" t="s">
        <v>62</v>
      </c>
      <c r="B10" s="1" t="s">
        <v>63</v>
      </c>
      <c r="C10" s="1" t="s">
        <v>64</v>
      </c>
      <c r="D10" s="1" t="s">
        <v>15</v>
      </c>
      <c r="E10" s="1" t="s">
        <v>31</v>
      </c>
      <c r="F10" s="1" t="s">
        <v>31</v>
      </c>
      <c r="G10" s="1" t="s">
        <v>48</v>
      </c>
      <c r="H10" s="1" t="s">
        <v>65</v>
      </c>
      <c r="I10" s="3" t="b">
        <f aca="false">TRUE()</f>
        <v>1</v>
      </c>
      <c r="J10" s="3" t="b">
        <f aca="false">TRUE()</f>
        <v>1</v>
      </c>
    </row>
    <row r="11" customFormat="false" ht="15" hidden="false" customHeight="false" outlineLevel="0" collapsed="false">
      <c r="A11" s="1" t="s">
        <v>66</v>
      </c>
      <c r="B11" s="1" t="s">
        <v>67</v>
      </c>
      <c r="C11" s="1" t="s">
        <v>68</v>
      </c>
      <c r="D11" s="1" t="s">
        <v>15</v>
      </c>
      <c r="E11" s="1" t="s">
        <v>16</v>
      </c>
      <c r="F11" s="1" t="s">
        <v>16</v>
      </c>
      <c r="G11" s="1" t="s">
        <v>43</v>
      </c>
      <c r="H11" s="1" t="s">
        <v>69</v>
      </c>
      <c r="I11" s="3" t="b">
        <f aca="false">TRUE()</f>
        <v>1</v>
      </c>
      <c r="J11" s="3" t="b">
        <f aca="false">TRUE()</f>
        <v>1</v>
      </c>
    </row>
    <row r="12" customFormat="false" ht="15" hidden="false" customHeight="false" outlineLevel="0" collapsed="false">
      <c r="A12" s="1" t="s">
        <v>70</v>
      </c>
      <c r="B12" s="1" t="s">
        <v>71</v>
      </c>
      <c r="C12" s="1" t="s">
        <v>72</v>
      </c>
      <c r="D12" s="1" t="s">
        <v>15</v>
      </c>
      <c r="E12" s="1" t="s">
        <v>31</v>
      </c>
      <c r="F12" s="1" t="s">
        <v>31</v>
      </c>
      <c r="G12" s="1" t="s">
        <v>43</v>
      </c>
      <c r="H12" s="1" t="s">
        <v>73</v>
      </c>
      <c r="I12" s="3" t="b">
        <f aca="false">TRUE()</f>
        <v>1</v>
      </c>
      <c r="J12" s="3" t="b">
        <f aca="false">TRUE()</f>
        <v>1</v>
      </c>
    </row>
    <row r="13" customFormat="false" ht="15" hidden="false" customHeight="false" outlineLevel="0" collapsed="false">
      <c r="A13" s="1" t="s">
        <v>74</v>
      </c>
      <c r="B13" s="1" t="s">
        <v>75</v>
      </c>
      <c r="C13" s="1" t="s">
        <v>76</v>
      </c>
      <c r="D13" s="1" t="s">
        <v>15</v>
      </c>
      <c r="E13" s="1" t="s">
        <v>24</v>
      </c>
      <c r="F13" s="1" t="s">
        <v>24</v>
      </c>
      <c r="G13" s="1" t="s">
        <v>25</v>
      </c>
      <c r="H13" s="1" t="s">
        <v>77</v>
      </c>
      <c r="I13" s="3" t="b">
        <f aca="false">TRUE()</f>
        <v>1</v>
      </c>
      <c r="J13" s="3" t="b">
        <f aca="false">TRUE()</f>
        <v>1</v>
      </c>
    </row>
    <row r="14" customFormat="false" ht="15" hidden="false" customHeight="false" outlineLevel="0" collapsed="false">
      <c r="A14" s="1" t="s">
        <v>78</v>
      </c>
      <c r="B14" s="1" t="s">
        <v>79</v>
      </c>
      <c r="C14" s="1" t="s">
        <v>80</v>
      </c>
      <c r="D14" s="1" t="s">
        <v>15</v>
      </c>
      <c r="E14" s="1" t="s">
        <v>43</v>
      </c>
      <c r="F14" s="1" t="s">
        <v>43</v>
      </c>
      <c r="G14" s="1" t="s">
        <v>48</v>
      </c>
      <c r="H14" s="1" t="s">
        <v>81</v>
      </c>
      <c r="I14" s="3" t="b">
        <f aca="false">TRUE()</f>
        <v>1</v>
      </c>
      <c r="J14" s="3" t="b">
        <f aca="false">TRUE()</f>
        <v>1</v>
      </c>
    </row>
    <row r="15" customFormat="false" ht="15" hidden="false" customHeight="false" outlineLevel="0" collapsed="false">
      <c r="A15" s="1" t="s">
        <v>82</v>
      </c>
      <c r="B15" s="1" t="s">
        <v>83</v>
      </c>
      <c r="C15" s="1" t="s">
        <v>84</v>
      </c>
      <c r="D15" s="1" t="s">
        <v>15</v>
      </c>
      <c r="E15" s="1" t="s">
        <v>48</v>
      </c>
      <c r="F15" s="1" t="s">
        <v>48</v>
      </c>
      <c r="G15" s="1" t="s">
        <v>43</v>
      </c>
      <c r="H15" s="1" t="s">
        <v>85</v>
      </c>
      <c r="I15" s="3" t="b">
        <f aca="false">TRUE()</f>
        <v>1</v>
      </c>
      <c r="J15" s="3" t="b">
        <f aca="false">TRUE()</f>
        <v>1</v>
      </c>
    </row>
    <row r="16" customFormat="false" ht="15" hidden="false" customHeight="false" outlineLevel="0" collapsed="false">
      <c r="A16" s="1" t="s">
        <v>86</v>
      </c>
      <c r="B16" s="1" t="s">
        <v>87</v>
      </c>
      <c r="C16" s="1" t="s">
        <v>88</v>
      </c>
      <c r="D16" s="1" t="s">
        <v>15</v>
      </c>
      <c r="E16" s="1" t="s">
        <v>43</v>
      </c>
      <c r="F16" s="1" t="s">
        <v>43</v>
      </c>
      <c r="G16" s="1" t="s">
        <v>48</v>
      </c>
      <c r="H16" s="1" t="s">
        <v>89</v>
      </c>
      <c r="I16" s="3" t="b">
        <f aca="false">TRUE()</f>
        <v>1</v>
      </c>
      <c r="J16" s="3" t="b">
        <f aca="false">TRUE()</f>
        <v>1</v>
      </c>
    </row>
    <row r="17" customFormat="false" ht="15" hidden="false" customHeight="false" outlineLevel="0" collapsed="false">
      <c r="A17" s="1" t="s">
        <v>90</v>
      </c>
      <c r="B17" s="1" t="s">
        <v>91</v>
      </c>
      <c r="C17" s="1" t="s">
        <v>92</v>
      </c>
      <c r="D17" s="1" t="s">
        <v>15</v>
      </c>
      <c r="E17" s="1" t="s">
        <v>24</v>
      </c>
      <c r="F17" s="1" t="s">
        <v>24</v>
      </c>
      <c r="G17" s="1" t="s">
        <v>43</v>
      </c>
      <c r="H17" s="1" t="s">
        <v>93</v>
      </c>
      <c r="I17" s="3" t="b">
        <f aca="false">TRUE()</f>
        <v>1</v>
      </c>
      <c r="J17" s="3" t="b">
        <f aca="false">TRUE()</f>
        <v>1</v>
      </c>
    </row>
    <row r="18" customFormat="false" ht="15" hidden="false" customHeight="false" outlineLevel="0" collapsed="false">
      <c r="A18" s="1" t="s">
        <v>94</v>
      </c>
      <c r="B18" s="1" t="s">
        <v>95</v>
      </c>
      <c r="C18" s="1" t="s">
        <v>96</v>
      </c>
      <c r="D18" s="1" t="s">
        <v>15</v>
      </c>
      <c r="E18" s="1" t="s">
        <v>16</v>
      </c>
      <c r="F18" s="1" t="s">
        <v>16</v>
      </c>
      <c r="G18" s="1" t="s">
        <v>17</v>
      </c>
      <c r="H18" s="1" t="s">
        <v>97</v>
      </c>
      <c r="I18" s="3" t="b">
        <f aca="false">TRUE()</f>
        <v>1</v>
      </c>
      <c r="J18" s="3" t="b">
        <f aca="false">TRUE()</f>
        <v>1</v>
      </c>
    </row>
    <row r="19" customFormat="false" ht="15" hidden="false" customHeight="false" outlineLevel="0" collapsed="false">
      <c r="A19" s="1" t="s">
        <v>98</v>
      </c>
      <c r="B19" s="1" t="s">
        <v>99</v>
      </c>
      <c r="C19" s="1" t="s">
        <v>100</v>
      </c>
      <c r="D19" s="1" t="s">
        <v>15</v>
      </c>
      <c r="E19" s="1" t="s">
        <v>17</v>
      </c>
      <c r="F19" s="1" t="s">
        <v>17</v>
      </c>
      <c r="G19" s="1" t="s">
        <v>25</v>
      </c>
      <c r="H19" s="1" t="s">
        <v>101</v>
      </c>
      <c r="I19" s="3" t="b">
        <f aca="false">TRUE()</f>
        <v>1</v>
      </c>
      <c r="J19" s="3" t="b">
        <f aca="false">TRUE()</f>
        <v>1</v>
      </c>
    </row>
    <row r="20" customFormat="false" ht="15" hidden="false" customHeight="false" outlineLevel="0" collapsed="false">
      <c r="A20" s="1" t="s">
        <v>102</v>
      </c>
      <c r="B20" s="1" t="s">
        <v>103</v>
      </c>
      <c r="C20" s="1" t="s">
        <v>104</v>
      </c>
      <c r="D20" s="1" t="s">
        <v>15</v>
      </c>
      <c r="E20" s="1" t="s">
        <v>31</v>
      </c>
      <c r="F20" s="1" t="s">
        <v>31</v>
      </c>
      <c r="G20" s="1" t="s">
        <v>43</v>
      </c>
      <c r="H20" s="1" t="s">
        <v>105</v>
      </c>
      <c r="I20" s="3" t="b">
        <f aca="false">TRUE()</f>
        <v>1</v>
      </c>
      <c r="J20" s="3" t="b">
        <f aca="false">TRUE()</f>
        <v>1</v>
      </c>
    </row>
    <row r="21" customFormat="false" ht="15" hidden="false" customHeight="false" outlineLevel="0" collapsed="false">
      <c r="A21" s="1" t="s">
        <v>106</v>
      </c>
      <c r="B21" s="1" t="s">
        <v>107</v>
      </c>
      <c r="C21" s="1" t="s">
        <v>108</v>
      </c>
      <c r="D21" s="1" t="s">
        <v>15</v>
      </c>
      <c r="E21" s="1" t="s">
        <v>25</v>
      </c>
      <c r="F21" s="1" t="s">
        <v>17</v>
      </c>
      <c r="G21" s="1" t="s">
        <v>109</v>
      </c>
      <c r="H21" s="1" t="s">
        <v>110</v>
      </c>
      <c r="I21" s="4" t="b">
        <f aca="false">FALSE()</f>
        <v>0</v>
      </c>
      <c r="J21" s="3" t="b">
        <f aca="false">FALSE()</f>
        <v>0</v>
      </c>
      <c r="L21" s="5" t="s">
        <v>17</v>
      </c>
      <c r="M21" s="1" t="s">
        <v>111</v>
      </c>
    </row>
    <row r="22" customFormat="false" ht="15" hidden="false" customHeight="false" outlineLevel="0" collapsed="false">
      <c r="A22" s="1" t="s">
        <v>112</v>
      </c>
      <c r="B22" s="1" t="s">
        <v>113</v>
      </c>
      <c r="C22" s="1" t="s">
        <v>114</v>
      </c>
      <c r="D22" s="1" t="s">
        <v>15</v>
      </c>
      <c r="E22" s="1" t="s">
        <v>24</v>
      </c>
      <c r="F22" s="1" t="s">
        <v>24</v>
      </c>
      <c r="G22" s="1" t="s">
        <v>25</v>
      </c>
      <c r="H22" s="1" t="s">
        <v>115</v>
      </c>
      <c r="I22" s="3" t="b">
        <f aca="false">TRUE()</f>
        <v>1</v>
      </c>
      <c r="J22" s="3" t="b">
        <f aca="false">TRUE()</f>
        <v>1</v>
      </c>
    </row>
    <row r="23" customFormat="false" ht="15" hidden="false" customHeight="false" outlineLevel="0" collapsed="false">
      <c r="A23" s="1" t="s">
        <v>116</v>
      </c>
      <c r="B23" s="1" t="s">
        <v>117</v>
      </c>
      <c r="C23" s="1" t="s">
        <v>118</v>
      </c>
      <c r="D23" s="1" t="s">
        <v>15</v>
      </c>
      <c r="E23" s="1" t="s">
        <v>17</v>
      </c>
      <c r="F23" s="1" t="s">
        <v>43</v>
      </c>
      <c r="G23" s="1" t="s">
        <v>109</v>
      </c>
      <c r="H23" s="1" t="s">
        <v>119</v>
      </c>
      <c r="I23" s="4" t="b">
        <f aca="false">FALSE()</f>
        <v>0</v>
      </c>
      <c r="J23" s="3" t="b">
        <f aca="false">FALSE()</f>
        <v>0</v>
      </c>
      <c r="L23" s="1" t="s">
        <v>43</v>
      </c>
      <c r="M23" s="1" t="s">
        <v>120</v>
      </c>
    </row>
    <row r="24" customFormat="false" ht="15" hidden="false" customHeight="false" outlineLevel="0" collapsed="false">
      <c r="A24" s="1" t="s">
        <v>121</v>
      </c>
      <c r="B24" s="1" t="s">
        <v>122</v>
      </c>
      <c r="C24" s="1" t="s">
        <v>123</v>
      </c>
      <c r="D24" s="1" t="s">
        <v>15</v>
      </c>
      <c r="E24" s="1" t="s">
        <v>16</v>
      </c>
      <c r="F24" s="1" t="s">
        <v>16</v>
      </c>
      <c r="G24" s="1" t="s">
        <v>18</v>
      </c>
      <c r="H24" s="1" t="s">
        <v>124</v>
      </c>
      <c r="I24" s="3" t="b">
        <f aca="false">TRUE()</f>
        <v>1</v>
      </c>
      <c r="J24" s="3" t="b">
        <f aca="false">TRUE()</f>
        <v>1</v>
      </c>
    </row>
    <row r="25" customFormat="false" ht="15" hidden="false" customHeight="false" outlineLevel="0" collapsed="false">
      <c r="A25" s="1" t="s">
        <v>125</v>
      </c>
      <c r="B25" s="1" t="s">
        <v>126</v>
      </c>
      <c r="C25" s="1" t="s">
        <v>127</v>
      </c>
      <c r="D25" s="1" t="s">
        <v>15</v>
      </c>
      <c r="E25" s="1" t="s">
        <v>16</v>
      </c>
      <c r="F25" s="1" t="s">
        <v>16</v>
      </c>
      <c r="G25" s="1" t="s">
        <v>17</v>
      </c>
      <c r="H25" s="1" t="s">
        <v>128</v>
      </c>
      <c r="I25" s="3" t="b">
        <f aca="false">TRUE()</f>
        <v>1</v>
      </c>
      <c r="J25" s="3" t="b">
        <f aca="false">TRUE()</f>
        <v>1</v>
      </c>
    </row>
    <row r="26" customFormat="false" ht="15" hidden="false" customHeight="false" outlineLevel="0" collapsed="false">
      <c r="A26" s="1" t="s">
        <v>129</v>
      </c>
      <c r="B26" s="1" t="s">
        <v>130</v>
      </c>
      <c r="C26" s="1" t="s">
        <v>131</v>
      </c>
      <c r="D26" s="1" t="s">
        <v>15</v>
      </c>
      <c r="E26" s="1" t="s">
        <v>25</v>
      </c>
      <c r="F26" s="1" t="s">
        <v>25</v>
      </c>
      <c r="G26" s="1" t="s">
        <v>17</v>
      </c>
      <c r="H26" s="1" t="s">
        <v>132</v>
      </c>
      <c r="I26" s="3" t="b">
        <f aca="false">TRUE()</f>
        <v>1</v>
      </c>
      <c r="J26" s="3" t="b">
        <f aca="false">TRUE()</f>
        <v>1</v>
      </c>
    </row>
    <row r="27" customFormat="false" ht="15" hidden="false" customHeight="false" outlineLevel="0" collapsed="false">
      <c r="A27" s="1" t="s">
        <v>133</v>
      </c>
      <c r="B27" s="1" t="s">
        <v>134</v>
      </c>
      <c r="C27" s="1" t="s">
        <v>135</v>
      </c>
      <c r="D27" s="1" t="s">
        <v>15</v>
      </c>
      <c r="E27" s="1" t="s">
        <v>32</v>
      </c>
      <c r="F27" s="1" t="s">
        <v>48</v>
      </c>
      <c r="G27" s="1" t="s">
        <v>43</v>
      </c>
      <c r="H27" s="1" t="s">
        <v>136</v>
      </c>
      <c r="I27" s="4" t="b">
        <f aca="false">FALSE()</f>
        <v>0</v>
      </c>
      <c r="J27" s="3" t="b">
        <f aca="false">FALSE()</f>
        <v>0</v>
      </c>
      <c r="M27" s="1" t="s">
        <v>137</v>
      </c>
    </row>
    <row r="28" customFormat="false" ht="15" hidden="false" customHeight="false" outlineLevel="0" collapsed="false">
      <c r="A28" s="1" t="s">
        <v>138</v>
      </c>
      <c r="B28" s="1" t="s">
        <v>139</v>
      </c>
      <c r="C28" s="1" t="s">
        <v>140</v>
      </c>
      <c r="D28" s="1" t="s">
        <v>15</v>
      </c>
      <c r="E28" s="1" t="s">
        <v>43</v>
      </c>
      <c r="F28" s="1" t="s">
        <v>43</v>
      </c>
      <c r="G28" s="1" t="s">
        <v>48</v>
      </c>
      <c r="H28" s="1" t="s">
        <v>141</v>
      </c>
      <c r="I28" s="3" t="b">
        <f aca="false">TRUE()</f>
        <v>1</v>
      </c>
      <c r="J28" s="3" t="b">
        <f aca="false">TRUE()</f>
        <v>1</v>
      </c>
    </row>
    <row r="29" customFormat="false" ht="15" hidden="false" customHeight="false" outlineLevel="0" collapsed="false">
      <c r="A29" s="1" t="s">
        <v>142</v>
      </c>
      <c r="B29" s="1" t="s">
        <v>143</v>
      </c>
      <c r="C29" s="1" t="s">
        <v>144</v>
      </c>
      <c r="D29" s="1" t="s">
        <v>15</v>
      </c>
      <c r="E29" s="1" t="s">
        <v>16</v>
      </c>
      <c r="F29" s="1" t="s">
        <v>16</v>
      </c>
      <c r="G29" s="1" t="s">
        <v>17</v>
      </c>
      <c r="H29" s="1" t="s">
        <v>145</v>
      </c>
      <c r="I29" s="3" t="b">
        <f aca="false">TRUE()</f>
        <v>1</v>
      </c>
      <c r="J29" s="3" t="b">
        <f aca="false">TRUE()</f>
        <v>1</v>
      </c>
    </row>
    <row r="30" customFormat="false" ht="15" hidden="false" customHeight="false" outlineLevel="0" collapsed="false">
      <c r="A30" s="1" t="s">
        <v>146</v>
      </c>
      <c r="B30" s="1" t="s">
        <v>147</v>
      </c>
      <c r="C30" s="1" t="s">
        <v>148</v>
      </c>
      <c r="D30" s="1" t="s">
        <v>15</v>
      </c>
      <c r="E30" s="1" t="s">
        <v>43</v>
      </c>
      <c r="F30" s="1" t="s">
        <v>48</v>
      </c>
      <c r="G30" s="1" t="s">
        <v>43</v>
      </c>
      <c r="H30" s="1" t="s">
        <v>149</v>
      </c>
      <c r="I30" s="2" t="b">
        <f aca="false">FALSE()</f>
        <v>0</v>
      </c>
      <c r="J30" s="3" t="b">
        <f aca="false">TRUE()</f>
        <v>1</v>
      </c>
      <c r="M30" s="1" t="s">
        <v>150</v>
      </c>
    </row>
    <row r="31" customFormat="false" ht="15" hidden="false" customHeight="false" outlineLevel="0" collapsed="false">
      <c r="A31" s="1" t="s">
        <v>151</v>
      </c>
      <c r="B31" s="1" t="s">
        <v>152</v>
      </c>
      <c r="C31" s="1" t="s">
        <v>153</v>
      </c>
      <c r="D31" s="1" t="s">
        <v>15</v>
      </c>
      <c r="E31" s="1" t="s">
        <v>43</v>
      </c>
      <c r="F31" s="1" t="s">
        <v>43</v>
      </c>
      <c r="G31" s="1" t="s">
        <v>48</v>
      </c>
      <c r="H31" s="1" t="s">
        <v>154</v>
      </c>
      <c r="I31" s="3" t="b">
        <f aca="false">TRUE()</f>
        <v>1</v>
      </c>
      <c r="J31" s="3" t="b">
        <f aca="false">TRUE()</f>
        <v>1</v>
      </c>
    </row>
    <row r="32" customFormat="false" ht="15" hidden="false" customHeight="false" outlineLevel="0" collapsed="false">
      <c r="A32" s="1" t="s">
        <v>155</v>
      </c>
      <c r="B32" s="1" t="s">
        <v>156</v>
      </c>
      <c r="C32" s="1" t="s">
        <v>157</v>
      </c>
      <c r="D32" s="1" t="s">
        <v>15</v>
      </c>
      <c r="E32" s="1" t="s">
        <v>43</v>
      </c>
      <c r="F32" s="1" t="s">
        <v>43</v>
      </c>
      <c r="G32" s="1" t="s">
        <v>48</v>
      </c>
      <c r="H32" s="1" t="s">
        <v>158</v>
      </c>
      <c r="I32" s="3" t="b">
        <f aca="false">TRUE()</f>
        <v>1</v>
      </c>
      <c r="J32" s="3" t="b">
        <f aca="false">TRUE()</f>
        <v>1</v>
      </c>
    </row>
    <row r="33" customFormat="false" ht="15" hidden="false" customHeight="false" outlineLevel="0" collapsed="false">
      <c r="A33" s="1" t="s">
        <v>159</v>
      </c>
      <c r="B33" s="1" t="s">
        <v>160</v>
      </c>
      <c r="C33" s="1" t="s">
        <v>161</v>
      </c>
      <c r="D33" s="1" t="s">
        <v>15</v>
      </c>
      <c r="E33" s="1" t="s">
        <v>24</v>
      </c>
      <c r="F33" s="1" t="s">
        <v>24</v>
      </c>
      <c r="G33" s="1" t="s">
        <v>25</v>
      </c>
      <c r="H33" s="1" t="s">
        <v>162</v>
      </c>
      <c r="I33" s="3" t="b">
        <f aca="false">TRUE()</f>
        <v>1</v>
      </c>
      <c r="J33" s="3" t="b">
        <f aca="false">TRUE()</f>
        <v>1</v>
      </c>
    </row>
    <row r="34" customFormat="false" ht="15" hidden="false" customHeight="false" outlineLevel="0" collapsed="false">
      <c r="A34" s="1" t="s">
        <v>163</v>
      </c>
      <c r="B34" s="1" t="s">
        <v>164</v>
      </c>
      <c r="C34" s="1" t="s">
        <v>165</v>
      </c>
      <c r="D34" s="1" t="s">
        <v>15</v>
      </c>
      <c r="E34" s="1" t="s">
        <v>24</v>
      </c>
      <c r="F34" s="1" t="s">
        <v>24</v>
      </c>
      <c r="G34" s="1" t="s">
        <v>18</v>
      </c>
      <c r="H34" s="1" t="s">
        <v>166</v>
      </c>
      <c r="I34" s="3" t="b">
        <f aca="false">TRUE()</f>
        <v>1</v>
      </c>
      <c r="J34" s="3" t="b">
        <f aca="false">TRUE()</f>
        <v>1</v>
      </c>
    </row>
    <row r="35" customFormat="false" ht="15" hidden="false" customHeight="false" outlineLevel="0" collapsed="false">
      <c r="A35" s="1" t="s">
        <v>167</v>
      </c>
      <c r="B35" s="1" t="s">
        <v>168</v>
      </c>
      <c r="C35" s="1" t="s">
        <v>169</v>
      </c>
      <c r="D35" s="1" t="s">
        <v>15</v>
      </c>
      <c r="E35" s="1" t="s">
        <v>32</v>
      </c>
      <c r="F35" s="1" t="s">
        <v>32</v>
      </c>
      <c r="G35" s="1" t="s">
        <v>43</v>
      </c>
      <c r="H35" s="1" t="s">
        <v>170</v>
      </c>
      <c r="I35" s="3" t="b">
        <f aca="false">TRUE()</f>
        <v>1</v>
      </c>
      <c r="J35" s="3" t="b">
        <f aca="false">TRUE()</f>
        <v>1</v>
      </c>
    </row>
    <row r="36" customFormat="false" ht="15" hidden="false" customHeight="false" outlineLevel="0" collapsed="false">
      <c r="A36" s="1" t="s">
        <v>171</v>
      </c>
      <c r="B36" s="1" t="s">
        <v>172</v>
      </c>
      <c r="C36" s="1" t="s">
        <v>173</v>
      </c>
      <c r="D36" s="1" t="s">
        <v>15</v>
      </c>
      <c r="E36" s="1" t="s">
        <v>18</v>
      </c>
      <c r="F36" s="1" t="s">
        <v>25</v>
      </c>
      <c r="G36" s="1" t="s">
        <v>18</v>
      </c>
      <c r="H36" s="1" t="s">
        <v>174</v>
      </c>
      <c r="I36" s="2" t="b">
        <f aca="false">FALSE()</f>
        <v>0</v>
      </c>
      <c r="J36" s="3" t="b">
        <f aca="false">TRUE()</f>
        <v>1</v>
      </c>
      <c r="M36" s="1" t="s">
        <v>175</v>
      </c>
    </row>
    <row r="37" customFormat="false" ht="15" hidden="false" customHeight="false" outlineLevel="0" collapsed="false">
      <c r="A37" s="1" t="s">
        <v>176</v>
      </c>
      <c r="B37" s="1" t="s">
        <v>177</v>
      </c>
      <c r="C37" s="1" t="s">
        <v>178</v>
      </c>
      <c r="D37" s="1" t="s">
        <v>15</v>
      </c>
      <c r="E37" s="1" t="s">
        <v>54</v>
      </c>
      <c r="F37" s="1" t="s">
        <v>16</v>
      </c>
      <c r="G37" s="1" t="s">
        <v>17</v>
      </c>
      <c r="H37" s="1" t="s">
        <v>179</v>
      </c>
      <c r="I37" s="4" t="b">
        <f aca="false">FALSE()</f>
        <v>0</v>
      </c>
      <c r="J37" s="3" t="b">
        <f aca="false">FALSE()</f>
        <v>0</v>
      </c>
      <c r="L37" s="1" t="s">
        <v>16</v>
      </c>
      <c r="M37" s="1" t="s">
        <v>180</v>
      </c>
    </row>
    <row r="38" customFormat="false" ht="15" hidden="false" customHeight="false" outlineLevel="0" collapsed="false">
      <c r="A38" s="1" t="s">
        <v>181</v>
      </c>
      <c r="B38" s="1" t="s">
        <v>182</v>
      </c>
      <c r="C38" s="1" t="s">
        <v>183</v>
      </c>
      <c r="D38" s="1" t="s">
        <v>15</v>
      </c>
      <c r="E38" s="1" t="s">
        <v>43</v>
      </c>
      <c r="F38" s="1" t="s">
        <v>43</v>
      </c>
      <c r="G38" s="1" t="s">
        <v>48</v>
      </c>
      <c r="H38" s="1" t="s">
        <v>184</v>
      </c>
      <c r="I38" s="3" t="b">
        <f aca="false">TRUE()</f>
        <v>1</v>
      </c>
      <c r="J38" s="3" t="b">
        <f aca="false">TRUE()</f>
        <v>1</v>
      </c>
    </row>
    <row r="39" customFormat="false" ht="15" hidden="false" customHeight="false" outlineLevel="0" collapsed="false">
      <c r="A39" s="1" t="s">
        <v>185</v>
      </c>
      <c r="B39" s="1" t="s">
        <v>186</v>
      </c>
      <c r="C39" s="1" t="s">
        <v>187</v>
      </c>
      <c r="D39" s="1" t="s">
        <v>15</v>
      </c>
      <c r="E39" s="1" t="s">
        <v>31</v>
      </c>
      <c r="F39" s="1" t="s">
        <v>31</v>
      </c>
      <c r="G39" s="1" t="s">
        <v>43</v>
      </c>
      <c r="H39" s="1" t="s">
        <v>188</v>
      </c>
      <c r="I39" s="3" t="b">
        <f aca="false">TRUE()</f>
        <v>1</v>
      </c>
      <c r="J39" s="3" t="b">
        <f aca="false">TRUE()</f>
        <v>1</v>
      </c>
    </row>
    <row r="40" customFormat="false" ht="15" hidden="false" customHeight="false" outlineLevel="0" collapsed="false">
      <c r="A40" s="1" t="s">
        <v>189</v>
      </c>
      <c r="B40" s="1" t="s">
        <v>190</v>
      </c>
      <c r="C40" s="1" t="s">
        <v>191</v>
      </c>
      <c r="D40" s="1" t="s">
        <v>15</v>
      </c>
      <c r="E40" s="1" t="s">
        <v>18</v>
      </c>
      <c r="F40" s="1" t="s">
        <v>18</v>
      </c>
      <c r="G40" s="1" t="s">
        <v>43</v>
      </c>
      <c r="H40" s="1" t="s">
        <v>192</v>
      </c>
      <c r="I40" s="3" t="b">
        <f aca="false">TRUE()</f>
        <v>1</v>
      </c>
      <c r="J40" s="3" t="b">
        <f aca="false">TRUE()</f>
        <v>1</v>
      </c>
    </row>
    <row r="41" customFormat="false" ht="15" hidden="false" customHeight="false" outlineLevel="0" collapsed="false">
      <c r="A41" s="1" t="s">
        <v>193</v>
      </c>
      <c r="B41" s="1" t="s">
        <v>194</v>
      </c>
      <c r="C41" s="1" t="s">
        <v>195</v>
      </c>
      <c r="D41" s="1" t="s">
        <v>15</v>
      </c>
      <c r="E41" s="1" t="s">
        <v>43</v>
      </c>
      <c r="F41" s="1" t="s">
        <v>43</v>
      </c>
      <c r="G41" s="1" t="s">
        <v>48</v>
      </c>
      <c r="H41" s="1" t="s">
        <v>196</v>
      </c>
      <c r="I41" s="3" t="b">
        <f aca="false">TRUE()</f>
        <v>1</v>
      </c>
      <c r="J41" s="3" t="b">
        <f aca="false">TRUE()</f>
        <v>1</v>
      </c>
    </row>
    <row r="42" customFormat="false" ht="15" hidden="false" customHeight="false" outlineLevel="0" collapsed="false">
      <c r="A42" s="1" t="s">
        <v>197</v>
      </c>
      <c r="B42" s="1" t="s">
        <v>198</v>
      </c>
      <c r="C42" s="1" t="s">
        <v>199</v>
      </c>
      <c r="D42" s="1" t="s">
        <v>15</v>
      </c>
      <c r="E42" s="1" t="s">
        <v>18</v>
      </c>
      <c r="F42" s="1" t="s">
        <v>18</v>
      </c>
      <c r="G42" s="1" t="s">
        <v>24</v>
      </c>
      <c r="H42" s="1" t="s">
        <v>200</v>
      </c>
      <c r="I42" s="3" t="b">
        <f aca="false">TRUE()</f>
        <v>1</v>
      </c>
      <c r="J42" s="3" t="b">
        <f aca="false">TRUE()</f>
        <v>1</v>
      </c>
    </row>
    <row r="43" customFormat="false" ht="15" hidden="false" customHeight="false" outlineLevel="0" collapsed="false">
      <c r="A43" s="1" t="s">
        <v>201</v>
      </c>
      <c r="B43" s="1" t="s">
        <v>202</v>
      </c>
      <c r="C43" s="1" t="s">
        <v>203</v>
      </c>
      <c r="D43" s="1" t="s">
        <v>15</v>
      </c>
      <c r="E43" s="1" t="s">
        <v>48</v>
      </c>
      <c r="F43" s="1" t="s">
        <v>48</v>
      </c>
      <c r="G43" s="1" t="s">
        <v>25</v>
      </c>
      <c r="H43" s="1" t="s">
        <v>204</v>
      </c>
      <c r="I43" s="3" t="b">
        <f aca="false">TRUE()</f>
        <v>1</v>
      </c>
      <c r="J43" s="3" t="b">
        <f aca="false">TRUE()</f>
        <v>1</v>
      </c>
    </row>
    <row r="44" customFormat="false" ht="15" hidden="false" customHeight="false" outlineLevel="0" collapsed="false">
      <c r="A44" s="1" t="s">
        <v>205</v>
      </c>
      <c r="B44" s="1" t="s">
        <v>206</v>
      </c>
      <c r="C44" s="1" t="s">
        <v>207</v>
      </c>
      <c r="D44" s="1" t="s">
        <v>15</v>
      </c>
      <c r="E44" s="1" t="s">
        <v>18</v>
      </c>
      <c r="F44" s="1" t="s">
        <v>25</v>
      </c>
      <c r="G44" s="1" t="s">
        <v>24</v>
      </c>
      <c r="H44" s="1" t="s">
        <v>208</v>
      </c>
      <c r="I44" s="2" t="b">
        <f aca="false">FALSE()</f>
        <v>0</v>
      </c>
      <c r="J44" s="3" t="b">
        <f aca="false">FALSE()</f>
        <v>0</v>
      </c>
      <c r="M44" s="1" t="s">
        <v>209</v>
      </c>
    </row>
    <row r="45" customFormat="false" ht="15" hidden="false" customHeight="false" outlineLevel="0" collapsed="false">
      <c r="A45" s="1" t="s">
        <v>210</v>
      </c>
      <c r="B45" s="1" t="s">
        <v>211</v>
      </c>
      <c r="C45" s="1" t="s">
        <v>212</v>
      </c>
      <c r="D45" s="1" t="s">
        <v>15</v>
      </c>
      <c r="E45" s="1" t="s">
        <v>25</v>
      </c>
      <c r="F45" s="1" t="s">
        <v>25</v>
      </c>
      <c r="G45" s="1" t="s">
        <v>18</v>
      </c>
      <c r="H45" s="1" t="s">
        <v>213</v>
      </c>
      <c r="I45" s="3" t="b">
        <f aca="false">TRUE()</f>
        <v>1</v>
      </c>
      <c r="J45" s="3" t="b">
        <f aca="false">TRUE()</f>
        <v>1</v>
      </c>
    </row>
    <row r="46" customFormat="false" ht="15" hidden="false" customHeight="false" outlineLevel="0" collapsed="false">
      <c r="A46" s="1" t="s">
        <v>214</v>
      </c>
      <c r="B46" s="1" t="s">
        <v>215</v>
      </c>
      <c r="C46" s="1" t="s">
        <v>216</v>
      </c>
      <c r="D46" s="1" t="s">
        <v>15</v>
      </c>
      <c r="E46" s="1" t="s">
        <v>43</v>
      </c>
      <c r="F46" s="1" t="s">
        <v>32</v>
      </c>
      <c r="G46" s="1" t="s">
        <v>43</v>
      </c>
      <c r="H46" s="1" t="s">
        <v>217</v>
      </c>
      <c r="I46" s="2" t="b">
        <f aca="false">FALSE()</f>
        <v>0</v>
      </c>
      <c r="J46" s="3" t="b">
        <f aca="false">TRUE()</f>
        <v>1</v>
      </c>
      <c r="M46" s="1" t="s">
        <v>218</v>
      </c>
    </row>
    <row r="47" customFormat="false" ht="15" hidden="false" customHeight="false" outlineLevel="0" collapsed="false">
      <c r="A47" s="1" t="s">
        <v>219</v>
      </c>
      <c r="B47" s="1" t="s">
        <v>220</v>
      </c>
      <c r="C47" s="1" t="s">
        <v>221</v>
      </c>
      <c r="D47" s="1" t="s">
        <v>15</v>
      </c>
      <c r="E47" s="1" t="s">
        <v>25</v>
      </c>
      <c r="F47" s="1" t="s">
        <v>25</v>
      </c>
      <c r="G47" s="1" t="s">
        <v>43</v>
      </c>
      <c r="H47" s="1" t="s">
        <v>222</v>
      </c>
      <c r="I47" s="3" t="b">
        <f aca="false">TRUE()</f>
        <v>1</v>
      </c>
      <c r="J47" s="3" t="b">
        <f aca="false">TRUE()</f>
        <v>1</v>
      </c>
    </row>
    <row r="48" customFormat="false" ht="15" hidden="false" customHeight="false" outlineLevel="0" collapsed="false">
      <c r="A48" s="1" t="s">
        <v>223</v>
      </c>
      <c r="B48" s="1" t="s">
        <v>224</v>
      </c>
      <c r="C48" s="1" t="s">
        <v>225</v>
      </c>
      <c r="D48" s="1" t="s">
        <v>15</v>
      </c>
      <c r="E48" s="1" t="s">
        <v>31</v>
      </c>
      <c r="F48" s="1" t="s">
        <v>31</v>
      </c>
      <c r="G48" s="1" t="s">
        <v>48</v>
      </c>
      <c r="H48" s="1" t="s">
        <v>226</v>
      </c>
      <c r="I48" s="3" t="b">
        <f aca="false">TRUE()</f>
        <v>1</v>
      </c>
      <c r="J48" s="3" t="b">
        <f aca="false">TRUE()</f>
        <v>1</v>
      </c>
    </row>
    <row r="49" customFormat="false" ht="15" hidden="false" customHeight="false" outlineLevel="0" collapsed="false">
      <c r="A49" s="1" t="s">
        <v>227</v>
      </c>
      <c r="B49" s="1" t="s">
        <v>228</v>
      </c>
      <c r="C49" s="1" t="s">
        <v>229</v>
      </c>
      <c r="D49" s="1" t="s">
        <v>15</v>
      </c>
      <c r="E49" s="1" t="s">
        <v>24</v>
      </c>
      <c r="F49" s="1" t="s">
        <v>24</v>
      </c>
      <c r="G49" s="1" t="s">
        <v>25</v>
      </c>
      <c r="H49" s="1" t="s">
        <v>230</v>
      </c>
      <c r="I49" s="3" t="b">
        <f aca="false">TRUE()</f>
        <v>1</v>
      </c>
      <c r="J49" s="3" t="b">
        <f aca="false">TRUE()</f>
        <v>1</v>
      </c>
    </row>
    <row r="50" customFormat="false" ht="15" hidden="false" customHeight="false" outlineLevel="0" collapsed="false">
      <c r="A50" s="1" t="s">
        <v>231</v>
      </c>
      <c r="B50" s="1" t="s">
        <v>232</v>
      </c>
      <c r="C50" s="1" t="s">
        <v>233</v>
      </c>
      <c r="D50" s="1" t="s">
        <v>15</v>
      </c>
      <c r="E50" s="1" t="s">
        <v>48</v>
      </c>
      <c r="F50" s="1" t="s">
        <v>48</v>
      </c>
      <c r="G50" s="1" t="s">
        <v>24</v>
      </c>
      <c r="H50" s="1" t="s">
        <v>234</v>
      </c>
      <c r="I50" s="3" t="b">
        <f aca="false">TRUE()</f>
        <v>1</v>
      </c>
      <c r="J50" s="3" t="b">
        <f aca="false">TRUE()</f>
        <v>1</v>
      </c>
    </row>
    <row r="51" customFormat="false" ht="15" hidden="false" customHeight="false" outlineLevel="0" collapsed="false">
      <c r="A51" s="1" t="s">
        <v>235</v>
      </c>
      <c r="B51" s="1" t="s">
        <v>236</v>
      </c>
      <c r="C51" s="1" t="s">
        <v>237</v>
      </c>
      <c r="D51" s="1" t="s">
        <v>15</v>
      </c>
      <c r="E51" s="1" t="s">
        <v>31</v>
      </c>
      <c r="F51" s="1" t="s">
        <v>31</v>
      </c>
      <c r="G51" s="1" t="s">
        <v>48</v>
      </c>
      <c r="H51" s="1" t="s">
        <v>238</v>
      </c>
      <c r="I51" s="3" t="b">
        <f aca="false">TRUE()</f>
        <v>1</v>
      </c>
      <c r="J51" s="3" t="b">
        <f aca="false">TRUE()</f>
        <v>1</v>
      </c>
    </row>
    <row r="52" customFormat="false" ht="15" hidden="false" customHeight="false" outlineLevel="0" collapsed="false">
      <c r="A52" s="1" t="s">
        <v>239</v>
      </c>
      <c r="B52" s="1" t="s">
        <v>240</v>
      </c>
      <c r="C52" s="1" t="s">
        <v>241</v>
      </c>
      <c r="D52" s="1" t="s">
        <v>15</v>
      </c>
      <c r="E52" s="1" t="s">
        <v>43</v>
      </c>
      <c r="F52" s="1" t="s">
        <v>43</v>
      </c>
      <c r="G52" s="1" t="s">
        <v>31</v>
      </c>
      <c r="H52" s="1" t="s">
        <v>242</v>
      </c>
      <c r="I52" s="3" t="b">
        <f aca="false">TRUE()</f>
        <v>1</v>
      </c>
      <c r="J52" s="3" t="b">
        <f aca="false">TRUE()</f>
        <v>1</v>
      </c>
    </row>
    <row r="53" customFormat="false" ht="45.1" hidden="false" customHeight="false" outlineLevel="0" collapsed="false">
      <c r="A53" s="1" t="s">
        <v>243</v>
      </c>
      <c r="B53" s="1" t="s">
        <v>244</v>
      </c>
      <c r="C53" s="6" t="s">
        <v>245</v>
      </c>
      <c r="D53" s="1" t="s">
        <v>15</v>
      </c>
      <c r="E53" s="1" t="s">
        <v>25</v>
      </c>
      <c r="F53" s="1" t="s">
        <v>25</v>
      </c>
      <c r="G53" s="1" t="s">
        <v>18</v>
      </c>
      <c r="H53" s="1" t="s">
        <v>246</v>
      </c>
      <c r="I53" s="3" t="b">
        <f aca="false">TRUE()</f>
        <v>1</v>
      </c>
      <c r="J53" s="3" t="b">
        <f aca="false">TRUE()</f>
        <v>1</v>
      </c>
    </row>
    <row r="54" customFormat="false" ht="15" hidden="false" customHeight="false" outlineLevel="0" collapsed="false">
      <c r="A54" s="1" t="s">
        <v>247</v>
      </c>
      <c r="B54" s="1" t="s">
        <v>248</v>
      </c>
      <c r="C54" s="1" t="s">
        <v>249</v>
      </c>
      <c r="D54" s="1" t="s">
        <v>15</v>
      </c>
      <c r="E54" s="1" t="s">
        <v>31</v>
      </c>
      <c r="F54" s="1" t="s">
        <v>31</v>
      </c>
      <c r="G54" s="1" t="s">
        <v>43</v>
      </c>
      <c r="H54" s="1" t="s">
        <v>250</v>
      </c>
      <c r="I54" s="3" t="b">
        <f aca="false">TRUE()</f>
        <v>1</v>
      </c>
      <c r="J54" s="3" t="b">
        <f aca="false">TRUE()</f>
        <v>1</v>
      </c>
    </row>
    <row r="55" customFormat="false" ht="15" hidden="false" customHeight="false" outlineLevel="0" collapsed="false">
      <c r="A55" s="1" t="s">
        <v>251</v>
      </c>
      <c r="B55" s="1" t="s">
        <v>252</v>
      </c>
      <c r="C55" s="1" t="s">
        <v>253</v>
      </c>
      <c r="D55" s="1" t="s">
        <v>15</v>
      </c>
      <c r="E55" s="1" t="s">
        <v>32</v>
      </c>
      <c r="F55" s="1" t="s">
        <v>48</v>
      </c>
      <c r="G55" s="1" t="s">
        <v>43</v>
      </c>
      <c r="H55" s="1" t="s">
        <v>254</v>
      </c>
      <c r="I55" s="7" t="b">
        <f aca="false">FALSE()</f>
        <v>0</v>
      </c>
      <c r="J55" s="3" t="b">
        <f aca="false">FALSE()</f>
        <v>0</v>
      </c>
      <c r="M55" s="1" t="s">
        <v>137</v>
      </c>
    </row>
    <row r="56" customFormat="false" ht="15" hidden="false" customHeight="false" outlineLevel="0" collapsed="false">
      <c r="A56" s="1" t="s">
        <v>255</v>
      </c>
      <c r="B56" s="1" t="s">
        <v>256</v>
      </c>
      <c r="C56" s="1" t="s">
        <v>257</v>
      </c>
      <c r="D56" s="1" t="s">
        <v>15</v>
      </c>
      <c r="E56" s="1" t="s">
        <v>16</v>
      </c>
      <c r="F56" s="1" t="s">
        <v>16</v>
      </c>
      <c r="G56" s="1" t="s">
        <v>18</v>
      </c>
      <c r="H56" s="1" t="s">
        <v>258</v>
      </c>
      <c r="I56" s="3" t="b">
        <f aca="false">TRUE()</f>
        <v>1</v>
      </c>
      <c r="J56" s="3" t="b">
        <f aca="false">TRUE()</f>
        <v>1</v>
      </c>
    </row>
    <row r="57" customFormat="false" ht="15" hidden="false" customHeight="false" outlineLevel="0" collapsed="false">
      <c r="A57" s="1" t="s">
        <v>259</v>
      </c>
      <c r="B57" s="1" t="s">
        <v>260</v>
      </c>
      <c r="C57" s="1" t="s">
        <v>261</v>
      </c>
      <c r="D57" s="1" t="s">
        <v>15</v>
      </c>
      <c r="E57" s="1" t="s">
        <v>16</v>
      </c>
      <c r="F57" s="1" t="s">
        <v>16</v>
      </c>
      <c r="G57" s="1" t="s">
        <v>17</v>
      </c>
      <c r="H57" s="1" t="s">
        <v>262</v>
      </c>
      <c r="I57" s="3" t="b">
        <f aca="false">TRUE()</f>
        <v>1</v>
      </c>
      <c r="J57" s="3" t="b">
        <f aca="false">TRUE()</f>
        <v>1</v>
      </c>
    </row>
    <row r="58" customFormat="false" ht="15" hidden="false" customHeight="false" outlineLevel="0" collapsed="false">
      <c r="A58" s="1" t="s">
        <v>263</v>
      </c>
      <c r="B58" s="1" t="s">
        <v>264</v>
      </c>
      <c r="C58" s="1" t="s">
        <v>265</v>
      </c>
      <c r="D58" s="1" t="s">
        <v>15</v>
      </c>
      <c r="E58" s="1" t="s">
        <v>48</v>
      </c>
      <c r="F58" s="1" t="s">
        <v>48</v>
      </c>
      <c r="G58" s="1" t="s">
        <v>43</v>
      </c>
      <c r="H58" s="1" t="s">
        <v>266</v>
      </c>
      <c r="I58" s="3" t="b">
        <f aca="false">TRUE()</f>
        <v>1</v>
      </c>
      <c r="J58" s="3" t="b">
        <f aca="false">TRUE()</f>
        <v>1</v>
      </c>
    </row>
    <row r="59" customFormat="false" ht="15" hidden="false" customHeight="false" outlineLevel="0" collapsed="false">
      <c r="A59" s="1" t="s">
        <v>267</v>
      </c>
      <c r="B59" s="1" t="s">
        <v>268</v>
      </c>
      <c r="C59" s="1" t="s">
        <v>269</v>
      </c>
      <c r="D59" s="1" t="s">
        <v>15</v>
      </c>
      <c r="E59" s="1" t="s">
        <v>16</v>
      </c>
      <c r="F59" s="1" t="s">
        <v>16</v>
      </c>
      <c r="G59" s="1" t="s">
        <v>43</v>
      </c>
      <c r="H59" s="1" t="s">
        <v>270</v>
      </c>
      <c r="I59" s="3" t="b">
        <f aca="false">TRUE()</f>
        <v>1</v>
      </c>
      <c r="J59" s="3" t="b">
        <f aca="false">TRUE()</f>
        <v>1</v>
      </c>
    </row>
    <row r="60" customFormat="false" ht="15" hidden="false" customHeight="false" outlineLevel="0" collapsed="false">
      <c r="A60" s="1" t="s">
        <v>271</v>
      </c>
      <c r="B60" s="1" t="s">
        <v>272</v>
      </c>
      <c r="C60" s="1" t="s">
        <v>273</v>
      </c>
      <c r="D60" s="1" t="s">
        <v>15</v>
      </c>
      <c r="E60" s="1" t="s">
        <v>48</v>
      </c>
      <c r="F60" s="1" t="s">
        <v>48</v>
      </c>
      <c r="G60" s="1" t="s">
        <v>43</v>
      </c>
      <c r="H60" s="1" t="s">
        <v>274</v>
      </c>
      <c r="I60" s="3" t="b">
        <f aca="false">TRUE()</f>
        <v>1</v>
      </c>
      <c r="J60" s="3" t="b">
        <f aca="false">TRUE()</f>
        <v>1</v>
      </c>
    </row>
    <row r="61" customFormat="false" ht="15" hidden="false" customHeight="false" outlineLevel="0" collapsed="false">
      <c r="A61" s="1" t="s">
        <v>275</v>
      </c>
      <c r="B61" s="1" t="s">
        <v>276</v>
      </c>
      <c r="C61" s="1" t="s">
        <v>277</v>
      </c>
      <c r="D61" s="1" t="s">
        <v>15</v>
      </c>
      <c r="E61" s="1" t="s">
        <v>24</v>
      </c>
      <c r="F61" s="1" t="s">
        <v>24</v>
      </c>
      <c r="G61" s="1" t="s">
        <v>43</v>
      </c>
      <c r="H61" s="1" t="s">
        <v>278</v>
      </c>
      <c r="I61" s="3" t="b">
        <f aca="false">TRUE()</f>
        <v>1</v>
      </c>
      <c r="J61" s="3" t="b">
        <f aca="false">TRUE()</f>
        <v>1</v>
      </c>
    </row>
    <row r="62" customFormat="false" ht="15" hidden="false" customHeight="false" outlineLevel="0" collapsed="false">
      <c r="A62" s="1" t="s">
        <v>279</v>
      </c>
      <c r="B62" s="1" t="s">
        <v>280</v>
      </c>
      <c r="C62" s="1" t="s">
        <v>281</v>
      </c>
      <c r="D62" s="1" t="s">
        <v>15</v>
      </c>
      <c r="E62" s="1" t="s">
        <v>25</v>
      </c>
      <c r="F62" s="1" t="s">
        <v>25</v>
      </c>
      <c r="G62" s="1" t="s">
        <v>18</v>
      </c>
      <c r="H62" s="1" t="s">
        <v>282</v>
      </c>
      <c r="I62" s="3" t="b">
        <f aca="false">TRUE()</f>
        <v>1</v>
      </c>
      <c r="J62" s="3" t="b">
        <f aca="false">TRUE()</f>
        <v>1</v>
      </c>
    </row>
    <row r="63" customFormat="false" ht="15" hidden="false" customHeight="false" outlineLevel="0" collapsed="false">
      <c r="A63" s="1" t="s">
        <v>283</v>
      </c>
      <c r="B63" s="1" t="s">
        <v>284</v>
      </c>
      <c r="C63" s="1" t="s">
        <v>285</v>
      </c>
      <c r="D63" s="1" t="s">
        <v>15</v>
      </c>
      <c r="E63" s="1" t="s">
        <v>25</v>
      </c>
      <c r="F63" s="1" t="s">
        <v>25</v>
      </c>
      <c r="G63" s="1" t="s">
        <v>32</v>
      </c>
      <c r="H63" s="1" t="s">
        <v>286</v>
      </c>
      <c r="I63" s="3" t="b">
        <f aca="false">TRUE()</f>
        <v>1</v>
      </c>
      <c r="J63" s="3" t="b">
        <f aca="false">TRUE()</f>
        <v>1</v>
      </c>
    </row>
    <row r="64" customFormat="false" ht="15" hidden="false" customHeight="false" outlineLevel="0" collapsed="false">
      <c r="A64" s="1" t="s">
        <v>287</v>
      </c>
      <c r="B64" s="1" t="s">
        <v>288</v>
      </c>
      <c r="C64" s="1" t="s">
        <v>289</v>
      </c>
      <c r="D64" s="1" t="s">
        <v>15</v>
      </c>
      <c r="E64" s="1" t="s">
        <v>18</v>
      </c>
      <c r="F64" s="1" t="s">
        <v>18</v>
      </c>
      <c r="G64" s="1" t="s">
        <v>25</v>
      </c>
      <c r="H64" s="1" t="s">
        <v>290</v>
      </c>
      <c r="I64" s="3" t="b">
        <f aca="false">TRUE()</f>
        <v>1</v>
      </c>
      <c r="J64" s="3" t="b">
        <f aca="false">TRUE()</f>
        <v>1</v>
      </c>
    </row>
    <row r="65" customFormat="false" ht="15" hidden="false" customHeight="false" outlineLevel="0" collapsed="false">
      <c r="A65" s="1" t="s">
        <v>291</v>
      </c>
      <c r="B65" s="1" t="s">
        <v>292</v>
      </c>
      <c r="C65" s="1" t="s">
        <v>293</v>
      </c>
      <c r="D65" s="1" t="s">
        <v>15</v>
      </c>
      <c r="E65" s="1" t="s">
        <v>18</v>
      </c>
      <c r="F65" s="1" t="s">
        <v>18</v>
      </c>
      <c r="G65" s="1" t="s">
        <v>24</v>
      </c>
      <c r="H65" s="1" t="s">
        <v>294</v>
      </c>
      <c r="I65" s="3" t="b">
        <f aca="false">TRUE()</f>
        <v>1</v>
      </c>
      <c r="J65" s="3" t="b">
        <f aca="false">TRUE()</f>
        <v>1</v>
      </c>
    </row>
    <row r="66" customFormat="false" ht="15" hidden="false" customHeight="false" outlineLevel="0" collapsed="false">
      <c r="A66" s="1" t="s">
        <v>295</v>
      </c>
      <c r="B66" s="1" t="s">
        <v>296</v>
      </c>
      <c r="C66" s="1" t="s">
        <v>297</v>
      </c>
      <c r="D66" s="1" t="s">
        <v>15</v>
      </c>
      <c r="E66" s="1" t="s">
        <v>16</v>
      </c>
      <c r="F66" s="1" t="s">
        <v>16</v>
      </c>
      <c r="G66" s="1" t="s">
        <v>25</v>
      </c>
      <c r="H66" s="1" t="s">
        <v>298</v>
      </c>
      <c r="I66" s="3" t="b">
        <f aca="false">TRUE()</f>
        <v>1</v>
      </c>
      <c r="J66" s="3" t="b">
        <f aca="false">TRUE()</f>
        <v>1</v>
      </c>
    </row>
    <row r="67" customFormat="false" ht="15" hidden="false" customHeight="false" outlineLevel="0" collapsed="false">
      <c r="A67" s="1" t="s">
        <v>299</v>
      </c>
      <c r="B67" s="1" t="s">
        <v>300</v>
      </c>
      <c r="C67" s="1" t="s">
        <v>301</v>
      </c>
      <c r="D67" s="1" t="s">
        <v>15</v>
      </c>
      <c r="E67" s="1" t="s">
        <v>18</v>
      </c>
      <c r="F67" s="1" t="s">
        <v>18</v>
      </c>
      <c r="G67" s="1" t="s">
        <v>43</v>
      </c>
      <c r="H67" s="1" t="s">
        <v>302</v>
      </c>
      <c r="I67" s="3" t="b">
        <f aca="false">TRUE()</f>
        <v>1</v>
      </c>
      <c r="J67" s="3" t="b">
        <f aca="false">TRUE()</f>
        <v>1</v>
      </c>
    </row>
    <row r="68" customFormat="false" ht="15" hidden="false" customHeight="false" outlineLevel="0" collapsed="false">
      <c r="A68" s="1" t="s">
        <v>303</v>
      </c>
      <c r="B68" s="1" t="s">
        <v>304</v>
      </c>
      <c r="C68" s="1" t="s">
        <v>305</v>
      </c>
      <c r="D68" s="1" t="s">
        <v>15</v>
      </c>
      <c r="E68" s="1" t="s">
        <v>31</v>
      </c>
      <c r="F68" s="1" t="s">
        <v>31</v>
      </c>
      <c r="G68" s="1" t="s">
        <v>48</v>
      </c>
      <c r="H68" s="1" t="s">
        <v>306</v>
      </c>
      <c r="I68" s="3" t="b">
        <f aca="false">TRUE()</f>
        <v>1</v>
      </c>
      <c r="J68" s="3" t="b">
        <f aca="false">TRUE()</f>
        <v>1</v>
      </c>
    </row>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v>
      </c>
      <c r="B1" s="1" t="s">
        <v>307</v>
      </c>
      <c r="C1" s="1" t="s">
        <v>8</v>
      </c>
      <c r="D1" s="1" t="s">
        <v>308</v>
      </c>
      <c r="E1" s="1" t="s">
        <v>309</v>
      </c>
      <c r="F1" s="1" t="s">
        <v>310</v>
      </c>
    </row>
    <row r="2" customFormat="false" ht="15" hidden="false" customHeight="false" outlineLevel="0" collapsed="false">
      <c r="A2" s="1" t="s">
        <v>18</v>
      </c>
      <c r="B2" s="1" t="n">
        <v>9</v>
      </c>
      <c r="C2" s="1" t="n">
        <v>5</v>
      </c>
      <c r="D2" s="1" t="n">
        <v>7</v>
      </c>
      <c r="E2" s="1" t="s">
        <v>311</v>
      </c>
      <c r="F2" s="1" t="s">
        <v>312</v>
      </c>
    </row>
    <row r="3" customFormat="false" ht="15" hidden="false" customHeight="false" outlineLevel="0" collapsed="false">
      <c r="A3" s="1" t="s">
        <v>24</v>
      </c>
      <c r="B3" s="1" t="n">
        <v>8</v>
      </c>
      <c r="C3" s="1" t="n">
        <v>7</v>
      </c>
      <c r="D3" s="1" t="n">
        <v>8</v>
      </c>
      <c r="E3" s="1" t="s">
        <v>313</v>
      </c>
      <c r="F3" s="1" t="s">
        <v>314</v>
      </c>
    </row>
    <row r="4" customFormat="false" ht="15" hidden="false" customHeight="false" outlineLevel="0" collapsed="false">
      <c r="A4" s="1" t="s">
        <v>25</v>
      </c>
      <c r="B4" s="1" t="n">
        <v>7</v>
      </c>
      <c r="C4" s="1" t="n">
        <v>6</v>
      </c>
      <c r="D4" s="1" t="n">
        <v>6</v>
      </c>
      <c r="E4" s="1" t="s">
        <v>315</v>
      </c>
      <c r="F4" s="1" t="s">
        <v>315</v>
      </c>
    </row>
    <row r="5" customFormat="false" ht="15" hidden="false" customHeight="false" outlineLevel="0" collapsed="false">
      <c r="A5" s="1" t="s">
        <v>31</v>
      </c>
      <c r="B5" s="1" t="n">
        <v>10</v>
      </c>
      <c r="C5" s="1" t="n">
        <v>10</v>
      </c>
      <c r="D5" s="1" t="n">
        <v>10</v>
      </c>
      <c r="E5" s="1" t="s">
        <v>314</v>
      </c>
      <c r="F5" s="1" t="s">
        <v>314</v>
      </c>
    </row>
    <row r="6" customFormat="false" ht="15" hidden="false" customHeight="false" outlineLevel="0" collapsed="false">
      <c r="A6" s="1" t="s">
        <v>17</v>
      </c>
      <c r="B6" s="1" t="n">
        <v>2</v>
      </c>
      <c r="C6" s="1" t="n">
        <v>1</v>
      </c>
      <c r="D6" s="1" t="n">
        <v>1</v>
      </c>
      <c r="E6" s="1" t="s">
        <v>316</v>
      </c>
      <c r="F6" s="1" t="s">
        <v>316</v>
      </c>
    </row>
    <row r="7" customFormat="false" ht="15" hidden="false" customHeight="false" outlineLevel="0" collapsed="false">
      <c r="A7" s="1" t="s">
        <v>32</v>
      </c>
      <c r="B7" s="1" t="n">
        <v>3</v>
      </c>
      <c r="C7" s="1" t="n">
        <v>1</v>
      </c>
      <c r="D7" s="1" t="n">
        <v>1</v>
      </c>
      <c r="E7" s="1" t="s">
        <v>317</v>
      </c>
      <c r="F7" s="1" t="s">
        <v>317</v>
      </c>
    </row>
    <row r="8" customFormat="false" ht="15" hidden="false" customHeight="false" outlineLevel="0" collapsed="false">
      <c r="A8" s="1" t="s">
        <v>48</v>
      </c>
      <c r="B8" s="1" t="n">
        <v>5</v>
      </c>
      <c r="C8" s="1" t="n">
        <v>5</v>
      </c>
      <c r="D8" s="1" t="n">
        <v>5</v>
      </c>
      <c r="E8" s="1" t="s">
        <v>314</v>
      </c>
      <c r="F8" s="1" t="s">
        <v>314</v>
      </c>
    </row>
    <row r="9" customFormat="false" ht="15" hidden="false" customHeight="false" outlineLevel="0" collapsed="false">
      <c r="A9" s="1" t="s">
        <v>43</v>
      </c>
      <c r="B9" s="1" t="n">
        <v>10</v>
      </c>
      <c r="C9" s="1" t="n">
        <v>8</v>
      </c>
      <c r="D9" s="1" t="n">
        <v>10</v>
      </c>
      <c r="E9" s="1" t="s">
        <v>318</v>
      </c>
      <c r="F9" s="1" t="s">
        <v>314</v>
      </c>
    </row>
    <row r="10" customFormat="false" ht="15" hidden="false" customHeight="false" outlineLevel="0" collapsed="false">
      <c r="A10" s="1" t="s">
        <v>16</v>
      </c>
      <c r="B10" s="1" t="n">
        <v>10</v>
      </c>
      <c r="C10" s="1" t="n">
        <v>9</v>
      </c>
      <c r="D10" s="1" t="n">
        <v>9</v>
      </c>
      <c r="E10" s="1" t="s">
        <v>319</v>
      </c>
      <c r="F10" s="1" t="s">
        <v>319</v>
      </c>
    </row>
    <row r="11" customFormat="false" ht="15" hidden="false" customHeight="false" outlineLevel="0" collapsed="false">
      <c r="A11" s="1" t="s">
        <v>54</v>
      </c>
      <c r="B11" s="1" t="n">
        <v>3</v>
      </c>
      <c r="C11" s="1" t="n">
        <v>0</v>
      </c>
      <c r="D11" s="1" t="n">
        <v>0</v>
      </c>
      <c r="E11" s="1" t="s">
        <v>320</v>
      </c>
      <c r="F11" s="1" t="s">
        <v>320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321</v>
      </c>
      <c r="B1" s="1" t="s">
        <v>322</v>
      </c>
      <c r="C1" s="1" t="s">
        <v>307</v>
      </c>
    </row>
    <row r="2" customFormat="false" ht="15" hidden="false" customHeight="false" outlineLevel="0" collapsed="false">
      <c r="A2" s="1" t="s">
        <v>323</v>
      </c>
      <c r="B2" s="1" t="s">
        <v>312</v>
      </c>
      <c r="C2" s="1" t="n">
        <v>67</v>
      </c>
    </row>
    <row r="3" customFormat="false" ht="15" hidden="false" customHeight="false" outlineLevel="0" collapsed="false">
      <c r="A3" s="1" t="s">
        <v>324</v>
      </c>
      <c r="B3" s="1" t="s">
        <v>325</v>
      </c>
      <c r="C3" s="1" t="n">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106</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2026-06-25T19:42:22Z</dcterms:created>
  <dc:creator>openpyxl</dc:creator>
  <dc:description/>
  <dc:language>en-GB</dc:language>
  <cp:lastModifiedBy/>
  <dcterms:modified xsi:type="dcterms:W3CDTF">2026-06-26T10:54:34Z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