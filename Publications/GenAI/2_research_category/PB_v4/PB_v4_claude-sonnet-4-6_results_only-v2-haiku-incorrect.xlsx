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lts" sheetId="1" state="visible" r:id="rId3"/>
    <sheet name="by_category" sheetId="2" state="visible" r:id="rId4"/>
    <sheet name="summary"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<sst xmlns="http://schemas.openxmlformats.org/spreadsheetml/2006/main" count="297" uniqueCount="160">
  <si>
    <t xml:space="preserve">id</t>
  </si>
  <si>
    <t xml:space="preserve">title</t>
  </si>
  <si>
    <t xml:space="preserve">abstract</t>
  </si>
  <si>
    <t xml:space="preserve">pillar</t>
  </si>
  <si>
    <t xml:space="preserve">research_category</t>
  </si>
  <si>
    <t xml:space="preserve">primary_LLM</t>
  </si>
  <si>
    <t xml:space="preserve">secondary_LLM</t>
  </si>
  <si>
    <t xml:space="preserve">reasoning_LLM</t>
  </si>
  <si>
    <t xml:space="preserve">primary_correct</t>
  </si>
  <si>
    <t xml:space="preserve">either_correct</t>
  </si>
  <si>
    <t xml:space="preserve">corrected</t>
  </si>
  <si>
    <t xml:space="preserve">v2 Category Notes</t>
  </si>
  <si>
    <t xml:space="preserve">pub.1190533978</t>
  </si>
  <si>
    <t xml:space="preserve">Evaluation of the genotoxic potential and minimisation of antinutrients in edible Xuta (Jatropha curcas L.) kernels</t>
  </si>
  <si>
    <t xml:space="preserve">Plant-based protein sources are increasingly considered as sustainable alternatives to animal-derived proteins. The edible Jatropha curcas L. (Xuta) is a new crop whose seed kernels are rich in high-quality proteins and fat; however, they contain antinutrients such as trypsin inhibitors, phytic acid and lectins. Hydrothermal treatment has been shown to significantly reduce these antinutritional factors, leading to the recent approval of Xuta kernels for human consumption by the European Food Safety Authority (EFSA). Despite this, current scientific information is limited, for example, data on the potential genotoxicity of Xuta kernels. In this study, aqueous extracts from three Xuta cultivars were assessed for mutagenicity using the bacterial reverse mutation assay and genotoxicity using the Comet assay with human hepatocellular carcinoma cells. Additionally, key antinutritional factors such as lectin activity, trypsin inhibitor activity, and phytic acid content were determined. Hydrothermal treatment significantly reduced antinutritional factors, with lectin activity being completely absent. The results show that the Xuta cultivars tested have no mutagenic or genotoxic potential and are suitable for human consumption after hydrothermal treatment. These findings support the introduction of Xuta kernels as an alternative protein source. Future research should focus on technofunctional properties and applications of Xuta proteins.</t>
  </si>
  <si>
    <t xml:space="preserve">PB</t>
  </si>
  <si>
    <t xml:space="preserve">Ingredient optimisation</t>
  </si>
  <si>
    <t xml:space="preserve">Food safety &amp; quality</t>
  </si>
  <si>
    <t xml:space="preserve">The paper primarily conducts genotoxicity and mutagenicity safety assessments alongside antinutrient characterisation of Xuta kernels, with secondary relevance to ingredient optimisation through hydrothermal processing to reduce antinutritional factors and improve suitability as a protein ingredient.</t>
  </si>
  <si>
    <t xml:space="preserve">I agree with LLM. Primarily a food safety assessment.</t>
  </si>
  <si>
    <t xml:space="preserve">pub.1193708822</t>
  </si>
  <si>
    <t xml:space="preserve">How healthy are meat alternatives? A qualitative exploration among Dutch adults using the model of positive health</t>
  </si>
  <si>
    <t xml:space="preserve">The global population is rapidly increasing, with the United Nations projecting 9.8 billion people by 2050 (1) . This growth places mounting pressure on both the environment and the global food system. Shifting dietary habits—particularly reducing the intake of environmentally intensive animal products in favour of plant-based alternatives—can help mitigate this impact (2) . However, changing meat consumption behaviour is complex, influenced not only by physical needs but also by psychological, cultural, emotional, and moral factors (3) . This study aimed to explore how meat alternatives influence the perceived health of young vegetarian adults, using the Positive Health model, which includes six dimensions: bodily functions, mental well-being, meaningfulness, quality of life, participation, and daily functioning (4-5) .  A phenomenological qualitative design was employed, using semi-structured interviews to examine the perceived health effects of meat alternatives among young vegetarians.  Participants (N=12) were aged 18–30 and had adopted a vegetarian diet after age 15. The study followed COREQ guidelines, ensuring transparency in recruitment, data collection, and analysis. The interviews were transcribed verbatim . The transcripts were analysed in ATLAS.ti using a thematic analysis approach.  Findings reveal that meat alternatives influence multiple dimensions of positive health, particularly through their convenience, taste, and ethical alignment. For example, participants reported enhanced enjoyment of life due to the improved taste and availability of meat alternatives, with one participant noting they are now “little moments of happiness.” Mental well-being was often indirectly affected; several participants mentioned reduced stress in social settings due to the ease of finding vegetarian options. The dimension of meaningfulness was strongly tied to ethical and sustainability considerations, where one participant emphasised reducing their ecological footprint, while another participant expressed satisfaction in “not eating animals”, linking a dietary choice to their own ethical principles. Themes such as upbringing and motivations for dietary change also emerged, highlighting how early experiences or parenting roles shape dietary decisions. Notably, convenience surfaced as a cross-cutting concept influencing mental well-being, participation, and daily functioning—underscoring the interconnectedness of perceived health domains. This study offers a novel, holistic perspective on the role of meat alternatives in perceived health, extending beyond nutritional value to psychological and social dimensions. By framing health more broadly through the Positive Health model, this research underscores the potential of meat alternatives to support sustainable dietary transitions and encourages greater awareness of their multidimensional impact.</t>
  </si>
  <si>
    <t xml:space="preserve">Health &amp; nutrition</t>
  </si>
  <si>
    <t xml:space="preserve">Consumer &amp; market research</t>
  </si>
  <si>
    <t xml:space="preserve">The study uses qualitative interviews to explore consumer perceptions of how meat alternatives affect perceived health across multiple life dimensions, making it primarily a consumer behaviour/perception study with secondary relevance to health and nutrition outcomes.</t>
  </si>
  <si>
    <t xml:space="preserve">I agree with LLM. There is no assessment of health &amp; nutrition, only how consumers perceive the healthiness of meat alternatives and how it affects their daily lives.</t>
  </si>
  <si>
    <t xml:space="preserve">pub.1191161017</t>
  </si>
  <si>
    <t xml:space="preserve">Understanding sensory and emotional drivers of plant-based fish analogues acceptance in children and adul</t>
  </si>
  <si>
    <t xml:space="preserve">Children play a crucial role in the transition to a sustainable diet, but research on their perception of plant-based alternatives remains scarce. This study aimed to investigate the sensory drivers of liking and consumer perceptions of plant-based breaded fish among children (9-11 years; n=98) and adults (n=104). Participants evaluated five plant-based analogues and two animal-based samples for liking (9-point scale), sensory properties using Check-All-That-Apply method, and emotional responses. Despite higher liking for animal-based samples (Adults: 6.5 - 7.3; Children: 7.1 - 7.5), analogue samples were accepted by both age groups (Adults: 4.9 - 5.9; Children: 5.1 - 6.1). Age-related differences were observed: adults preferred the wheat protein-based sample, while children preferred the rice flake-based one. Plant-based samples were associated with sensory attributes, such as unappealing appearance, off-flavour, legume and spicy odour and flavour, bitter taste and pasty and gummy filling, which negatively impacted liking, particularly among children. Emotional responses influenced acceptance in both age groups, with positive emotions linked to animal-based products and negative emotions to plant-based ones. However, the wheat protein sample evoked curiosity and surprise in adults, contributing to its liking. In contrast, children's preference for the rice-based sample was driven by familiarity and sensory similarity to traditional products, with emotions providing no additional insights beyond liking. These findings underscore the importance of age-specific preferences and emotional responses in promoting plant-based foods, with the potential for targeted products to engage both children and adults in sustainable eating. No effect of food neophobia was found on acceptance in either group.</t>
  </si>
  <si>
    <t xml:space="preserve">End product formulation</t>
  </si>
  <si>
    <t xml:space="preserve">The study primarily investigates consumer acceptance, sensory drivers of liking, and emotional responses to plant-based fish analogues across age groups, which is core consumer research; the secondary focus relates to the product-level sensory and formulation differences between the five plant-based analogues evaluated.</t>
  </si>
  <si>
    <t xml:space="preserve">I agree with LLM. While this research may inform end product formulation decisions, it is entirely consumer research.</t>
  </si>
  <si>
    <t xml:space="preserve">pub.1192660347</t>
  </si>
  <si>
    <t xml:space="preserve">Cooks as collaborative creators and evaluators: An iterative sensory-driven workshop to create vegetarian dishes</t>
  </si>
  <si>
    <t xml:space="preserve">Among the obstacles to substituting animal-based food products with more sustainable plant-based alternatives at home and in food service is the lack of familiarity and creativity among consumers and culinary professionals. This case study describes and discusses the designing of a two-day hands-on workshop for eighteen cooks from Örebro Municipality, Sweden. In a collaborative design process, participants experimented with eight vegetable ingredients (legumes, grains and plant-based meat alternatives) and different cooking techniques (e.g. baking, grilling and frying) to create thirteen novel or adapted vegetarian dishes. The workshop incorporated sensory assessments of the plain ingredients, the cooked ingredients and the final dishes, empowering cooks as both creators and evaluators and generating valuable data for future recipe development. The resulting dishes, ranging from light to hearty and simple to complex, indicated no correlation between the number of components and overall liking, challenging the common perception that vegetarian dishes require more effort, ingredients or complexity. A follow-up questionnaire and group interview provided insights into the workshop’s impact and potential improvements. The case of this workshop sparks broader discussions about how to create dishes by taking ingredients as a starting point, and how methods from sensory science can be used to improve the flavour of vegetarian meals. It also raises questions about how researchers can design more horizontal and collaborative interactions with other actors of society – such as, in this case, cooks working in public meal services.</t>
  </si>
  <si>
    <t xml:space="preserve">Other</t>
  </si>
  <si>
    <t xml:space="preserve">This is a case study/workshop report on collaborative recipe development with culinary professionals, which falls outside the specific research categories; the secondary consumer/market research element is present through the follow-up questionnaire and group interview assessing workshop impact and participant insights.</t>
  </si>
  <si>
    <t xml:space="preserve">Corrected!</t>
  </si>
  <si>
    <t xml:space="preserve">Weird one. All three labels are defensible, but I have updated end product to exclude recipe development and updated other to include case studies and other more unusual types of publication.</t>
  </si>
  <si>
    <t xml:space="preserve">pub.1193375700</t>
  </si>
  <si>
    <t xml:space="preserve">Challenges in the Plant-based Dairy Alternatives Market: A Case Study of Ripened Rennet Cheese Alternatives in the Context of Sustainable Development Policy Principles</t>
  </si>
  <si>
    <t xml:space="preserve">Objective: To determine whether the production and consumption of plant-based dairy alternatives (PBDAs) aligns with sustainable development policy and to identify challenges on the path to achieving Sustainable Development Goals (SDGs). Research Design &amp; Methods: A review and critical analysis of the literature, official documents, reports, food labels, and legal regulations. Synthesis and logical reasoning methods are also employed. Findings: Contradictions have been identified between the principles of sustainable development policy and the directions the current PBDAs market is taking vis-à-vis ripened rennet cheese substitutes. The low nutritional value of PBDAs, inefficient resource utilisation in the production of non-nutritive foods, and challenges arising from the need to sustainably feed a growing population may all hinder the achievement of SDGs. Implications / Recommendations: The challenges identified can be a subject of research into consumer acceptance of plant-based alternatives. Further development is required to increase the adequacy and economic availability of PBDAs. Contribution: The article sheds new light on the development of the PBDAs market in the context of the convergence of this trend with the principles of sustainable development policy.</t>
  </si>
  <si>
    <t xml:space="preserve">Impact assessments</t>
  </si>
  <si>
    <t xml:space="preserve">This is a critical review and policy analysis piece examining whether plant-based dairy alternatives align with sustainable development goals, without conducting original experimental research or a structured quantitative assessment like LCA or TEA.</t>
  </si>
  <si>
    <t xml:space="preserve">v3 incorrect</t>
  </si>
  <si>
    <t xml:space="preserve">I agree with LLM. Policy focussed and therefore impact assessments.</t>
  </si>
  <si>
    <t xml:space="preserve">pub.1193472711</t>
  </si>
  <si>
    <t xml:space="preserve">Rheological analysis of swelling food soils for optimized cleaning in plant-based food production</t>
  </si>
  <si>
    <t xml:space="preserve">Abstract The ongoing shift towards replacing traditional animal-based foods with plant-based alternatives presents several technical challenges. In particular, there is a change in swelling properties of soils and cleaning behavior of production lines. Increased quantities of water, chemicals, and heat are often used to ensure food safety. A comparison of changes in mechanical properties of different food soils combined with cleaning liquids enables cleaning to be tailored to specific products while saving resources. Consequently, a rheological methodology for analysis of swelling soil layers immerged in cleaning liquids was improved with regard to efficiency of measurements, the adjustment of moisture content in the soil layer, and the insight into the time dependence of swelling. With the CP method, the measuring period on the rheometer could be reduced to approx. one tenth. Drying soil layers in a climate chamber allows for reproducible soil layers and moisture content adjustment, enabling analysis of soil layers with different drying degrees. Due to compression-related effects, the time dependency of the swelling can only be understood to a limited extent through measurements in the immersed state after different swelling times. Nevertheless, the improved method offers the potential to select suitable cleaning liquids and cleaning cycle.
Graphical abstract</t>
  </si>
  <si>
    <t xml:space="preserve">The paper develops a rheological methodology for analysing swelling food soils during cleaning of plant-based food production lines, which is directly focused on food safety (cleaning efficacy and hygiene) rather than ingredient or product development; the secondary topic does not cleanly fit any specific category as it concerns general manufacturing/cleaning practices.</t>
  </si>
  <si>
    <t xml:space="preserve">v4 incorrect</t>
  </si>
  <si>
    <t xml:space="preserve">REVIEW</t>
  </si>
  <si>
    <t xml:space="preserve">Should be other. Prompt updated to promote Other selection and improve wording and examples for generic cleaning and equipment maintenance.</t>
  </si>
  <si>
    <t xml:space="preserve">pub.1192912327</t>
  </si>
  <si>
    <t xml:space="preserve">An update on fermented plant-based dairy alternatives: Advances towards consumer acceptability and modern diets</t>
  </si>
  <si>
    <t xml:space="preserve">Plant-based dairy alternatives (PBDA) represent a significant portion of the consumption of plant-based products, mainly to replace or complement the diet in relation to dairy milk, due to their health properties, the absence of lactose, environmental impacts, and consumer preference. These products have attracted a wide range of consumers, as they can be derived from different plant sources such as soy, rice, almonds, oats, cashews, and many others, offering different options for different needs and preferences. With the significant increase in the consumption of products that replace animal sources, other important concerns arise, mainly regarding the nutritional deficiency that each vegetable product offers, in addition to undesirable properties regarding adaptation to new foods. Fermentation technology is an attractive alternative as it can mitigate these sensory attributes that are present in plant-based products, as well as ensure greater food safety and health benefits of fermented products. Therefore, this review article will focus on the consumption of plant-based beverages as possible alternatives to dairy products. The consumer perception of PBDA will also be addressed, along with the differences between the fermentation of dairy milk and plant-based beverages, the challenges in the development of PBDA regarding rheological and sensory properties, and the health effects of the consumption of these fermented products.</t>
  </si>
  <si>
    <t xml:space="preserve">This is a broad review article covering multiple aspects of fermented plant-based dairy alternatives including fermentation technology, sensory/rheological properties, consumer perception, and health effects, without a single primary experimental or analytical focus that fits a specific category.</t>
  </si>
  <si>
    <t xml:space="preserve">Broad review. Should be Other</t>
  </si>
  <si>
    <t xml:space="preserve">pub.1187179468</t>
  </si>
  <si>
    <t xml:space="preserve">Historicizing the marketing of plant-based meat substitutes: a multimodal analysis of Sanitas Nut Food Company advertisements, 1896-1901</t>
  </si>
  <si>
    <t xml:space="preserve">This paper historicizes the contemporary meat substitutes trend by analyzing advertisements from the Sanitas Nut Food Company, founded by Dr John Harvey Kellogg, during its first five years of operation (1896-1901). Using visual social semiotics, it explores the rhetorical and multimodal strategies used in the advertisements, finding that Sanitas marketed its meat substitute products by drawing upon four meat myths—normal, natural, necessary, and nice—often using shockvertising to promote dietary change. However, by focusing on meat’s taste, flavor, appearance, and nutritional benefits, Sanitas unintentionally perpetuated meat’s superiority, undermining the significance of meat substitutes in their own right. Today, the persistence of similar strategies, though adapted to reflect contemporary societal values, highlights the need for marketing that prioritizes consumer education and animal agriculture issues. These findings emphasize the enduring influence of certain ways of shaping “eating knowledge” around meat and our material interactions with food.</t>
  </si>
  <si>
    <t xml:space="preserve">The paper directly investigates historical marketing and advertising strategies for plant-based meat substitutes using multimodal/semiotic analysis, making Consumer &amp; Market Research the clear primary category, with no strong fit for any other specific category.</t>
  </si>
  <si>
    <t xml:space="preserve">I agree with LLM. Looks at historic advertising to inform marketing, so comes under consumer &amp; market research.</t>
  </si>
  <si>
    <t xml:space="preserve">pub.1186482404</t>
  </si>
  <si>
    <t xml:space="preserve">High-moisture extruded pea balls exhibit lower (glyc)oxidative stability than pork balls following barbecuing and simulated gastrointestinal digestion</t>
  </si>
  <si>
    <t xml:space="preserve">The (glyc)oxidation of model meat and plant-based balls during barbeque heating and subsequent simulated gastrointestinal digestion was investigated. For this purpose, balls were formulated with pork, or high-moisture extruded (HME) pea isolate, to which three types of carbohydrates (glucose, sucrose or starch) and/or a herbal mixture were added. Heated protein products were evaluated before and after digestion for the various (glyc)oxidation products, including α-oxoaldehydes (glyoxal, methylglyoxal, 3-deoxyglucosone), lipid oxidation products (4-hydroxy-2-nonenal, hexanal, propanal, thiobarbituric acid reactive substances), protein oxidation products (protein carbonyl compound), and advanced glycation endproducts (Nε-(carboxymethyl)lysine, Nε-(carboxyethyl)-lysine, pentosidine, Nd-(5-hydro-5-methyl-4-imidazolon-2-yl)-ornithine, argpyrimidine). Overall, digested pea balls contained similar or significantly higher levels of various (glyc)oxidation products compared to their pork counterparts. These differences could be related to several factors, including the initial (glyc)oxidative status of the raw materials, the addition of carbohydrates, and the progression of (glyc)oxidative reactions during heating and gastrointestinal digestion. Herbs only marginally affected these reactions.</t>
  </si>
  <si>
    <t xml:space="preserve">The study's primary endpoints are physiological/chemical safety-relevant outcomes — glycation endproducts and oxidation markers measured through simulated gastrointestinal digestion — making Health &amp; Nutrition the best fit, while the formulation of pork and HME pea balls with carbohydrates and herbs as a comparative matrix reflects End Product Formulation as secondary.</t>
  </si>
  <si>
    <t xml:space="preserve">Should be Health. Prompt updated to make any publication reporting health-relevant outcomes be health &amp; nutrition, leaving end product formulation to be focused on functional, sensory, and nutritional qualities only, but not measured health impacts (in vitro or in vivo).</t>
  </si>
  <si>
    <t xml:space="preserve">pub.1189576105</t>
  </si>
  <si>
    <t xml:space="preserve">Functional and nutritional properties of fava bean ingredients processed by extrusion</t>
  </si>
  <si>
    <t xml:space="preserve">This study investigates the functional and nutritional properties of fava bean ingredients (flour, starch and protein concentrates) processed by twin-screw extrusion at various specific mechanical energy (SME) levels (100-3300 kJ/kg). The impact of incorporating flaxseed powders (20-70 %) to enrich polyunsaturated fatty acids is also examined. The extrudates exhibit varied bulk densities (50-1500 kg/m3), lightness (L* 75-87) and cell wall morphologies. The analyses include water solubility, pasting and emulsifying properties, protein hydrolysis degree and trypsin inhibitor activity. Results show that starch-rich extruded ingredients exhibit increased water solubility and reduced pasting properties due to starch depolymerization, while protein-rich ingredients are less affected. Emulsions containing extruded ingredients exhibit larger droplet sizes (d[4,3] = 13-200 μm) compared to those with non-extruded ones (d[4,3] = 4-13 μm), probably due to reduced protein solubility and adsorption. Higher extrusion intensity decreases pasting and emulsifying properties but increases water solubility; higher protein content reduces functional properties. In vitro protein hydrolysis, evaluated using the INFOGEST method, ranges from 66 % to 84 % and was unaffected by extrusion. All extruded ingredients exhibit low trypsin inhibitor activity levels (&lt; 5 mg/g). Flaxseed incorporation does not alter nutritional properties. Extrusion at low SME (&lt; 500 kJ/kg) effectively structures protein ingredients while optimizing their functional and nutritional properties.</t>
  </si>
  <si>
    <t xml:space="preserve">Texturization methods</t>
  </si>
  <si>
    <t xml:space="preserve">The study directly investigates how twin-screw extrusion processing at various SME levels modifies the functional and nutritional properties of isolated fava bean ingredient fractions (flour, starch, protein concentrates), making ingredient-level characterisation and optimisation the primary focus, with extrusion as the key processing method under investigation.</t>
  </si>
  <si>
    <t xml:space="preserve">I agree with LLM. Extrusion is being used to modify plant protein ingredients (like water solubility, emulsifying properities), not to modify textural or structural endpoints (like bite, chewiness).</t>
  </si>
  <si>
    <t xml:space="preserve">pub.1186333542</t>
  </si>
  <si>
    <t xml:space="preserve">Sustainable valorization of almond and peanut plant-based milk cakes: The use of terpenoid mixtures as ready-to-use solvents to enhance supercritical CO2 extraction</t>
  </si>
  <si>
    <t xml:space="preserve">The solid cake from plant-based milk production, rich in lipids and proteins, can be repurposed to recover valuable fractions suitable for food, cosmetics, and pharmaceutical applications. This innovative study explored terpenoid-based solvents as modifiers of supercritical CO2 extractions to obtain ready-to-use extracts rich in fatty acids, bioactive compounds, and a protein concentrate derived from almond and peanut biorefinery. The natural mixtures of 1:1 menthol:1,8-cineole (ME:EU) and 1:2 camphor:1,8-cineole (CA:EU) used at concentrations of 7.5 and 15 % increased bioactive compounds and lipids yield, outperforming other extraction methods. The phase transition of the system CO2 and ME:EU shows a homogeneous liquid phase, contributing to solvation power and extraction yield. The ME:EU and CA:EU extracts presented low cytotoxicity to human kidney HK-2 cells, showing potential for ready-to-use purposes. The extraction method had little effect on the functional properties of the proteins. Moreover, the continued supercritical CO2 extraction allowed solvent remotion and reuse.</t>
  </si>
  <si>
    <t xml:space="preserve">The study focuses on improving fractionation and extraction processing of lipid and protein fractions from almond and peanut milk cakes, directly characterising ingredient-level functional properties, bioactive yields, and cytotoxicity — a clear ingredient optimisation focus.</t>
  </si>
  <si>
    <t xml:space="preserve">Borderline. I am leaning ingredient optimisation because it researches a method for extracting plant-based food ingredients. I think it was labelled Other as the most obvious link to AP is waste valorisation, but this is more contextual / provides a sustainability reason for the research rather than actually what the research itself does.</t>
  </si>
  <si>
    <t xml:space="preserve">pub.1187663980</t>
  </si>
  <si>
    <t xml:space="preserve">High-moisture extrusion enhances soy protein quality based on in vitro protein digestibility and amino acid scores</t>
  </si>
  <si>
    <t xml:space="preserve">Plant-based meat analogues, often used as an alternative to meat-based products, have grown in popularity. The processing conditions used to create these analogues determine the structural properties of the proteins, but their impact on protein quality is underexplored. Therefore, this study describes the impact of a broad range of high-moisture extrusion (HME) process conditions (100-160 °C and 50-70 % moisture content) on the amino acid score and in vitro protein digestibility of extrudates made with soy protein concentrate (SPC) and soy protein isolate (SPI) in addition to the physical properties (water-holding capacity, hardness and particle size). It was found that the physical properties of both SPC and SPI extrudates depended more on moisture than on the set process temperature profile. HME (at &gt;60 % moisture) enhanced the overall in vitro protein digestibility for SPI- and SPC-based extrudates relative to the starting material, despite the significant negative correlation (p &lt; 0.05) with decreasing moisture content and, thus, sample hardness. Furthermore, compared with the starting materials, amino acid scores hardly decreased (maximum 7 %) and remained &gt;100 across a wide range of processing conditions, except for SPI-based extrudates extruded at 120 °C and 50 % moisture content. In conclusion, most of the HME conditions currently used for making meat analogues significantly affect their physical properties and enhance in vitro protein digestibility, but have minimal impact on the amino acid score.</t>
  </si>
  <si>
    <t xml:space="preserve">The study directly investigates high-moisture extrusion (HME) process conditions as the primary experimental focus, examining how these process parameters affect both physical properties and protein quality (digestibility, amino acid scores) of extrudates, making it primarily a texturisation methods study with ingredient-level nutritional characterisation as a secondary focus.</t>
  </si>
  <si>
    <t xml:space="preserve">Incorrect both</t>
  </si>
  <si>
    <t xml:space="preserve">Spent a while thinking about this and in vitro digestibility should definitely be ingredient optimisation, not health &amp; nutrition, and past labels are inconsistent between the two.</t>
  </si>
  <si>
    <t xml:space="preserve">pub.1189927278</t>
  </si>
  <si>
    <t xml:space="preserve">The effect of fortification on in vitro iron and zinc bioavailability in plant-based meat alternatives</t>
  </si>
  <si>
    <t xml:space="preserve">Plant-based diets are increasingly popular due to their perceived health benefits and positive environmental impact. However, there are concerns that long-term adherence to plant-based diets could result in nutritional deficiencies, especially for minerals found in abundance in animal foods. Therefore, plant-based meat substitutes may be a vehicle for fortification to provide a source of bioavailable minerals. This study investigated the iron (Fe), zinc (Zn) and calcium (Ca) content and bioavailability from unfortified and Fe and/or Zn fortified plant-based mince (PBM) compared with animal mince. Total and bioaccessible mineral levels in animal mince, and PBM were determined using microwave digestion and in vitro simulated gastrointestinal digestion, respectively. Mineral bioavailability was assessed by exposure of Caco-2 cells to the digested food samples and measuring mineral uptake into the cells using Inductively Coupled Plasma Mass Spectrometry (ICP-MS). Total phytate levels were measured to calculate the phytic acid:mineral molar ratio (PA:Fe, PA:Zn, PA:Ca) as indication of the mineral bioavailability. Fe bioavailability from animal mince was significantly greater than from unfortified PBM. Fortification of PBM with Fe reduced the PA:Fe molar ratio to below 10, and increased Fe bioavailability compared with the unfortified PBM. Total Fe uptake from fortified PBM was equivalent to that from animal mince. Following fortification of PBM with Zn, the PA:Zn ratio remained high (&gt;14), and bioavailability was not enhanced compared with the unfortified PBM (P &gt; 0.1). This study highlights that Fe-fortified PBM can improve Fe bioavailability and provide similar amounts of Fe compared to beef mince, whereas more research is needed for Zn fortification of PBM. Fortification can be a promising approach to reduce the phytic acid:mineral molar ratio to mitigate the inhibitory effect of PA on mineral bioavailability.</t>
  </si>
  <si>
    <t xml:space="preserve">The study's primary endpoint is mineral bioavailability measured via Caco-2 cell uptake (a physiological outcome), making it Health &amp; Nutrition, while the fortification of plant-based mince products also places it within End Product Formulation.</t>
  </si>
  <si>
    <t xml:space="preserve">I agree with LLM. End product formulation specifically includes ‘nutritional assessment and fortification’. However, health &amp; nutrition should be second because cell-based mineral uptake is a physiological endpoint.</t>
  </si>
  <si>
    <t xml:space="preserve">pub.1186993694</t>
  </si>
  <si>
    <t xml:space="preserve">Risks, resilience and sustainability of plant-based protein chains in Europe: a stakeholder analysis</t>
  </si>
  <si>
    <t xml:space="preserve">Purpose As the global demand for alternative protein sources grows, understanding the perceptions of key stakeholders in the agri-food chain is critical to fostering sustainable and resilient food systems. This study investigates stakeholders' views on risk, resilience and sustainability within plant-based protein chains. It aims to cluster stakeholders based on these perceptions and identify the factors that influence cluster membership.   Design/methodology/approach  A survey was conducted with participants including consumers, farmers, food industry professionals and policymakers across several European countries ( n  = 482). Hierarchical and non-hierarchical cluster analyses were used to group stakeholders, while logistic regression identified factors influencing cluster membership.    Findings Stakeholders were segmented into two groups: optimistic advocates, who have a positive outlook on alternative protein chains, and cautious conventionalists, who remain sceptical. The analysis reveals that factors like familiarity with plant-based proteins, attitudinal certainty and stakeholder type significantly influence stakeholder perceptions. Respondents who are familiar with alternative proteins and respondents with higher attitudinal certainty are more likely to belong to the optimistic advocates cluster, while farmers are more likely to belong to the cautious conventionalists cluster compared to other stakeholders.   Originality/value This study is the first to evaluate and compare the risk, resilience and sustainability perceptions of multiple stakeholder categories towards plant-based protein chains. Additionally, this is the first study exploring resilience perceptions in an agri-food context, further contributing to the novelty.</t>
  </si>
  <si>
    <t xml:space="preserve">The study conducts a structured stakeholder analysis assessing perceptions of risk, resilience, and sustainability across plant-based protein chains in Europe, which aligns with Impact Assessments; the survey-based methodology examining stakeholder/consumer attitudes and segmentation also overlaps with Consumer &amp; Market Research.</t>
  </si>
  <si>
    <t xml:space="preserve">Should be impact but my impact definition was limited to quantitative or structured assessments and I think the stakeholder focus drew it to consumer research. Have edited impact definition to also mention supply chain resilience and food security as impacts.</t>
  </si>
  <si>
    <t xml:space="preserve">pub.1185246385</t>
  </si>
  <si>
    <t xml:space="preserve">From forest to fork: a systematic review of mushroom-based meat analogues</t>
  </si>
  <si>
    <t xml:space="preserve">Abstract The consumption of meat analogues is steadily increasing due to factors such as concerns about protein intake, meat availability, health, and environmental issues. Mushrooms provide a potential solution for substituting or replacing animal protein due to their high nutritional value and unique sensory properties. This review examines the differences in physical characteristics, organoleptic qualities, amino acid profiles, and dietary fibre content of meat analogues derived from various mushroom species. The review employed a textual narrative synthesis approach and adhered to the Preferred Reporting Items for Systematic Reviews and Meta-Analyses (PRISMA) guidelines. A comprehensive analysis of 38 relevant publications reveals that the incorporation of mushrooms can influence the colour and texture of meat analogues. Additionally, the review highlights the impact of mushroom addition or substitution on the amino acid and dietary fibre content of meat analogues. It underscores the potential of mushrooms to create meat analogues with enhanced nutritional profiles, benefiting consumers, particularly those facing nutritional challenges like stunting. This article emphasises the importance of considering the specific mushroom species and processing techniques to optimise the quality of meat analogues.</t>
  </si>
  <si>
    <t xml:space="preserve">This systematic review focuses on mushroom-based meat analogues, examining how mushroom incorporation affects physical, organoleptic, amino acid, and fibre properties of finished products, making End Product Formulation the primary category, with Ingredient Optimisation secondary given the focus on mushroom species and processing techniques to optimise ingredient quality.</t>
  </si>
  <si>
    <t xml:space="preserve">Should be end product. Sonnet got it right. Not sure I can do much else to the prompt.</t>
  </si>
  <si>
    <t xml:space="preserve">pub.1188024088</t>
  </si>
  <si>
    <t xml:space="preserve">Protective Effect of Lactic Acid Bacteria Isolated from Ripened Foods Against Listeria monocytogenes in Plant-Based Fermented Dry-Cured Sausages</t>
  </si>
  <si>
    <t xml:space="preserve">The aim of the study was to use a commonly employed technology in the meat industry, the inoculation of a biocontrol starter, in the processing of a plant-based fermented dry-cured sausage analog to improve its safety against possible Listeria monocytogenes contamination. Challenge tests were used to select suitable lactic acid bacteria (LAB) for the analog under industrial production conditions. First, 20 LAB strains were tested in vitro and five of them were further tested by stuffing the ingredients under industrial conditions. The L. monocytogenes counts highlighted Latilactobacillus sakei 205 as the most protective one, achieving a reduction of 2.6 log CFU/g. Further, a triangular test and Check-All-That-Apply test were performed to understand the organoleptic differences that could be expected in the final product. The batch inoculated with Llb. sakei 205 did not show any sensory differences from the commercial batch. Therefore, Llb. sakei 205 was identified as a potential protective starter due to the microbiological and sensory results. This pioneering study applied biocontrol starters to plant-based meat analogs, aligning with clean-label trends.</t>
  </si>
  <si>
    <t xml:space="preserve">Strain development</t>
  </si>
  <si>
    <t xml:space="preserve">The paper directly investigates LAB strains as biocontrol agents against Listeria monocytogenes in plant-based sausage analogs, making food safety the primary focus, with strain screening and selection as the secondary contribution.</t>
  </si>
  <si>
    <t xml:space="preserve">Should be food safety first, then strain development. Sonnet got this right.</t>
  </si>
  <si>
    <t xml:space="preserve">pub.1184990844</t>
  </si>
  <si>
    <t xml:space="preserve">Foaming properties and olfactory profile of fermented chickpea aquafaba and its application in vegan chocolate mousse</t>
  </si>
  <si>
    <t xml:space="preserve">Aquafaba, the cooking water of chickpeas and other pulses, is used as a vegan egg white substitute because of its favorable technofunctional properties. Nonetheless, its application is often restricted by a "beany" flavor and poor foaming properties compared to egg white. To overcome these limitations, aquafaba was fermented with two edible basidiomycetes. During the fermentation process, foaming properties were measured and analyzed. Furthermore, the aroma change was described by sensory experts. Based on these results, the optimal fermentation day was selected for each mushroom and sensory profiling was conducted. Subsequently, chocolate mousse was prepared from fermented aquafaba and profiled as well as tested in an acceptance test. Aquafaba profiling revealed significantly lower scores (α = 5%) for "beany" odor in fermented samples. Chocolate mousse produced with fermented aquafaba was described as less "beany" but more "chocolatey" and "cocoa-like" in smell and taste, and more "sweet" in taste. The texture of mousse prepared with fermented aquafaba was more "fluffy/light/porous" and "soft" but less "homogenous" than mousse with unfermented aquafaba. The consumer test showed high overall liking for all mousses. The research described in this study revealed for the first time promising aroma changes based on fermentation in aquafaba and demonstrated improved foaming properties. Thus, fermentation can be considered a useful tool to enhance the quality of aquafaba and thus expand its fields of application.</t>
  </si>
  <si>
    <t xml:space="preserve">The study primarily investigates fermentation as a processing method to improve the functional (foaming) and sensory (aroma) properties of aquafaba as an ingredient, with secondary application in a finished chocolate mousse product.</t>
  </si>
  <si>
    <t xml:space="preserve">I agree with Sonnet. Ingredient optimisation primary – core contribution is improving aquafaba as an ingredient through fermentation. End product formulation is secondary as it is demonstrative and not the primary subject of the study.</t>
  </si>
  <si>
    <t xml:space="preserve">pub.1193027836</t>
  </si>
  <si>
    <t xml:space="preserve">The Necessary Transition Towards Healthier Diets: An Assessment of Replacing Meat and Refined Wheat Flour with a Mixture of Different Plant-Based Foods</t>
  </si>
  <si>
    <t xml:space="preserve">Currently, at least one third of greenhouse gas (GHG) emissions come from the agricultural sector, with meat production making a particularly significant contribution. Therefore, alongside the ongoing efforts to transform transport and cut its emissions, it is essential to adopt urgent measures that limit GHG emissions from food production, consumption and distribution. Without them, the Paris Agreement goal of net-zero GHG emissions by 2050 cannot be met, and the most severe impacts of climate change will not be avoided. In principle, lowering emissions from the global food system may appear simple, as no new technology (for example, electric cars or carbon-neutral fuels) is required to decarbonize transport. However, since meat consumption accounts for the majority of food related GHG emissions, it must be coupled with a sharp reduction in the large-scale production and consumption of animal foods. Encouragingly, a growing number of consumers already choose diets that are both healthy and environmentally sustainable. As meat reduction gains popularity in these groups, plant-based products are expanding in the marketplace, mainly in the form of snacks, pasta, pizzas and especially vegan or vegetarian burgers. Thus, almost spontaneously, components of the Westernized diet, rich in ultra-processed foods, salt, sugar and animal protein, are gradually being replaced by plant-derived nutrients that are healthier and more environmentally friendly. To accelerate this trend, legal measures could be introduced to improve the nutritional quality of widely consumed, low-nutrient snacks and to promote agricultural reforms that encourage the production of nutrient-dense legumes and pseudocereals.</t>
  </si>
  <si>
    <t xml:space="preserve">This is a perspective/commentary piece arguing for dietary and policy transitions away from meat, using environmental and health considerations as motivation without conducting specific quantitative assessments or experimental investigations.</t>
  </si>
  <si>
    <t xml:space="preserve">Other is probably correct. It’s a more generalist / opinion publication arguing for a dietary change in response to sustainability concerns, but doesn’t seem to do a systematic review of literature or data. More of an opinion piece.</t>
  </si>
  <si>
    <t xml:space="preserve">pub.1195195931</t>
  </si>
  <si>
    <t xml:space="preserve">Navigating the shift toward sustainable diets: the use of protein blends in dairy alternatives</t>
  </si>
  <si>
    <t xml:space="preserve">Food choice significantly impacts human health, economic development, environmental sustainability, and societal progress. Influencing food choice is key to collectively shaping these outcomes in support of the UN Sustainable Development Goals. Modern diets harm both human and planetary health, as the demand for high-quality dietary protein has led to an over-reliance on animal products. While global dietary guidelines encourage a transition to primarily plant-based diets, widespread adherence remains low. This can be attributed to the limited accessibility of nutritionally balanced, sustainable plant-based food products. Reducing the consumption of animal protein demands the availability of alternative products that offer comparable nutrition, while maintaining affordability, desirability, and quality attributes. Plant-based milk alternatives have emerged to support the shift away from dairy products, offering a more environmentally friendly option. However, their lack of sufficient protein quantity and quality, along with higher costs and reduced sensory appeal, limits their potential as staple components in sustainable diets. Utilizing protein blends from diverse plant sources presents a promising approach to enhancing the nutritional profile and sensory characteristics of dairy alternatives, thereby making them more comparable to their animal counterparts. Ultimately, the optimization of plant-based alternatives is crucial to their role in supporting sustainable and healthy diets.</t>
  </si>
  <si>
    <t xml:space="preserve">The paper focuses on optimizing protein blends in dairy alternative products to improve nutritional profile and sensory characteristics, making it primarily about end product formulation, with health and nutrition as a secondary theme given the emphasis on dietary protein quality and sustainable healthy diets.</t>
  </si>
  <si>
    <t xml:space="preserve">Sonnet was correct. Boundary definition is clear enough, just need to use Sonnet,</t>
  </si>
  <si>
    <t xml:space="preserve">pub.1187762379</t>
  </si>
  <si>
    <t xml:space="preserve">Plant-Based Alternatives to Meat Products</t>
  </si>
  <si>
    <t xml:space="preserve">Animal proteins have been used in the formulation and production of food products for many centuries, which has mainly been attributed to their excellent functional properties. However, the rearing of animals has been associated with an increased emission of greenhouse gases that contributes to global warming and climate change. Consequently, there has been a drive toward using alternative proteins, such as those from plant origins, which have been found to be more sustainable. A climate-smart strategy to contribute toward a reduction in meat consumption has been the formulation of plant-based meat analogues. The lower acceptance of these meat substitutes is mainly attributed to their sensorial, nutritional, and textural properties, which fail to resemble conventional meat. As such, there is a knowledge gap in understanding key aspects that come into play while formulating meat alternatives from plant sources by deciphering the link between the techno-functional attributes of protein and the various quality attributes of these food products. Therefore, this review aims to discuss the technical advances that have been made when it comes to plant-based meat substitutes that could drive consumer acceptance. There is also a huge impetus to diversify plant protein usage in meat analogues beyond soy and pea, which requires the applications of underutilised plant proteins to overcome their functional and organoleptic shortcomings, as well as the techno-economic challenges that have also been addressed in this work. Additionally, the nutritional equivalency of plant-based meat alternatives is reviewed, and the ways in which these products have been fabricated are discussed to assess the opportunities and challenges that exist in current product formulations. Other key determinants, such as environmental sustainability factors, prospective supply chain issues, and the market adoptability of plant-based meat alternatives, are also discussed. This review emphasises the fact that interlinking technical challenges with consumer insights and socioeconomic perspectives for protein transition is critical to ensure that innovations successfully land in the market.</t>
  </si>
  <si>
    <t xml:space="preserve">This is a broad review article covering multiple aspects of plant-based meat alternatives—including functional properties, texturisation, nutrition, sustainability, supply chain, and consumer acceptance—without a single primary experimental or analytical focus, making it best classified as Other, with End Product Formulation as the closest secondary theme given its emphasis on formulation quality attributes.</t>
  </si>
  <si>
    <t xml:space="preserve">Should be Other. Sonnet at least got it as secondary. Prompt v3 and v4 have already been updated to give more clarity over Other and need testing.</t>
  </si>
  <si>
    <t xml:space="preserve">pub.1187441388</t>
  </si>
  <si>
    <t xml:space="preserve">Exploring the Nutritional Profile and Cost of Plant-Based Milk Alternatives Compared with Dairy Milk in the UK with Consideration of Environmental Impact Data</t>
  </si>
  <si>
    <t xml:space="preserve">Background: Plant-based milk alternatives (PBMA) are increasingly popular, driven by medical, environmental, or moralistic reasons or perceived health benefit.
Objectives: This study aimed to compare the nutritional profile, cost, and environmental impact of all PBMA and dairy milk (DM) in the United Kingdom.
Methods: Nutritional information, ingredients, and cost of PBMA (n = 191) and DM (n = 195) were systematically collected from the top 10 supermarkets. Published data on the environmental impact of foods were assessed. Milk was classified per 100 mL by energy (kcal), macronutrients (g), and micronutrients (mg, μg) and mean/median were compared between PBMA and DM. Further analysis stratified milks by DM fat profile. PBMA were categorized according to NOVA criteria. Cost per 1 L and environmental impact were compared for PBMA and DM.
Results: PBMA with a similar fat profile to "semi-skimmed" milk had a significantly lower energy content (P &lt; 0.001) and most (except coconut) had a significantly lower saturated fat content than DM. DM provided more protein, carbohydrate, total sugar, and salt and PBMA provided more fiber and total vitamin D. In total, 92% of nonorganic PBMA were fortified with ≥1 micronutrient; 87% with calcium, 34% iodine, 79% vitamin B12, and 56% vitamin B2. PBMA contained between 2% and 16.5% of the "main ingredient," e.g. "oats." Of nonorganic PBMA, 97% were classified as "ultraprocessed." On mean, PBMA (£1.95/L) cost 64% more than DM (£1.19/L). Environmental analysis was conducted but not considered sufficiently robust to draw meaningful results (Appendix A).
Conclusions: PBMA cannot be recommended as a nutritional replacement for DM, due to varying nutritional profiles. However, some PBMA will be more beneficial than others depending on an individual's health needs. Cow milk is cheaper than PBMA. Further understanding of the potential health impacts of consuming PBMA is warranted. There is a need for robust, primary research on the environmental impacts of foods.</t>
  </si>
  <si>
    <t xml:space="preserve">The study systematically collects and compares nutritional profiles, costs, and market characteristics of plant-based milk alternatives versus dairy milk across UK supermarkets, functioning primarily as a market scoping and nutritional benchmarking study, with secondary relevance to health and nutrition implications of PBMA consumption.</t>
  </si>
  <si>
    <t xml:space="preserve">Agree with LLM. Comparison and characterisation of finished plant-based milks against dairy milks to inform product formulation. It’s not consumer research because there are no perceptions, behaviours, or purchasing intent. It could be health &amp; nutrition given the nutrition focus but that is a fine secondary.</t>
  </si>
  <si>
    <t xml:space="preserve">Green colour given when primary_LLM matches</t>
  </si>
  <si>
    <t xml:space="preserve">Haiku v2 was correct</t>
  </si>
  <si>
    <t xml:space="preserve">(1) the corrected label (supersedes) or (2) the original label</t>
  </si>
  <si>
    <t xml:space="preserve">Haiku v2 was incorrect</t>
  </si>
  <si>
    <t xml:space="preserve">where there is no corrected label.</t>
  </si>
  <si>
    <t xml:space="preserve">v4 definitely improves Other labelling vs v3</t>
  </si>
  <si>
    <t xml:space="preserve">Title</t>
  </si>
  <si>
    <t xml:space="preserve">Abstract</t>
  </si>
  <si>
    <t xml:space="preserve">Correct label</t>
  </si>
  <si>
    <t xml:space="preserve">LLM primary</t>
  </si>
  <si>
    <t xml:space="preserve">LLM secondary</t>
  </si>
  <si>
    <t xml:space="preserve">LLM reasoning</t>
  </si>
  <si>
    <t xml:space="preserve">n</t>
  </si>
  <si>
    <t xml:space="preserve">top2_correct</t>
  </si>
  <si>
    <t xml:space="preserve">primary_acc</t>
  </si>
  <si>
    <t xml:space="preserve">top2_acc</t>
  </si>
  <si>
    <t xml:space="preserve">100%</t>
  </si>
  <si>
    <t xml:space="preserve">50%</t>
  </si>
  <si>
    <t xml:space="preserve">75%</t>
  </si>
  <si>
    <t xml:space="preserve">0%</t>
  </si>
  <si>
    <t xml:space="preserve">62%</t>
  </si>
  <si>
    <t xml:space="preserve">88%</t>
  </si>
  <si>
    <t xml:space="preserve">metric</t>
  </si>
  <si>
    <t xml:space="preserve">value</t>
  </si>
  <si>
    <t xml:space="preserve">top1_accuracy</t>
  </si>
  <si>
    <t xml:space="preserve">57%</t>
  </si>
  <si>
    <t xml:space="preserve">top2_accuracy</t>
  </si>
  <si>
    <t xml:space="preserve">90%</t>
  </si>
</sst>
</file>

<file path=xl/styles.xml><?xml version="1.0" encoding="utf-8"?>
<styleSheet xmlns="http://schemas.openxmlformats.org/spreadsheetml/2006/main">
  <numFmts count="1">
    <numFmt numFmtId="164" formatCode="General"/>
  </numFmts>
  <fonts count="4">
    <font>
      <sz val="11"/>
      <color theme="1"/>
      <name val="Calibri"/>
      <family val="2"/>
      <charset val="1"/>
    </font>
    <font>
      <sz val="10"/>
      <name val="Arial"/>
      <family val="0"/>
    </font>
    <font>
      <sz val="10"/>
      <name val="Arial"/>
      <family val="0"/>
    </font>
    <font>
      <sz val="10"/>
      <name val="Arial"/>
      <family val="0"/>
    </font>
  </fonts>
  <fills count="7">
    <fill>
      <patternFill patternType="none"/>
    </fill>
    <fill>
      <patternFill patternType="gray125"/>
    </fill>
    <fill>
      <patternFill patternType="solid">
        <fgColor rgb="FF81D41A"/>
        <bgColor rgb="FF969696"/>
      </patternFill>
    </fill>
    <fill>
      <patternFill patternType="solid">
        <fgColor rgb="FFFF0000"/>
        <bgColor rgb="FF993300"/>
      </patternFill>
    </fill>
    <fill>
      <patternFill patternType="solid">
        <fgColor rgb="FFFFFF00"/>
        <bgColor rgb="FFFFFF00"/>
      </patternFill>
    </fill>
    <fill>
      <patternFill patternType="solid">
        <fgColor rgb="FFFFBF00"/>
        <bgColor rgb="FFFF9900"/>
      </patternFill>
    </fill>
    <fill>
      <patternFill patternType="solid">
        <fgColor rgb="FFE8F2A1"/>
        <bgColor rgb="FFFFFF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xf numFmtId="164" fontId="0" fillId="4"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5" borderId="0" xfId="0" applyFont="true" applyBorder="false" applyAlignment="true" applyProtection="true">
      <alignment horizontal="general" vertical="bottom" textRotation="0" wrapText="false" indent="0" shrinkToFit="false"/>
      <protection locked="true" hidden="false"/>
    </xf>
    <xf numFmtId="164" fontId="0" fillId="3" borderId="0" xfId="0" applyFont="true" applyBorder="false" applyAlignment="true" applyProtection="true">
      <alignment horizontal="general" vertical="bottom" textRotation="0" wrapText="false" indent="0" shrinkToFit="false"/>
      <protection locked="true" hidden="false"/>
    </xf>
    <xf numFmtId="164" fontId="0" fillId="6"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E8F2A1"/>
      <rgbColor rgb="FF99CCFF"/>
      <rgbColor rgb="FFFF99CC"/>
      <rgbColor rgb="FFCC99FF"/>
      <rgbColor rgb="FFFFCC99"/>
      <rgbColor rgb="FF3366FF"/>
      <rgbColor rgb="FF33CCCC"/>
      <rgbColor rgb="FF81D41A"/>
      <rgbColor rgb="FFFFBF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3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F22" activeCellId="0" sqref="F22"/>
    </sheetView>
  </sheetViews>
  <sheetFormatPr defaultColWidth="8.34375" defaultRowHeight="15" customHeight="false" zeroHeight="false" outlineLevelRow="0" outlineLevelCol="0"/>
  <cols>
    <col collapsed="false" customWidth="true" hidden="false" outlineLevel="0" max="11" min="11" style="1" width="12.57"/>
    <col collapsed="false" customWidth="true" hidden="false" outlineLevel="0" max="12" min="12" style="1" width="24.33"/>
    <col collapsed="false" customWidth="true" hidden="false" outlineLevel="0" max="13" min="13" style="1" width="9.7"/>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L1" s="1" t="s">
        <v>10</v>
      </c>
      <c r="Q1" s="1" t="s">
        <v>11</v>
      </c>
    </row>
    <row r="2" customFormat="false" ht="15" hidden="false" customHeight="false" outlineLevel="0" collapsed="false">
      <c r="A2" s="1" t="s">
        <v>12</v>
      </c>
      <c r="B2" s="1" t="s">
        <v>13</v>
      </c>
      <c r="C2" s="1" t="s">
        <v>14</v>
      </c>
      <c r="D2" s="1" t="s">
        <v>15</v>
      </c>
      <c r="E2" s="1" t="s">
        <v>16</v>
      </c>
      <c r="F2" s="2" t="s">
        <v>17</v>
      </c>
      <c r="G2" s="1" t="s">
        <v>16</v>
      </c>
      <c r="H2" s="1" t="s">
        <v>18</v>
      </c>
      <c r="I2" s="1" t="b">
        <f aca="false">FALSE()</f>
        <v>0</v>
      </c>
      <c r="J2" s="1" t="b">
        <f aca="false">TRUE()</f>
        <v>1</v>
      </c>
      <c r="L2" s="2" t="s">
        <v>17</v>
      </c>
      <c r="Q2" s="1" t="s">
        <v>19</v>
      </c>
    </row>
    <row r="3" customFormat="false" ht="15" hidden="false" customHeight="false" outlineLevel="0" collapsed="false">
      <c r="A3" s="1" t="s">
        <v>20</v>
      </c>
      <c r="B3" s="1" t="s">
        <v>21</v>
      </c>
      <c r="C3" s="1" t="s">
        <v>22</v>
      </c>
      <c r="D3" s="1" t="s">
        <v>15</v>
      </c>
      <c r="E3" s="1" t="s">
        <v>23</v>
      </c>
      <c r="F3" s="2" t="s">
        <v>24</v>
      </c>
      <c r="G3" s="1" t="s">
        <v>23</v>
      </c>
      <c r="H3" s="1" t="s">
        <v>25</v>
      </c>
      <c r="I3" s="1" t="b">
        <f aca="false">FALSE()</f>
        <v>0</v>
      </c>
      <c r="J3" s="1" t="b">
        <f aca="false">TRUE()</f>
        <v>1</v>
      </c>
      <c r="L3" s="2" t="s">
        <v>24</v>
      </c>
      <c r="Q3" s="1" t="s">
        <v>26</v>
      </c>
    </row>
    <row r="4" customFormat="false" ht="15" hidden="false" customHeight="false" outlineLevel="0" collapsed="false">
      <c r="A4" s="1" t="s">
        <v>27</v>
      </c>
      <c r="B4" s="1" t="s">
        <v>28</v>
      </c>
      <c r="C4" s="1" t="s">
        <v>29</v>
      </c>
      <c r="D4" s="1" t="s">
        <v>15</v>
      </c>
      <c r="E4" s="1" t="s">
        <v>30</v>
      </c>
      <c r="F4" s="2" t="s">
        <v>24</v>
      </c>
      <c r="G4" s="1" t="s">
        <v>30</v>
      </c>
      <c r="H4" s="1" t="s">
        <v>31</v>
      </c>
      <c r="I4" s="1" t="b">
        <f aca="false">FALSE()</f>
        <v>0</v>
      </c>
      <c r="J4" s="1" t="b">
        <f aca="false">TRUE()</f>
        <v>1</v>
      </c>
      <c r="L4" s="2" t="s">
        <v>24</v>
      </c>
      <c r="Q4" s="1" t="s">
        <v>32</v>
      </c>
    </row>
    <row r="5" customFormat="false" ht="15" hidden="false" customHeight="false" outlineLevel="0" collapsed="false">
      <c r="A5" s="1" t="s">
        <v>33</v>
      </c>
      <c r="B5" s="1" t="s">
        <v>34</v>
      </c>
      <c r="C5" s="1" t="s">
        <v>35</v>
      </c>
      <c r="D5" s="1" t="s">
        <v>15</v>
      </c>
      <c r="E5" s="1" t="s">
        <v>36</v>
      </c>
      <c r="F5" s="2" t="s">
        <v>36</v>
      </c>
      <c r="G5" s="1" t="s">
        <v>24</v>
      </c>
      <c r="H5" s="1" t="s">
        <v>37</v>
      </c>
      <c r="I5" s="1" t="b">
        <f aca="false">TRUE()</f>
        <v>1</v>
      </c>
      <c r="J5" s="1" t="b">
        <f aca="false">TRUE()</f>
        <v>1</v>
      </c>
      <c r="L5" s="3"/>
      <c r="M5" s="1" t="s">
        <v>38</v>
      </c>
      <c r="Q5" s="1" t="s">
        <v>39</v>
      </c>
    </row>
    <row r="6" customFormat="false" ht="15" hidden="false" customHeight="false" outlineLevel="0" collapsed="false">
      <c r="A6" s="1" t="s">
        <v>40</v>
      </c>
      <c r="B6" s="1" t="s">
        <v>41</v>
      </c>
      <c r="C6" s="1" t="s">
        <v>42</v>
      </c>
      <c r="D6" s="1" t="s">
        <v>15</v>
      </c>
      <c r="E6" s="1" t="s">
        <v>36</v>
      </c>
      <c r="F6" s="2" t="s">
        <v>36</v>
      </c>
      <c r="G6" s="1" t="s">
        <v>43</v>
      </c>
      <c r="H6" s="1" t="s">
        <v>44</v>
      </c>
      <c r="I6" s="1" t="b">
        <f aca="false">TRUE()</f>
        <v>1</v>
      </c>
      <c r="J6" s="1" t="b">
        <f aca="false">TRUE()</f>
        <v>1</v>
      </c>
      <c r="K6" s="4" t="s">
        <v>45</v>
      </c>
      <c r="L6" s="3"/>
      <c r="M6" s="1" t="s">
        <v>38</v>
      </c>
      <c r="Q6" s="1" t="s">
        <v>46</v>
      </c>
    </row>
    <row r="7" customFormat="false" ht="23.3" hidden="false" customHeight="false" outlineLevel="0" collapsed="false">
      <c r="A7" s="1" t="s">
        <v>47</v>
      </c>
      <c r="B7" s="1" t="s">
        <v>48</v>
      </c>
      <c r="C7" s="5" t="s">
        <v>49</v>
      </c>
      <c r="D7" s="1" t="s">
        <v>15</v>
      </c>
      <c r="E7" s="1" t="s">
        <v>36</v>
      </c>
      <c r="F7" s="3" t="s">
        <v>17</v>
      </c>
      <c r="G7" s="1" t="s">
        <v>36</v>
      </c>
      <c r="H7" s="1" t="s">
        <v>50</v>
      </c>
      <c r="I7" s="1" t="b">
        <f aca="false">FALSE()</f>
        <v>0</v>
      </c>
      <c r="J7" s="1" t="b">
        <f aca="false">TRUE()</f>
        <v>1</v>
      </c>
      <c r="K7" s="6" t="s">
        <v>51</v>
      </c>
      <c r="L7" s="3"/>
      <c r="M7" s="1" t="s">
        <v>52</v>
      </c>
      <c r="Q7" s="1" t="s">
        <v>53</v>
      </c>
    </row>
    <row r="8" customFormat="false" ht="15" hidden="false" customHeight="false" outlineLevel="0" collapsed="false">
      <c r="A8" s="1" t="s">
        <v>54</v>
      </c>
      <c r="B8" s="1" t="s">
        <v>55</v>
      </c>
      <c r="C8" s="1" t="s">
        <v>56</v>
      </c>
      <c r="D8" s="1" t="s">
        <v>15</v>
      </c>
      <c r="E8" s="1" t="s">
        <v>36</v>
      </c>
      <c r="F8" s="2" t="s">
        <v>36</v>
      </c>
      <c r="G8" s="1" t="s">
        <v>24</v>
      </c>
      <c r="H8" s="1" t="s">
        <v>57</v>
      </c>
      <c r="I8" s="1" t="b">
        <f aca="false">TRUE()</f>
        <v>1</v>
      </c>
      <c r="J8" s="1" t="b">
        <f aca="false">TRUE()</f>
        <v>1</v>
      </c>
      <c r="K8" s="4" t="s">
        <v>45</v>
      </c>
      <c r="L8" s="3"/>
      <c r="M8" s="1" t="s">
        <v>38</v>
      </c>
      <c r="Q8" s="1" t="s">
        <v>58</v>
      </c>
    </row>
    <row r="9" customFormat="false" ht="15" hidden="false" customHeight="false" outlineLevel="0" collapsed="false">
      <c r="A9" s="1" t="s">
        <v>59</v>
      </c>
      <c r="B9" s="1" t="s">
        <v>60</v>
      </c>
      <c r="C9" s="1" t="s">
        <v>61</v>
      </c>
      <c r="D9" s="1" t="s">
        <v>15</v>
      </c>
      <c r="E9" s="1" t="s">
        <v>36</v>
      </c>
      <c r="F9" s="2" t="s">
        <v>24</v>
      </c>
      <c r="G9" s="1" t="s">
        <v>36</v>
      </c>
      <c r="H9" s="1" t="s">
        <v>62</v>
      </c>
      <c r="I9" s="1" t="b">
        <f aca="false">FALSE()</f>
        <v>0</v>
      </c>
      <c r="J9" s="1" t="b">
        <f aca="false">TRUE()</f>
        <v>1</v>
      </c>
      <c r="L9" s="2" t="s">
        <v>24</v>
      </c>
      <c r="Q9" s="1" t="s">
        <v>63</v>
      </c>
    </row>
    <row r="10" customFormat="false" ht="15" hidden="false" customHeight="false" outlineLevel="0" collapsed="false">
      <c r="A10" s="1" t="s">
        <v>64</v>
      </c>
      <c r="B10" s="1" t="s">
        <v>65</v>
      </c>
      <c r="C10" s="1" t="s">
        <v>66</v>
      </c>
      <c r="D10" s="1" t="s">
        <v>15</v>
      </c>
      <c r="E10" s="1" t="s">
        <v>23</v>
      </c>
      <c r="F10" s="2" t="s">
        <v>23</v>
      </c>
      <c r="G10" s="1" t="s">
        <v>30</v>
      </c>
      <c r="H10" s="1" t="s">
        <v>67</v>
      </c>
      <c r="I10" s="1" t="b">
        <f aca="false">TRUE()</f>
        <v>1</v>
      </c>
      <c r="J10" s="1" t="b">
        <f aca="false">TRUE()</f>
        <v>1</v>
      </c>
      <c r="L10" s="3"/>
      <c r="M10" s="1" t="s">
        <v>38</v>
      </c>
      <c r="Q10" s="1" t="s">
        <v>68</v>
      </c>
    </row>
    <row r="11" customFormat="false" ht="15" hidden="false" customHeight="false" outlineLevel="0" collapsed="false">
      <c r="A11" s="1" t="s">
        <v>69</v>
      </c>
      <c r="B11" s="1" t="s">
        <v>70</v>
      </c>
      <c r="C11" s="1" t="s">
        <v>71</v>
      </c>
      <c r="D11" s="1" t="s">
        <v>15</v>
      </c>
      <c r="E11" s="1" t="s">
        <v>72</v>
      </c>
      <c r="F11" s="2" t="s">
        <v>16</v>
      </c>
      <c r="G11" s="1" t="s">
        <v>72</v>
      </c>
      <c r="H11" s="1" t="s">
        <v>73</v>
      </c>
      <c r="I11" s="1" t="b">
        <f aca="false">FALSE()</f>
        <v>0</v>
      </c>
      <c r="J11" s="1" t="b">
        <f aca="false">TRUE()</f>
        <v>1</v>
      </c>
      <c r="L11" s="2" t="s">
        <v>16</v>
      </c>
      <c r="Q11" s="1" t="s">
        <v>74</v>
      </c>
    </row>
    <row r="12" customFormat="false" ht="15" hidden="false" customHeight="false" outlineLevel="0" collapsed="false">
      <c r="A12" s="1" t="s">
        <v>75</v>
      </c>
      <c r="B12" s="1" t="s">
        <v>76</v>
      </c>
      <c r="C12" s="1" t="s">
        <v>77</v>
      </c>
      <c r="D12" s="1" t="s">
        <v>15</v>
      </c>
      <c r="E12" s="1" t="s">
        <v>36</v>
      </c>
      <c r="F12" s="2" t="s">
        <v>16</v>
      </c>
      <c r="G12" s="1" t="s">
        <v>30</v>
      </c>
      <c r="H12" s="1" t="s">
        <v>78</v>
      </c>
      <c r="I12" s="1" t="b">
        <f aca="false">FALSE()</f>
        <v>0</v>
      </c>
      <c r="J12" s="1" t="b">
        <f aca="false">FALSE()</f>
        <v>0</v>
      </c>
      <c r="L12" s="2" t="s">
        <v>16</v>
      </c>
      <c r="Q12" s="1" t="s">
        <v>79</v>
      </c>
    </row>
    <row r="13" customFormat="false" ht="15" hidden="false" customHeight="false" outlineLevel="0" collapsed="false">
      <c r="A13" s="1" t="s">
        <v>80</v>
      </c>
      <c r="B13" s="1" t="s">
        <v>81</v>
      </c>
      <c r="C13" s="1" t="s">
        <v>82</v>
      </c>
      <c r="D13" s="1" t="s">
        <v>15</v>
      </c>
      <c r="E13" s="1" t="s">
        <v>23</v>
      </c>
      <c r="F13" s="3" t="s">
        <v>72</v>
      </c>
      <c r="G13" s="1" t="s">
        <v>16</v>
      </c>
      <c r="H13" s="1" t="s">
        <v>83</v>
      </c>
      <c r="I13" s="1" t="b">
        <f aca="false">FALSE()</f>
        <v>0</v>
      </c>
      <c r="J13" s="1" t="b">
        <f aca="false">FALSE()</f>
        <v>0</v>
      </c>
      <c r="K13" s="6" t="s">
        <v>84</v>
      </c>
      <c r="L13" s="3" t="s">
        <v>16</v>
      </c>
      <c r="Q13" s="1" t="s">
        <v>85</v>
      </c>
    </row>
    <row r="14" customFormat="false" ht="15" hidden="false" customHeight="false" outlineLevel="0" collapsed="false">
      <c r="A14" s="1" t="s">
        <v>86</v>
      </c>
      <c r="B14" s="1" t="s">
        <v>87</v>
      </c>
      <c r="C14" s="1" t="s">
        <v>88</v>
      </c>
      <c r="D14" s="1" t="s">
        <v>15</v>
      </c>
      <c r="E14" s="1" t="s">
        <v>23</v>
      </c>
      <c r="F14" s="3" t="s">
        <v>23</v>
      </c>
      <c r="G14" s="1" t="s">
        <v>30</v>
      </c>
      <c r="H14" s="1" t="s">
        <v>89</v>
      </c>
      <c r="I14" s="1" t="b">
        <f aca="false">TRUE()</f>
        <v>1</v>
      </c>
      <c r="J14" s="1" t="b">
        <f aca="false">TRUE()</f>
        <v>1</v>
      </c>
      <c r="K14" s="6" t="s">
        <v>84</v>
      </c>
      <c r="L14" s="2" t="s">
        <v>30</v>
      </c>
      <c r="Q14" s="1" t="s">
        <v>90</v>
      </c>
    </row>
    <row r="15" customFormat="false" ht="15" hidden="false" customHeight="false" outlineLevel="0" collapsed="false">
      <c r="A15" s="1" t="s">
        <v>91</v>
      </c>
      <c r="B15" s="1" t="s">
        <v>92</v>
      </c>
      <c r="C15" s="1" t="s">
        <v>93</v>
      </c>
      <c r="D15" s="1" t="s">
        <v>15</v>
      </c>
      <c r="E15" s="1" t="s">
        <v>43</v>
      </c>
      <c r="F15" s="2" t="s">
        <v>43</v>
      </c>
      <c r="G15" s="1" t="s">
        <v>24</v>
      </c>
      <c r="H15" s="1" t="s">
        <v>94</v>
      </c>
      <c r="I15" s="1" t="b">
        <f aca="false">TRUE()</f>
        <v>1</v>
      </c>
      <c r="J15" s="1" t="b">
        <f aca="false">TRUE()</f>
        <v>1</v>
      </c>
      <c r="L15" s="3"/>
      <c r="M15" s="1" t="s">
        <v>38</v>
      </c>
      <c r="Q15" s="1" t="s">
        <v>95</v>
      </c>
    </row>
    <row r="16" customFormat="false" ht="15" hidden="false" customHeight="false" outlineLevel="0" collapsed="false">
      <c r="A16" s="1" t="s">
        <v>96</v>
      </c>
      <c r="B16" s="1" t="s">
        <v>97</v>
      </c>
      <c r="C16" s="1" t="s">
        <v>98</v>
      </c>
      <c r="D16" s="1" t="s">
        <v>15</v>
      </c>
      <c r="E16" s="1" t="s">
        <v>30</v>
      </c>
      <c r="F16" s="2" t="s">
        <v>30</v>
      </c>
      <c r="G16" s="1" t="s">
        <v>16</v>
      </c>
      <c r="H16" s="1" t="s">
        <v>99</v>
      </c>
      <c r="I16" s="1" t="b">
        <f aca="false">TRUE()</f>
        <v>1</v>
      </c>
      <c r="J16" s="1" t="b">
        <f aca="false">TRUE()</f>
        <v>1</v>
      </c>
      <c r="L16" s="3"/>
      <c r="M16" s="1" t="s">
        <v>38</v>
      </c>
      <c r="Q16" s="1" t="s">
        <v>100</v>
      </c>
    </row>
    <row r="17" customFormat="false" ht="15" hidden="false" customHeight="false" outlineLevel="0" collapsed="false">
      <c r="A17" s="1" t="s">
        <v>101</v>
      </c>
      <c r="B17" s="1" t="s">
        <v>102</v>
      </c>
      <c r="C17" s="1" t="s">
        <v>103</v>
      </c>
      <c r="D17" s="1" t="s">
        <v>15</v>
      </c>
      <c r="E17" s="1" t="s">
        <v>17</v>
      </c>
      <c r="F17" s="2" t="s">
        <v>17</v>
      </c>
      <c r="G17" s="1" t="s">
        <v>104</v>
      </c>
      <c r="H17" s="1" t="s">
        <v>105</v>
      </c>
      <c r="I17" s="1" t="b">
        <f aca="false">TRUE()</f>
        <v>1</v>
      </c>
      <c r="J17" s="1" t="b">
        <f aca="false">TRUE()</f>
        <v>1</v>
      </c>
      <c r="L17" s="3"/>
      <c r="M17" s="1" t="s">
        <v>38</v>
      </c>
      <c r="Q17" s="1" t="s">
        <v>106</v>
      </c>
    </row>
    <row r="18" customFormat="false" ht="15" hidden="false" customHeight="false" outlineLevel="0" collapsed="false">
      <c r="A18" s="1" t="s">
        <v>107</v>
      </c>
      <c r="B18" s="1" t="s">
        <v>108</v>
      </c>
      <c r="C18" s="1" t="s">
        <v>109</v>
      </c>
      <c r="D18" s="1" t="s">
        <v>15</v>
      </c>
      <c r="E18" s="1" t="s">
        <v>30</v>
      </c>
      <c r="F18" s="2" t="s">
        <v>16</v>
      </c>
      <c r="G18" s="1" t="s">
        <v>30</v>
      </c>
      <c r="H18" s="1" t="s">
        <v>110</v>
      </c>
      <c r="I18" s="1" t="b">
        <f aca="false">FALSE()</f>
        <v>0</v>
      </c>
      <c r="J18" s="1" t="b">
        <f aca="false">TRUE()</f>
        <v>1</v>
      </c>
      <c r="L18" s="3" t="s">
        <v>16</v>
      </c>
      <c r="M18" s="1" t="s">
        <v>38</v>
      </c>
      <c r="Q18" s="1" t="s">
        <v>111</v>
      </c>
    </row>
    <row r="19" customFormat="false" ht="15" hidden="false" customHeight="false" outlineLevel="0" collapsed="false">
      <c r="A19" s="1" t="s">
        <v>112</v>
      </c>
      <c r="B19" s="1" t="s">
        <v>113</v>
      </c>
      <c r="C19" s="1" t="s">
        <v>114</v>
      </c>
      <c r="D19" s="1" t="s">
        <v>15</v>
      </c>
      <c r="E19" s="1" t="s">
        <v>36</v>
      </c>
      <c r="F19" s="2" t="s">
        <v>36</v>
      </c>
      <c r="G19" s="1" t="s">
        <v>43</v>
      </c>
      <c r="H19" s="1" t="s">
        <v>115</v>
      </c>
      <c r="I19" s="1" t="b">
        <f aca="false">TRUE()</f>
        <v>1</v>
      </c>
      <c r="J19" s="1" t="b">
        <f aca="false">TRUE()</f>
        <v>1</v>
      </c>
      <c r="K19" s="4" t="s">
        <v>45</v>
      </c>
      <c r="L19" s="3"/>
      <c r="M19" s="1" t="s">
        <v>38</v>
      </c>
      <c r="Q19" s="1" t="s">
        <v>116</v>
      </c>
    </row>
    <row r="20" customFormat="false" ht="15" hidden="false" customHeight="false" outlineLevel="0" collapsed="false">
      <c r="A20" s="1" t="s">
        <v>117</v>
      </c>
      <c r="B20" s="1" t="s">
        <v>118</v>
      </c>
      <c r="C20" s="1" t="s">
        <v>119</v>
      </c>
      <c r="D20" s="1" t="s">
        <v>15</v>
      </c>
      <c r="E20" s="1" t="s">
        <v>30</v>
      </c>
      <c r="F20" s="2" t="s">
        <v>30</v>
      </c>
      <c r="G20" s="1" t="s">
        <v>23</v>
      </c>
      <c r="H20" s="1" t="s">
        <v>120</v>
      </c>
      <c r="I20" s="1" t="b">
        <f aca="false">TRUE()</f>
        <v>1</v>
      </c>
      <c r="J20" s="1" t="b">
        <f aca="false">TRUE()</f>
        <v>1</v>
      </c>
      <c r="L20" s="3"/>
      <c r="M20" s="1" t="s">
        <v>38</v>
      </c>
      <c r="Q20" s="1" t="s">
        <v>121</v>
      </c>
    </row>
    <row r="21" customFormat="false" ht="15" hidden="false" customHeight="false" outlineLevel="0" collapsed="false">
      <c r="A21" s="1" t="s">
        <v>122</v>
      </c>
      <c r="B21" s="1" t="s">
        <v>123</v>
      </c>
      <c r="C21" s="1" t="s">
        <v>124</v>
      </c>
      <c r="D21" s="1" t="s">
        <v>15</v>
      </c>
      <c r="E21" s="1" t="s">
        <v>36</v>
      </c>
      <c r="F21" s="2" t="s">
        <v>36</v>
      </c>
      <c r="G21" s="1" t="s">
        <v>30</v>
      </c>
      <c r="H21" s="1" t="s">
        <v>125</v>
      </c>
      <c r="I21" s="1" t="b">
        <f aca="false">TRUE()</f>
        <v>1</v>
      </c>
      <c r="J21" s="1" t="b">
        <f aca="false">TRUE()</f>
        <v>1</v>
      </c>
      <c r="K21" s="4" t="s">
        <v>45</v>
      </c>
      <c r="L21" s="3"/>
      <c r="M21" s="1" t="s">
        <v>38</v>
      </c>
      <c r="Q21" s="1" t="s">
        <v>126</v>
      </c>
    </row>
    <row r="22" customFormat="false" ht="56" hidden="false" customHeight="false" outlineLevel="0" collapsed="false">
      <c r="A22" s="1" t="s">
        <v>127</v>
      </c>
      <c r="B22" s="1" t="s">
        <v>128</v>
      </c>
      <c r="C22" s="5" t="s">
        <v>129</v>
      </c>
      <c r="D22" s="1" t="s">
        <v>15</v>
      </c>
      <c r="E22" s="1" t="s">
        <v>24</v>
      </c>
      <c r="F22" s="7" t="s">
        <v>24</v>
      </c>
      <c r="G22" s="1" t="s">
        <v>23</v>
      </c>
      <c r="H22" s="1" t="s">
        <v>130</v>
      </c>
      <c r="I22" s="1" t="b">
        <f aca="false">TRUE()</f>
        <v>1</v>
      </c>
      <c r="J22" s="1" t="b">
        <f aca="false">TRUE()</f>
        <v>1</v>
      </c>
      <c r="L22" s="2" t="s">
        <v>30</v>
      </c>
      <c r="Q22" s="1" t="s">
        <v>131</v>
      </c>
    </row>
    <row r="25" customFormat="false" ht="15" hidden="false" customHeight="false" outlineLevel="0" collapsed="false">
      <c r="F25" s="1" t="s">
        <v>132</v>
      </c>
      <c r="L25" s="2" t="s">
        <v>133</v>
      </c>
    </row>
    <row r="26" customFormat="false" ht="15" hidden="false" customHeight="false" outlineLevel="0" collapsed="false">
      <c r="F26" s="1" t="s">
        <v>134</v>
      </c>
      <c r="L26" s="3" t="s">
        <v>135</v>
      </c>
    </row>
    <row r="27" customFormat="false" ht="15" hidden="false" customHeight="false" outlineLevel="0" collapsed="false">
      <c r="F27" s="1" t="s">
        <v>136</v>
      </c>
    </row>
    <row r="31" customFormat="false" ht="15" hidden="false" customHeight="false" outlineLevel="0" collapsed="false">
      <c r="F31" s="8" t="s">
        <v>137</v>
      </c>
      <c r="G31" s="8"/>
      <c r="H31" s="8"/>
      <c r="I31" s="8"/>
      <c r="J31" s="8"/>
    </row>
    <row r="34" customFormat="false" ht="15" hidden="false" customHeight="false" outlineLevel="0" collapsed="false">
      <c r="B34" s="1" t="s">
        <v>138</v>
      </c>
      <c r="C34" s="1" t="s">
        <v>139</v>
      </c>
      <c r="D34" s="1" t="s">
        <v>140</v>
      </c>
      <c r="E34" s="1" t="s">
        <v>141</v>
      </c>
      <c r="F34" s="1" t="s">
        <v>142</v>
      </c>
      <c r="G34" s="1" t="s">
        <v>143</v>
      </c>
    </row>
    <row r="35" customFormat="false" ht="23.3" hidden="false" customHeight="false" outlineLevel="0" collapsed="false">
      <c r="B35" s="1" t="s">
        <v>48</v>
      </c>
      <c r="C35" s="5" t="s">
        <v>49</v>
      </c>
      <c r="D35" s="5" t="s">
        <v>36</v>
      </c>
      <c r="E35" s="5" t="s">
        <v>17</v>
      </c>
      <c r="F35" s="1" t="s">
        <v>36</v>
      </c>
      <c r="G35" s="1" t="s">
        <v>50</v>
      </c>
    </row>
    <row r="36" customFormat="false" ht="15" hidden="false" customHeight="false" outlineLevel="0" collapsed="false">
      <c r="B36" s="1" t="s">
        <v>81</v>
      </c>
      <c r="C36" s="1" t="s">
        <v>82</v>
      </c>
      <c r="D36" s="5" t="s">
        <v>16</v>
      </c>
      <c r="E36" s="5" t="s">
        <v>72</v>
      </c>
      <c r="F36" s="1" t="s">
        <v>16</v>
      </c>
      <c r="G36" s="1" t="s">
        <v>83</v>
      </c>
    </row>
    <row r="37" customFormat="false" ht="15" hidden="false" customHeight="false" outlineLevel="0" collapsed="false">
      <c r="B37" s="1" t="s">
        <v>87</v>
      </c>
      <c r="C37" s="1" t="s">
        <v>88</v>
      </c>
      <c r="D37" s="5" t="s">
        <v>30</v>
      </c>
      <c r="E37" s="5" t="s">
        <v>23</v>
      </c>
      <c r="F37" s="1" t="s">
        <v>30</v>
      </c>
      <c r="G37" s="1" t="s">
        <v>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1" t="s">
        <v>4</v>
      </c>
      <c r="B1" s="1" t="s">
        <v>144</v>
      </c>
      <c r="C1" s="1" t="s">
        <v>8</v>
      </c>
      <c r="D1" s="1" t="s">
        <v>145</v>
      </c>
      <c r="E1" s="1" t="s">
        <v>146</v>
      </c>
      <c r="F1" s="1" t="s">
        <v>147</v>
      </c>
    </row>
    <row r="2" customFormat="false" ht="15" hidden="false" customHeight="false" outlineLevel="0" collapsed="false">
      <c r="A2" s="1" t="s">
        <v>24</v>
      </c>
      <c r="B2" s="1" t="n">
        <v>1</v>
      </c>
      <c r="C2" s="1" t="n">
        <v>1</v>
      </c>
      <c r="D2" s="1" t="n">
        <v>1</v>
      </c>
      <c r="E2" s="1" t="s">
        <v>148</v>
      </c>
      <c r="F2" s="1" t="s">
        <v>148</v>
      </c>
    </row>
    <row r="3" customFormat="false" ht="15" hidden="false" customHeight="false" outlineLevel="0" collapsed="false">
      <c r="A3" s="1" t="s">
        <v>30</v>
      </c>
      <c r="B3" s="1" t="n">
        <v>4</v>
      </c>
      <c r="C3" s="1" t="n">
        <v>2</v>
      </c>
      <c r="D3" s="1" t="n">
        <v>4</v>
      </c>
      <c r="E3" s="1" t="s">
        <v>149</v>
      </c>
      <c r="F3" s="1" t="s">
        <v>148</v>
      </c>
    </row>
    <row r="4" customFormat="false" ht="15" hidden="false" customHeight="false" outlineLevel="0" collapsed="false">
      <c r="A4" s="1" t="s">
        <v>17</v>
      </c>
      <c r="B4" s="1" t="n">
        <v>1</v>
      </c>
      <c r="C4" s="1" t="n">
        <v>1</v>
      </c>
      <c r="D4" s="1" t="n">
        <v>1</v>
      </c>
      <c r="E4" s="1" t="s">
        <v>148</v>
      </c>
      <c r="F4" s="1" t="s">
        <v>148</v>
      </c>
    </row>
    <row r="5" customFormat="false" ht="15" hidden="false" customHeight="false" outlineLevel="0" collapsed="false">
      <c r="A5" s="1" t="s">
        <v>23</v>
      </c>
      <c r="B5" s="1" t="n">
        <v>4</v>
      </c>
      <c r="C5" s="1" t="n">
        <v>2</v>
      </c>
      <c r="D5" s="1" t="n">
        <v>3</v>
      </c>
      <c r="E5" s="1" t="s">
        <v>149</v>
      </c>
      <c r="F5" s="1" t="s">
        <v>150</v>
      </c>
    </row>
    <row r="6" customFormat="false" ht="15" hidden="false" customHeight="false" outlineLevel="0" collapsed="false">
      <c r="A6" s="1" t="s">
        <v>43</v>
      </c>
      <c r="B6" s="1" t="n">
        <v>1</v>
      </c>
      <c r="C6" s="1" t="n">
        <v>1</v>
      </c>
      <c r="D6" s="1" t="n">
        <v>1</v>
      </c>
      <c r="E6" s="1" t="s">
        <v>148</v>
      </c>
      <c r="F6" s="1" t="s">
        <v>148</v>
      </c>
    </row>
    <row r="7" customFormat="false" ht="15" hidden="false" customHeight="false" outlineLevel="0" collapsed="false">
      <c r="A7" s="1" t="s">
        <v>16</v>
      </c>
      <c r="B7" s="1" t="n">
        <v>1</v>
      </c>
      <c r="C7" s="1" t="n">
        <v>0</v>
      </c>
      <c r="D7" s="1" t="n">
        <v>1</v>
      </c>
      <c r="E7" s="1" t="s">
        <v>151</v>
      </c>
      <c r="F7" s="1" t="s">
        <v>148</v>
      </c>
    </row>
    <row r="8" customFormat="false" ht="15" hidden="false" customHeight="false" outlineLevel="0" collapsed="false">
      <c r="A8" s="1" t="s">
        <v>36</v>
      </c>
      <c r="B8" s="1" t="n">
        <v>8</v>
      </c>
      <c r="C8" s="1" t="n">
        <v>5</v>
      </c>
      <c r="D8" s="1" t="n">
        <v>7</v>
      </c>
      <c r="E8" s="1" t="s">
        <v>152</v>
      </c>
      <c r="F8" s="1" t="s">
        <v>153</v>
      </c>
    </row>
    <row r="9" customFormat="false" ht="15" hidden="false" customHeight="false" outlineLevel="0" collapsed="false">
      <c r="A9" s="1" t="s">
        <v>72</v>
      </c>
      <c r="B9" s="1" t="n">
        <v>1</v>
      </c>
      <c r="C9" s="1" t="n">
        <v>0</v>
      </c>
      <c r="D9" s="1" t="n">
        <v>1</v>
      </c>
      <c r="E9" s="1" t="s">
        <v>151</v>
      </c>
      <c r="F9" s="1" t="s">
        <v>148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1" t="s">
        <v>154</v>
      </c>
      <c r="B1" s="1" t="s">
        <v>155</v>
      </c>
      <c r="C1" s="1" t="s">
        <v>144</v>
      </c>
    </row>
    <row r="2" customFormat="false" ht="15" hidden="false" customHeight="false" outlineLevel="0" collapsed="false">
      <c r="A2" s="1" t="s">
        <v>156</v>
      </c>
      <c r="B2" s="1" t="s">
        <v>157</v>
      </c>
      <c r="C2" s="1" t="n">
        <v>21</v>
      </c>
    </row>
    <row r="3" customFormat="false" ht="15" hidden="false" customHeight="false" outlineLevel="0" collapsed="false">
      <c r="A3" s="1" t="s">
        <v>158</v>
      </c>
      <c r="B3" s="1" t="s">
        <v>159</v>
      </c>
      <c r="C3" s="1" t="n">
        <v>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2026-06-23T10:46:21Z</dcterms:created>
  <dc:creator>openpyxl</dc:creator>
  <dc:description/>
  <dc:language>en-GB</dc:language>
  <cp:lastModifiedBy/>
  <dcterms:modified xsi:type="dcterms:W3CDTF">2026-06-23T12:55:42Z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