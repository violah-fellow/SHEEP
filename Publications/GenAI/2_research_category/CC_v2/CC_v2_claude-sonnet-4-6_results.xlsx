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<sst xmlns="http://schemas.openxmlformats.org/spreadsheetml/2006/main" count="132" uniqueCount="80">
  <si>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</si>
  <si>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</si>
  <si>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</si>
  <si>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</si>
  <si>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</si>
  <si>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</si>
  <si>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</si>
  <si>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</si>
  <si>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</si>
  <si>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</si>
  <si>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pub.1187276166</t>
  </si>
  <si>
    <t xml:space="preserve">Foodomics: A lever to avoid the Darwinian boomerang of malnutrition and compromised nutritional value in the rapidly emerging green food transition</t>
  </si>
  <si>
    <t xml:space="preserve">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</si>
  <si>
    <t xml:space="preserve">CC</t>
  </si>
  <si>
    <t xml:space="preserve">Health &amp; nutrition</t>
  </si>
  <si>
    <t xml:space="preserve">Other</t>
  </si>
  <si>
    <t xml:space="preserve">This broad review spans multiple categories (sustainability, plant-based diets, food safety, nutrition, cellular agriculture, processing) without a single dominant research focus, making it primarily Other, though health and nutritional adequacy concerns are the most recurrent theme throughout.</t>
  </si>
  <si>
    <t xml:space="preserve">Bafflingly broad – definitely Other.</t>
  </si>
  <si>
    <t xml:space="preserve">pub.1185255386</t>
  </si>
  <si>
    <t xml:space="preserve">Alternative Protein-Based Meat and Fish Analogs by Conventional and Novel Processing Technologies: A Systematic Review and Bibliometric Analysis</t>
  </si>
  <si>
    <t xml:space="preserve">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</si>
  <si>
    <t xml:space="preserve">Texturization methods</t>
  </si>
  <si>
    <t xml:space="preserve">End product formulation</t>
  </si>
  <si>
    <t xml:space="preserve">The review systematically examines the development of meat and fish analog products, focusing on the alternative protein sources used and the processing technologies (extrusion, 3D printing, mixing) employed to produce finished analogs with appropriate textural and sensory properties.</t>
  </si>
  <si>
    <t xml:space="preserve">Should be texturization. Processing technologies are more texturization than end product formulation.</t>
  </si>
  <si>
    <t xml:space="preserve">pub.1186478980</t>
  </si>
  <si>
    <t xml:space="preserve">Regulatory barriers and incentives for alternative proteins in the European Union and Australia–New Zealand</t>
  </si>
  <si>
    <t xml:space="preserve">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</si>
  <si>
    <t xml:space="preserve">Food safety &amp; quality</t>
  </si>
  <si>
    <t xml:space="preserve">Impact assessments</t>
  </si>
  <si>
    <t xml:space="preserve">The paper conducts a comparative regulatory policy analysis of novel food frameworks in the EU and Australia-New Zealand, incorporating stakeholder consultations to identify regulatory barriers and incentives — fitting Impact assessments (policy/regulatory analysis) as primary, with Food safety &amp; quality (novel food regulatory approval pathways) as secondary.</t>
  </si>
  <si>
    <t xml:space="preserve">pub.1184131962</t>
  </si>
  <si>
    <t xml:space="preserve">Advancements in Research on Alternative Protein Sources and Their Application in Food Products: A Systematic Review</t>
  </si>
  <si>
    <t xml:space="preserve">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</si>
  <si>
    <t xml:space="preserve">Ingredient optimisation</t>
  </si>
  <si>
    <t xml:space="preserve">The review is primarily organised around the incorporation of alternative proteins (insect, mushroom, plant-based, microalgae) into finished food products, evaluating sensory, nutritional, and formulation outcomes, with a secondary focus on improving ingredient properties for product use.</t>
  </si>
  <si>
    <t xml:space="preserve">pub.1184151966</t>
  </si>
  <si>
    <t xml:space="preserve">Emerging alternatives to coffee, cocoa and palm oil deserve a spot on the research agenda</t>
  </si>
  <si>
    <t xml:space="preserve">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</si>
  <si>
    <t xml:space="preserve">This is a perspective/opinion piece arguing for research attention on cellular agriculture alternatives to coffee, cocoa, and palm oil, spanning environmental, socio-economic, and equity considerations without a single quantitative or experimental focus.</t>
  </si>
  <si>
    <t xml:space="preserve">pub.1191954992</t>
  </si>
  <si>
    <t xml:space="preserve">Exploring the Development of a Clean-Label Vegan Burger Enriched with Fermented Microalgae</t>
  </si>
  <si>
    <t xml:space="preserve">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</si>
  <si>
    <t xml:space="preserve">The study primarily investigates fermentation as a method to improve the functional, sensory, and nutritional properties of microalgal biomass ingredients, with secondary application of the optimised ingredients into a vegan burger product.</t>
  </si>
  <si>
    <t xml:space="preserve">pub.1195166812</t>
  </si>
  <si>
    <t xml:space="preserve">Exploring the Potential of Haematococcus pluvialis as a Source of Bioactives for Food Applications: A Review</t>
  </si>
  <si>
    <t xml:space="preserve">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</si>
  <si>
    <t xml:space="preserve">This review is primarily organised around improving H. pluvialis as a functional ingredient through cultivation strategies, extraction/purification methods, and bioactive enhancement, with a secondary focus on health-relevant biological outcomes (antioxidant, anti-inflammatory, neuroprotective properties) supported by in vitro, in vivo, and clinical evidence.</t>
  </si>
  <si>
    <t xml:space="preserve">pub.1196201594</t>
  </si>
  <si>
    <t xml:space="preserve">A Review on Recent Processing and Bioprocessing Developments in Alternative Proteins: Sources, Modification Methods, Economic Feasibility, and Future Challenges</t>
  </si>
  <si>
    <t xml:space="preserve">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</si>
  <si>
    <t xml:space="preserve">The review is primarily organised around modification methods (non-thermal, biological, dual approaches) aimed at improving functional properties of alternative protein ingredients from multiple sources, with secondary coverage of economic feasibility, analytical techniques, and regulatory perspectives that span multiple categories.</t>
  </si>
  <si>
    <t xml:space="preserve">pub.1192451356</t>
  </si>
  <si>
    <t xml:space="preserve">Bioactive Food Proteins: Bridging Nutritional and Functional Benefits with Sustainable Protein Sources</t>
  </si>
  <si>
    <t xml:space="preserve">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</si>
  <si>
    <t xml:space="preserve">The review is primarily organised around the physiological and health-promoting activities of bioactive food proteins (antioxidant, anti-hypertensive, immunomodulatory effects), with a secondary focus on processing and functional technologies applied to improve these protein ingredients from alternative sources.</t>
  </si>
  <si>
    <t xml:space="preserve">pub.1185588959</t>
  </si>
  <si>
    <t xml:space="preserve">How innovation-friendly is the EU novel food regulation? The case of cellular agriculture</t>
  </si>
  <si>
    <t xml:space="preserve">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</si>
  <si>
    <t xml:space="preserve">The paper systematically analyses how the EU Novel Food Regulation affects the innovation system for cellular agriculture, constituting a structured regulatory policy analysis with stakeholder consultations, which fits Impact assessments; it also directly engages with food safety authorization frameworks and regulatory approval pathways, fitting Food safety &amp; quality as a secondary focus.</t>
  </si>
  <si>
    <t xml:space="preserve">Still issues on the food safety vs impact assessment</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</si>
  <si>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</si>
  <si>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</si>
  <si>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</si>
  <si>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review is primarily organised around fermentation as a method for modifying and improving protein ingredient properties (structure, functionality, allergenicity, digestibility, bioactive compounds), with health and nutritional outcomes as a secondary focus.</t>
  </si>
  <si>
    <t xml:space="preserve">n</t>
  </si>
  <si>
    <t xml:space="preserve">top2_correct</t>
  </si>
  <si>
    <t xml:space="preserve">primary_acc</t>
  </si>
  <si>
    <t xml:space="preserve">top2_acc</t>
  </si>
  <si>
    <t xml:space="preserve">50%</t>
  </si>
  <si>
    <t xml:space="preserve">100%</t>
  </si>
  <si>
    <t xml:space="preserve">0%</t>
  </si>
  <si>
    <t xml:space="preserve">60%</t>
  </si>
  <si>
    <t xml:space="preserve">80%</t>
  </si>
  <si>
    <t xml:space="preserve">metric</t>
  </si>
  <si>
    <t xml:space="preserve">value</t>
  </si>
  <si>
    <t xml:space="preserve">top1_accuracy</t>
  </si>
  <si>
    <t xml:space="preserve">36%</t>
  </si>
  <si>
    <t xml:space="preserve">top2_accuracy</t>
  </si>
  <si>
    <t xml:space="preserve">91%</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</si>
</sst>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2" activeCellId="0" sqref="L2:L7"/>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row>
    <row r="2" customFormat="false" ht="15" hidden="false" customHeight="false" outlineLevel="0" collapsed="false">
      <c r="A2" s="0" t="s">
        <v>10</v>
      </c>
      <c r="B2" s="0" t="s">
        <v>11</v>
      </c>
      <c r="C2" s="0" t="s">
        <v>12</v>
      </c>
      <c r="D2" s="0" t="s">
        <v>13</v>
      </c>
      <c r="E2" s="0" t="s">
        <v>14</v>
      </c>
      <c r="F2" s="0" t="s">
        <v>15</v>
      </c>
      <c r="G2" s="0" t="s">
        <v>14</v>
      </c>
      <c r="H2" s="0" t="s">
        <v>16</v>
      </c>
      <c r="I2" s="1" t="b">
        <f aca="false">FALSE()</f>
        <v>0</v>
      </c>
      <c r="J2" s="2" t="b">
        <f aca="false">TRUE()</f>
        <v>1</v>
      </c>
      <c r="L2" s="0" t="s">
        <v>15</v>
      </c>
      <c r="M2" s="0" t="s">
        <v>17</v>
      </c>
    </row>
    <row r="3" customFormat="false" ht="15" hidden="false" customHeight="false" outlineLevel="0" collapsed="false">
      <c r="A3" s="0" t="s">
        <v>18</v>
      </c>
      <c r="B3" s="0" t="s">
        <v>19</v>
      </c>
      <c r="C3" s="0" t="s">
        <v>20</v>
      </c>
      <c r="D3" s="0" t="s">
        <v>13</v>
      </c>
      <c r="E3" s="0" t="s">
        <v>21</v>
      </c>
      <c r="F3" s="0" t="s">
        <v>22</v>
      </c>
      <c r="G3" s="0" t="s">
        <v>21</v>
      </c>
      <c r="H3" s="0" t="s">
        <v>23</v>
      </c>
      <c r="I3" s="3" t="b">
        <f aca="false">FALSE()</f>
        <v>0</v>
      </c>
      <c r="J3" s="2" t="b">
        <f aca="false">TRUE()</f>
        <v>1</v>
      </c>
      <c r="M3" s="0" t="s">
        <v>24</v>
      </c>
    </row>
    <row r="4" customFormat="false" ht="15" hidden="false" customHeight="false" outlineLevel="0" collapsed="false">
      <c r="A4" s="0" t="s">
        <v>25</v>
      </c>
      <c r="B4" s="0" t="s">
        <v>26</v>
      </c>
      <c r="C4" s="0" t="s">
        <v>27</v>
      </c>
      <c r="D4" s="0" t="s">
        <v>13</v>
      </c>
      <c r="E4" s="0" t="s">
        <v>28</v>
      </c>
      <c r="F4" s="0" t="s">
        <v>29</v>
      </c>
      <c r="G4" s="0" t="s">
        <v>28</v>
      </c>
      <c r="H4" s="0" t="s">
        <v>30</v>
      </c>
      <c r="I4" s="3" t="b">
        <f aca="false">FALSE()</f>
        <v>0</v>
      </c>
      <c r="J4" s="2" t="b">
        <f aca="false">TRUE()</f>
        <v>1</v>
      </c>
    </row>
    <row r="5" customFormat="false" ht="15" hidden="false" customHeight="false" outlineLevel="0" collapsed="false">
      <c r="A5" s="0" t="s">
        <v>31</v>
      </c>
      <c r="B5" s="0" t="s">
        <v>32</v>
      </c>
      <c r="C5" s="0" t="s">
        <v>33</v>
      </c>
      <c r="D5" s="0" t="s">
        <v>13</v>
      </c>
      <c r="E5" s="0" t="s">
        <v>22</v>
      </c>
      <c r="F5" s="0" t="s">
        <v>22</v>
      </c>
      <c r="G5" s="0" t="s">
        <v>34</v>
      </c>
      <c r="H5" s="0" t="s">
        <v>35</v>
      </c>
      <c r="I5" s="1" t="b">
        <f aca="false">TRUE()</f>
        <v>1</v>
      </c>
      <c r="J5" s="2" t="b">
        <f aca="false">TRUE()</f>
        <v>1</v>
      </c>
    </row>
    <row r="6" customFormat="false" ht="15" hidden="false" customHeight="false" outlineLevel="0" collapsed="false">
      <c r="A6" s="0" t="s">
        <v>36</v>
      </c>
      <c r="B6" s="0" t="s">
        <v>37</v>
      </c>
      <c r="C6" s="0" t="s">
        <v>38</v>
      </c>
      <c r="D6" s="0" t="s">
        <v>13</v>
      </c>
      <c r="E6" s="0" t="s">
        <v>34</v>
      </c>
      <c r="F6" s="0" t="s">
        <v>15</v>
      </c>
      <c r="G6" s="0" t="s">
        <v>29</v>
      </c>
      <c r="H6" s="0" t="s">
        <v>39</v>
      </c>
      <c r="I6" s="1" t="b">
        <f aca="false">FALSE()</f>
        <v>0</v>
      </c>
      <c r="J6" s="2" t="b">
        <f aca="false">FALSE()</f>
        <v>0</v>
      </c>
      <c r="L6" s="0" t="s">
        <v>15</v>
      </c>
    </row>
    <row r="7" customFormat="false" ht="15" hidden="false" customHeight="false" outlineLevel="0" collapsed="false">
      <c r="A7" s="0" t="s">
        <v>40</v>
      </c>
      <c r="B7" s="0" t="s">
        <v>41</v>
      </c>
      <c r="C7" s="0" t="s">
        <v>42</v>
      </c>
      <c r="D7" s="0" t="s">
        <v>13</v>
      </c>
      <c r="E7" s="0" t="s">
        <v>22</v>
      </c>
      <c r="F7" s="0" t="s">
        <v>34</v>
      </c>
      <c r="G7" s="0" t="s">
        <v>22</v>
      </c>
      <c r="H7" s="0" t="s">
        <v>43</v>
      </c>
      <c r="I7" s="1" t="b">
        <f aca="false">FALSE()</f>
        <v>0</v>
      </c>
      <c r="J7" s="2" t="b">
        <f aca="false">TRUE()</f>
        <v>1</v>
      </c>
      <c r="L7" s="0" t="s">
        <v>34</v>
      </c>
    </row>
    <row r="8" customFormat="false" ht="15" hidden="false" customHeight="false" outlineLevel="0" collapsed="false">
      <c r="A8" s="0" t="s">
        <v>44</v>
      </c>
      <c r="B8" s="0" t="s">
        <v>45</v>
      </c>
      <c r="C8" s="0" t="s">
        <v>46</v>
      </c>
      <c r="D8" s="0" t="s">
        <v>13</v>
      </c>
      <c r="E8" s="0" t="s">
        <v>34</v>
      </c>
      <c r="F8" s="0" t="s">
        <v>34</v>
      </c>
      <c r="G8" s="0" t="s">
        <v>14</v>
      </c>
      <c r="H8" s="0" t="s">
        <v>47</v>
      </c>
      <c r="I8" s="1" t="b">
        <f aca="false">TRUE()</f>
        <v>1</v>
      </c>
      <c r="J8" s="2" t="b">
        <f aca="false">TRUE()</f>
        <v>1</v>
      </c>
    </row>
    <row r="9" customFormat="false" ht="15" hidden="false" customHeight="false" outlineLevel="0" collapsed="false">
      <c r="A9" s="0" t="s">
        <v>48</v>
      </c>
      <c r="B9" s="0" t="s">
        <v>49</v>
      </c>
      <c r="C9" s="0" t="s">
        <v>50</v>
      </c>
      <c r="D9" s="0" t="s">
        <v>13</v>
      </c>
      <c r="E9" s="0" t="s">
        <v>34</v>
      </c>
      <c r="F9" s="0" t="s">
        <v>34</v>
      </c>
      <c r="G9" s="0" t="s">
        <v>15</v>
      </c>
      <c r="H9" s="0" t="s">
        <v>51</v>
      </c>
      <c r="I9" s="1" t="b">
        <f aca="false">TRUE()</f>
        <v>1</v>
      </c>
      <c r="J9" s="2" t="b">
        <f aca="false">TRUE()</f>
        <v>1</v>
      </c>
    </row>
    <row r="10" customFormat="false" ht="15" hidden="false" customHeight="false" outlineLevel="0" collapsed="false">
      <c r="A10" s="0" t="s">
        <v>52</v>
      </c>
      <c r="B10" s="0" t="s">
        <v>53</v>
      </c>
      <c r="C10" s="0" t="s">
        <v>54</v>
      </c>
      <c r="D10" s="0" t="s">
        <v>13</v>
      </c>
      <c r="E10" s="0" t="s">
        <v>34</v>
      </c>
      <c r="F10" s="0" t="s">
        <v>14</v>
      </c>
      <c r="G10" s="0" t="s">
        <v>34</v>
      </c>
      <c r="H10" s="0" t="s">
        <v>55</v>
      </c>
      <c r="I10" s="2" t="b">
        <f aca="false">FALSE()</f>
        <v>0</v>
      </c>
      <c r="J10" s="2" t="b">
        <f aca="false">TRUE()</f>
        <v>1</v>
      </c>
    </row>
    <row r="11" customFormat="false" ht="15" hidden="false" customHeight="false" outlineLevel="0" collapsed="false">
      <c r="A11" s="0" t="s">
        <v>56</v>
      </c>
      <c r="B11" s="0" t="s">
        <v>57</v>
      </c>
      <c r="C11" s="0" t="s">
        <v>58</v>
      </c>
      <c r="D11" s="0" t="s">
        <v>13</v>
      </c>
      <c r="E11" s="0" t="s">
        <v>28</v>
      </c>
      <c r="F11" s="0" t="s">
        <v>29</v>
      </c>
      <c r="G11" s="0" t="s">
        <v>28</v>
      </c>
      <c r="H11" s="0" t="s">
        <v>59</v>
      </c>
      <c r="I11" s="3" t="b">
        <f aca="false">FALSE()</f>
        <v>0</v>
      </c>
      <c r="J11" s="2" t="b">
        <f aca="false">TRUE()</f>
        <v>1</v>
      </c>
      <c r="M11" s="0" t="s">
        <v>60</v>
      </c>
    </row>
    <row r="12" customFormat="false" ht="15" hidden="false" customHeight="false" outlineLevel="0" collapsed="false">
      <c r="A12" s="0" t="s">
        <v>61</v>
      </c>
      <c r="B12" s="0" t="s">
        <v>62</v>
      </c>
      <c r="C12" s="0" t="s">
        <v>63</v>
      </c>
      <c r="D12" s="0" t="s">
        <v>13</v>
      </c>
      <c r="E12" s="0" t="s">
        <v>34</v>
      </c>
      <c r="F12" s="0" t="s">
        <v>34</v>
      </c>
      <c r="G12" s="0" t="s">
        <v>14</v>
      </c>
      <c r="H12" s="0" t="s">
        <v>64</v>
      </c>
      <c r="I12" s="1" t="b">
        <f aca="false">TRUE()</f>
        <v>1</v>
      </c>
      <c r="J12" s="2" t="b">
        <f aca="false">TRUE()</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L2:L7 A1"/>
    </sheetView>
  </sheetViews>
  <sheetFormatPr defaultColWidth="8.34375" defaultRowHeight="15" customHeight="false" zeroHeight="false" outlineLevelRow="0" outlineLevelCol="0"/>
  <sheetData>
    <row r="1" customFormat="false" ht="15" hidden="false" customHeight="false" outlineLevel="0" collapsed="false">
      <c r="A1" s="0" t="s">
        <v>4</v>
      </c>
      <c r="B1" s="0" t="s">
        <v>65</v>
      </c>
      <c r="C1" s="0" t="s">
        <v>8</v>
      </c>
      <c r="D1" s="0" t="s">
        <v>66</v>
      </c>
      <c r="E1" s="0" t="s">
        <v>67</v>
      </c>
      <c r="F1" s="0" t="s">
        <v>68</v>
      </c>
    </row>
    <row r="2" customFormat="false" ht="15" hidden="false" customHeight="false" outlineLevel="0" collapsed="false">
      <c r="A2" s="0" t="s">
        <v>22</v>
      </c>
      <c r="B2" s="0" t="n">
        <v>2</v>
      </c>
      <c r="C2" s="0" t="n">
        <v>1</v>
      </c>
      <c r="D2" s="0" t="n">
        <v>2</v>
      </c>
      <c r="E2" s="0" t="s">
        <v>69</v>
      </c>
      <c r="F2" s="0" t="s">
        <v>70</v>
      </c>
    </row>
    <row r="3" customFormat="false" ht="15" hidden="false" customHeight="false" outlineLevel="0" collapsed="false">
      <c r="A3" s="0" t="s">
        <v>28</v>
      </c>
      <c r="B3" s="0" t="n">
        <v>2</v>
      </c>
      <c r="C3" s="0" t="n">
        <v>0</v>
      </c>
      <c r="D3" s="0" t="n">
        <v>2</v>
      </c>
      <c r="E3" s="0" t="s">
        <v>71</v>
      </c>
      <c r="F3" s="0" t="s">
        <v>70</v>
      </c>
    </row>
    <row r="4" customFormat="false" ht="15" hidden="false" customHeight="false" outlineLevel="0" collapsed="false">
      <c r="A4" s="0" t="s">
        <v>14</v>
      </c>
      <c r="B4" s="0" t="n">
        <v>1</v>
      </c>
      <c r="C4" s="0" t="n">
        <v>0</v>
      </c>
      <c r="D4" s="0" t="n">
        <v>1</v>
      </c>
      <c r="E4" s="0" t="s">
        <v>71</v>
      </c>
      <c r="F4" s="0" t="s">
        <v>70</v>
      </c>
    </row>
    <row r="5" customFormat="false" ht="15" hidden="false" customHeight="false" outlineLevel="0" collapsed="false">
      <c r="A5" s="0" t="s">
        <v>34</v>
      </c>
      <c r="B5" s="0" t="n">
        <v>5</v>
      </c>
      <c r="C5" s="0" t="n">
        <v>3</v>
      </c>
      <c r="D5" s="0" t="n">
        <v>4</v>
      </c>
      <c r="E5" s="0" t="s">
        <v>72</v>
      </c>
      <c r="F5" s="0" t="s">
        <v>73</v>
      </c>
    </row>
    <row r="6" customFormat="false" ht="15" hidden="false" customHeight="false" outlineLevel="0" collapsed="false">
      <c r="A6" s="0" t="s">
        <v>21</v>
      </c>
      <c r="B6" s="0" t="n">
        <v>1</v>
      </c>
      <c r="C6" s="0" t="n">
        <v>0</v>
      </c>
      <c r="D6" s="0" t="n">
        <v>1</v>
      </c>
      <c r="E6" s="0" t="s">
        <v>71</v>
      </c>
      <c r="F6" s="0"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L2:L7 A1"/>
    </sheetView>
  </sheetViews>
  <sheetFormatPr defaultColWidth="8.34375" defaultRowHeight="15" customHeight="false" zeroHeight="false" outlineLevelRow="0" outlineLevelCol="0"/>
  <sheetData>
    <row r="1" customFormat="false" ht="15" hidden="false" customHeight="false" outlineLevel="0" collapsed="false">
      <c r="A1" s="0" t="s">
        <v>74</v>
      </c>
      <c r="B1" s="0" t="s">
        <v>75</v>
      </c>
      <c r="C1" s="0" t="s">
        <v>65</v>
      </c>
    </row>
    <row r="2" customFormat="false" ht="15" hidden="false" customHeight="false" outlineLevel="0" collapsed="false">
      <c r="A2" s="0" t="s">
        <v>76</v>
      </c>
      <c r="B2" s="0" t="s">
        <v>77</v>
      </c>
      <c r="C2" s="0" t="n">
        <v>11</v>
      </c>
    </row>
    <row r="3" customFormat="false" ht="15" hidden="false" customHeight="false" outlineLevel="0" collapsed="false">
      <c r="A3" s="0" t="s">
        <v>78</v>
      </c>
      <c r="B3" s="0" t="s">
        <v>79</v>
      </c>
      <c r="C3" s="0"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2026-06-26T13:38:57Z</dcterms:created>
  <dc:creator>openpyxl</dc:creator>
  <dc:description/>
  <dc:language>en-GB</dc:language>
  <cp:lastModifiedBy/>
  <dcterms:modified xsi:type="dcterms:W3CDTF">2026-06-26T14:57:00Z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