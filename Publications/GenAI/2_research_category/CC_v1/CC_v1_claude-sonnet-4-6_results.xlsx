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sults" sheetId="1" state="visible" r:id="rId3"/>
    <sheet name="by_category" sheetId="2" state="visible" r:id="rId4"/>
    <sheet name="summ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<sst xmlns="http://schemas.openxmlformats.org/spreadsheetml/2006/main" count="529" uniqueCount="281">
  <si>
    <t xml:space="preserve">id</t>
  </si>
  <si>
    <t xml:space="preserve">title</t>
  </si>
  <si>
    <t xml:space="preserve">abstract</t>
  </si>
  <si>
    <t xml:space="preserve">pillar</t>
  </si>
  <si>
    <t xml:space="preserve">research_category</t>
  </si>
  <si>
    <t xml:space="preserve">primary_LLM</t>
  </si>
  <si>
    <t xml:space="preserve">secondary_LLM</t>
  </si>
  <si>
    <t xml:space="preserve">reasoning_LLM</t>
  </si>
  <si>
    <t xml:space="preserve">primary_correct</t>
  </si>
  <si>
    <t xml:space="preserve">either_correct</t>
  </si>
  <si>
    <t xml:space="preserve">corrected</t>
  </si>
  <si>
    <t xml:space="preserve">Notes</t>
  </si>
  <si>
    <t xml:space="preserve">pub.1190543844</t>
  </si>
  <si>
    <t xml:space="preserve">Disruptive technologies and intra-value conflicts: The case of naturalness and sustainability in cellular agriculture</t>
  </si>
  <si>
    <t xml:space="preserve">Synthetic biology is a highly disruptive technology that particularly affects the agriculture and food production domains. Rather than using farmed animals or crops, synthetic biology allows for ‘cellular agriculture’—the production of agricultural commodities using cell cultures and host micro-organisms. In light of the possibility that cellular agriculture can enable sustainable food production, and considering that most people strongly prefer food that they perceive as natural, this paper is guided by the following research question: how are the values of sustainability and naturalness affected by the disruption of cellular agriculture? We analyze how different stakeholders discuss these values. After demonstrating that the intra-value conflicts evident in sustainability and naturalness are based on different interpretations of these values, we create conceptual clarity in these different interpretations and show how these intra-value conflicts relate to the ongoing divide between ecomodernism and ecology with respect to the future of agriculture and food.</t>
  </si>
  <si>
    <t xml:space="preserve">CC</t>
  </si>
  <si>
    <t xml:space="preserve">Other</t>
  </si>
  <si>
    <t xml:space="preserve">Consumer &amp; market research</t>
  </si>
  <si>
    <t xml:space="preserve">This paper is a conceptual/philosophical analysis of how stakeholders interpret values of naturalness and sustainability in cellular agriculture, fitting Other as a cross-cutting perspective piece; it touches on consumer perceptions of naturalness as a secondary theme.</t>
  </si>
  <si>
    <t xml:space="preserve">pub.1174613325</t>
  </si>
  <si>
    <t xml:space="preserve">Mechanical properties and texture profile analysis of beef burgers and plant-based analogues</t>
  </si>
  <si>
    <t xml:space="preserve">Cultivated meat, or cultured meat, is lab-grown from animal stem cells, differentiated into muscle and/or fat, to yield meat products. The process is more sustainable and more ethical than traditional farming, allowing to meet growing consumer demand. However, there remains a challenge in replicating the organoleptic properties of commercially available meat products for cultivated meat applications. Consequently, this study employs single-cycle uniaxial testing (flexion, tension, compression, cutting) governed by ISO standards, and texture profiling analysis, to ascertain the modulus, yield strain, hardness, adhesiveness, cohesiveness, springiness, resilience and chewiness of seven commercially available burgers. These were tested both raw and cooked, and comprise beef (including a range of beef contents, fat percentages and price points) and plant-based analogues. Here, we show that (i) both mechanical (flexural, compressive and cutting yield strains) and textural (cohesiveness, springiness and resilience) properties reveal clear and statistically significant divides between the cooked properties of beef compared to plant-based burgers; (ii) moreover, hardness and chewiness yield statistically significant results able to distinguish between high beef content burgers (over 95%), low beef content burgers (below 81%) and plant-based alternatives, and thus, are best suited to characterise burger properties; and (iii) there exists key target values for cultivated meat products to replicate the mechanical and textural characteristics of farmed beef burgers, identified for the first time. These findings provide novel insights into the mechanical and textural characterisation of beef and plant-based burgers, and may contribute to future developments in cultivated meat to ensure consumer acceptance.</t>
  </si>
  <si>
    <t xml:space="preserve">End product formulation</t>
  </si>
  <si>
    <t xml:space="preserve">Texturization methods</t>
  </si>
  <si>
    <t xml:space="preserve">The paper characterises mechanical and textural properties of finished burger products (beef and plant-based) to establish target values for cultivated meat, making end product formulation the primary focus, with texture profile analysis as the key experimental methodology.</t>
  </si>
  <si>
    <t xml:space="preserve">pub.1194906364</t>
  </si>
  <si>
    <t xml:space="preserve">Recent Advances in Inks for 3D Food Printing: A Review</t>
  </si>
  <si>
    <t xml:space="preserve">The integration of 3D printers into food production represents an unprecedented innovation, envisaging applications from the industry to missions in space to home cooking, with no geographical or sectoral limits. Extrusion food 3D printers are designed to use ‘food inks’ that must be produced from raw materials possessing a range of suitable characteristics (viscosity, elasticity, and others) that make them printable. Not all food matrices possess such characteristics, and additives are often needed to formulate food inks, which must also adapt to the complexity of the 3D model to be printed. Initially, mainly food matrices such as potatoes, chocolate, cereal, and legume flours and soluble-fiber-rich additives were tested with this new technology, with promising results. In recent years, alternative food matrices (e.g., based on insects, algae, cultured meat, and food waste) have begun to be experimented with, as 3D printing appears to be a suitable way to exploit their potential. This review aims to highlight recent studies that have investigated the development of innovative food ink formulations and trace a picture of the new food raw materials that are being tested for 3D food printing, the opportunities they represent, their nutritional properties, safety, and technological challenges. This review considered a total of 46 papers, selected from 330 papers published in the last 8 years (2018–2025) on the generic subject of 3D food printing.</t>
  </si>
  <si>
    <t xml:space="preserve">This is a broad review article covering 3D food printing ink formulations across multiple dimensions (nutritional properties, safety, technological challenges, diverse food matrices), making it primarily relevant to texturization methods as the central technology, but its cross-cutting review nature across multiple categories warrants Other as secondary.</t>
  </si>
  <si>
    <t xml:space="preserve">pub.1184597489</t>
  </si>
  <si>
    <t xml:space="preserve">Nutritional and Sensory Properties of Meat Analogues: A Current Overview and Future Considerations</t>
  </si>
  <si>
    <t xml:space="preserve">For centuries, meat has been a staple in the human diet, cherished for its rich protein content, vitamins, appealing texture, and umami flavor. The future supply is, however, tenuous as the global population continues to grow. Additional issues regarding animal welfare, adverse health effects, and the environmental impact of meat production have accelerated the development of meat analogues (MAs) over the last decades. From the different categories of MAs, plant-based MAs are recognized as viable alternatives globally. Despite their potential, products derived from insects, algae, fungi, or muscle tissue cell culture remain less familiar in Western cultures. Whereas ongoing research addresses the nutritional values, sensory attributes, and consumer acceptance of MAs, the existing literature offers only limited comparative analyses of the chemical composition. This review aims to address this gap by systematically comparing their advantages and elucidating their limitations in meeting current and future consumer demands.</t>
  </si>
  <si>
    <t xml:space="preserve">Health &amp; nutrition</t>
  </si>
  <si>
    <t xml:space="preserve">This review systematically compares nutritional composition and sensory properties across multiple meat analogue categories, making end product characterisation the primary focus, with health and nutritional profiling as the secondary analytical dimension.</t>
  </si>
  <si>
    <t xml:space="preserve">pub.1191849859</t>
  </si>
  <si>
    <t xml:space="preserve">The Good, the Bad, and the Unsustainable: evaluations of red meat alternatives in Italy</t>
  </si>
  <si>
    <t xml:space="preserve">Despite the proliferation of alternatives for red meat, there is still much popular resistance toward them. Based on survey data collected in Italy, this paper studies how cultural understandings of nature and tradition inform evaluations of three such alternatives vis-à-vis red meat: plant-based meat, cultivated meat and insect-based meat. The findings firstly confirm the important role of such understandings in shaping acceptance of, and resistance to, these alternatives. Secondly, they highlight how the various alternatives are evaluated differently in terms of these cultural understandings. The findings have implications both for scholarly research and for policy insights on the unique features of each meat alternative.</t>
  </si>
  <si>
    <t xml:space="preserve">This paper uses survey data to study consumer acceptance and resistance to red meat alternatives in Italy, focusing on cultural perceptions and evaluations — a clear consumer behaviour and market research study with no specific technical or scientific focus fitting other categories.</t>
  </si>
  <si>
    <t xml:space="preserve">pub.1195111619</t>
  </si>
  <si>
    <t xml:space="preserve">Algae Processing: Harnessing a Sustainable Protein Source to Combat Food Insecurity</t>
  </si>
  <si>
    <t xml:space="preserve">Plant- and animal-based proteins play a significant role in addressing global food challenges such as malnutrition and food insecurity. However, factors such as population growth and climate change have significantly impacted protein availability. Consequently, this requires food production to increase by approximately 70% by the year 2050 to meet the rising protein demand. Various research endeavors have embarked to find an alternative protein source, and algae protein has been identified as one of the potential solutions. It has been reported in the literature that some seaweed and microalgae species have similar or higher protein levels as compared to meat, egg, soybean, and milk. Studies have also reported that bioactive peptides and associated phytochemicals present in algae exhibit excellent functional characteristics, showcasing antioxidant, anticancer, antihypertensive, antidiabetic, and anti-inflammatory properties. This review paper puts emphasis on the effect of processing on the functional properties, including the structure–function relationship of algae protein. Currently, the algae market is experiencing extensive growth opportunities with diverse applications in food, livestock, fertilizer, energy, nutraceutical, and pharmaceutical industries. Hence, it is proposed that sustainable production and processing of algae should be governed by a policy and regulatory framework that integrates into existing policies linking the agriculture, environment, energy, and biotechnology sectors.</t>
  </si>
  <si>
    <t xml:space="preserve">Ingredient optimisation</t>
  </si>
  <si>
    <t xml:space="preserve">The review focuses on algae protein processing and its effects on functional properties and structure-function relationships, which aligns with ingredient optimisation, but its broad cross-cutting scope covering markets, health benefits, sustainability, and policy makes Other the secondary classification.</t>
  </si>
  <si>
    <t xml:space="preserve">pub.1194354565</t>
  </si>
  <si>
    <t xml:space="preserve">What makes a food protein unsafe?</t>
  </si>
  <si>
    <t xml:space="preserve">With a society increasingly demanding alternative protein food sources, modernised strategies for evaluating the safety of novel proteins are needed. These strategies must address any potential adverse effects novel proteins might pose to human health. Current frameworks for protein safety assessment are largely adapted from chemical risk assessment methodologies. Unlike small molecules, proteins are large, folded macromolecules with specific sequence motifs and immunogenic potential, and so must be assessed with tools tailored to those characteristics. Identifying and understanding which of these features are undesirable can lay the groundwork for accurately predicting potential adverse effects of novel proteins. There is a clear need for the development of risk assessment strategies specifically designed for proteins, grounded in biological relevance and supported by current knowledge about proteins and modern bioinformatics pipelines (e.g., sequence-motif screening, machine-learning models) and advances in structural biology. This review offers insights on common molecular features and properties of known hazardous proteins, and their potential systematic application in the safety evaluations of food proteins.</t>
  </si>
  <si>
    <t xml:space="preserve">Food safety &amp; quality</t>
  </si>
  <si>
    <t xml:space="preserve">The paper reviews molecular features of hazardous proteins and proposes modernised risk assessment frameworks specifically for novel food proteins, making food safety assessment its primary focus, but its broad review nature spanning multiple methodological approaches warrants a secondary classification of Other.</t>
  </si>
  <si>
    <t xml:space="preserve">pub.1187276166</t>
  </si>
  <si>
    <t xml:space="preserve">Foodomics: A lever to avoid the Darwinian boomerang of malnutrition and compromised nutritional value in the rapidly emerging green food transition</t>
  </si>
  <si>
    <t xml:space="preserve">Background Since the 18th century, the industrial revolution has brought tremendous success in food production, enabling the feeding of more than 8 billion people. However, the success comes with consequences – what we call the Darwinian boomerang of industrialization. The consequences include accelerated global warming, increasing greenhouse gas emissions, water scarcity, overexploitation of natural resources, desertification, eutrophication, loss of biodiversity, and accumulation of alarmingly large amounts of industrial waste including plastics and resilient chemicals. Addressing these challenges and meeting the growing demand for sustainable and nutritious food necessitates a paradigm shift, known as the green food transition, supported by multidisciplinary foodomics research. Scope and approach This review discusses key enablers of the rapidly emerging green food transition, including a shift toward plant-based diets, gene editing, smart agriculture, cellular agriculture, gentle food processing, and circular economy models. The role of foodomics within each enabler is highlighted, providing examples of how multidisciplinary foodomics research can prevent a Darwinian boomerang characterized by malnutrition, compromised nutritional quality, emergence of novel foodborne diseases, and increased food intolerances. Key findings and conclusions Green food transition initiatives are essential for achieving future food security and environmental sustainability, but nutritional concerns persist. Only a minor fraction of current research integrates foodomics, despite its critical role in ensuring food safety and nutritional adequacy. Most discoveries of unforeseen harmful compounds come from inductive studies on industrial food processing or dietary interventions. Systematic foodomics assessments of emerging sustainable food systems are urgently required to evaluate both short- and long-term human health impacts.</t>
  </si>
  <si>
    <t xml:space="preserve">This is a broad cross-cutting review covering multiple aspects of the green food transition (plant-based diets, gene editing, cellular agriculture, food safety, nutrition, sustainability) without a single primary experimental or analytical focus, making it best classified as Other, with Health &amp; nutrition as secondary given its emphasis on nutritional adequacy and food safety concerns.</t>
  </si>
  <si>
    <t xml:space="preserve">Should be health &amp; nutrition. I think I may need to remove the broad review goes to Other thing in cross-cutting given so many will be reviews. The focus of this review is health and nutrition so it should get that category.</t>
  </si>
  <si>
    <t xml:space="preserve">pub.1187295059</t>
  </si>
  <si>
    <t xml:space="preserve">Essential Amino Acids and Fatty Acids in Novel Foods: Emerging Nutritional Sources and Implications</t>
  </si>
  <si>
    <t xml:space="preserve">Essential amino acids and essential fatty acids are vital nutrients that must be obtained from the diet. However, traditional sources face limitations amid increasing global food security and sustainability challenges. This study aims to evaluate the nutritional potential of novel foods, including microalgae (e.g., spirulina and chlorella), fungi (e.g., oyster and shiitake mushrooms), edible insects (e.g., mealworms and migratory locusts), and unconventional plants (e.g., water lentils and canihua). The study will compare their amino acid and fatty acid profiles with those of conventional animal and plant sources. The comparative analysis conducted in this study reveals that these innovative foods offer balanced and high-quality protein and lipid profiles, and contribute essential nutrients needed to prevent deficiencies and support metabolic health. Significantly, the integration of these novel foods into established dietary patterns, such as the Mediterranean diet, has the potential to enhance nutritional quality while promoting environmental sustainability. In conclusion, the adoption of these innovative food sources provides a viable strategy to meet nutritional demands and address global health and ecological challenges, paving the way toward a more resilient and sustainable food system.</t>
  </si>
  <si>
    <t xml:space="preserve">The paper's primary focus is evaluating and comparing the nutritional profiles (amino acid and fatty acid compositions) of novel food sources, with health and dietary implications as the central research question, while also characterising ingredient-level nutritional properties of these alternative protein sources.</t>
  </si>
  <si>
    <t xml:space="preserve">pub.1196060665</t>
  </si>
  <si>
    <t xml:space="preserve">Nutrient Equivalence of Plant-Based and Cultured Meat: Gaps, Bioavailability, and Health Perspectives</t>
  </si>
  <si>
    <t xml:space="preserve">Meat provides high-quality protein and essential micronutrients such as vitamin B12, heme iron, zinc, and selenium, along with conditionally essential compounds including creatine, carnitine, and taurine. Growing concerns over environmental sustainability, animal welfare, and potential health risks associated with excessive meat consumption have spurred the development of plant-based and cultured alternatives intended to replicate the nutritional and sensory attributes of meat. This review critically examines the extent to which these emerging products achieve nutrient equivalence with conventional meat, focusing on essential and conditionally essential nutrients, their bioavailability, and implications for human health. After outlining the physiological importance of nutrients characteristically supplied by meat, the review compares the composition of plant-based meat analogs (PBMAs) and cultured meat prototypes. Differences in fortification strategies, ingredient formulation, and the presence of anti-nutritional factors are discussed in relation to nutrient absorption and utilization. Current PBMAs can approximate protein content but generally provide lower levels and reduced bioavailability of vitamin B12, heme iron, creatine, taurine, and long-chain omega-3 fatty acids unless fortified. Cultured meat offers theoretical potential for compositional optimization through cellular engineering but remains limited by scarce empirical data. Achieving nutrient equivalence with conventional meat thus represents a major scientific, technological, and regulatory challenge. Future progress will depend on integrating nutritional design into product development, validating bioavailability in human studies, and implementing transparent labeling to ensure that next-generation meat alternatives meet both health and sustainability goals.</t>
  </si>
  <si>
    <t xml:space="preserve">The review's primary focus is on nutrient bioavailability and health implications of consuming plant-based and cultured meat alternatives compared to conventional meat, with secondary attention to compositional differences, fortification strategies, and formulation challenges of finished alternative protein products.</t>
  </si>
  <si>
    <t xml:space="preserve">pub.1195609701</t>
  </si>
  <si>
    <t xml:space="preserve">Harmonised assessment of environmental impacts from diets and dietary scenarios: sustainability and protein intake in eleven European countries</t>
  </si>
  <si>
    <t xml:space="preserve">IntroductionImproving human and planetary health is one of the most important challenges of the current century. Demand-side food policy strategies can be implemented to achieve this dual objective. To develop and implement policy measures effectively, it is essential to conduct upfront analyses that demonstrate their potential impact.ObjectiveTo explore the harmonised assessment of environmental impacts of national representative food consumption surveys using the MCRA software, and to demonstrate the framework by assessing the potential environmental impact of food policy strategies that aim to simultaneously improve human and planetary health.MethodsIndividual-level food consumption data from 11 European countries were used to evaluate current diets and the potential impact of demand-side food policy scenarios designed to reflect health and sustainability objectives. Dutch life-cycle assessment data were used to estimate six environmental impact indicators. Food composition data were applied to estimate protein intake. Food consumption, dietary environmental impacts, and protein intake were estimated and modelled using the MCRA (Monte-Carlo Risk Assessment) software for baseline and alternative scenarios.ResultsIn the baseline scenarios, daily average GHG emissions ranged from 4.01 kg CO2-eq per person in Cyprus to 6.30 kg CO2-eq in France. Blue water consumption averaged between 104 L per person per day in the Czech Republic and 256 L in Italy. Across all countries, the environmental impact of diets specific to each country demonstrated potential reductions up to 55% in GHG emissions, land use, blue water consumption, and animal protein, and reductions up to 70% in freshwater and marine eutrophication, acidification, when meat intake was reduced and/or replaced by legumes or meat substitutes. Strategies such as replacing dairy with dairy substitutes, soft drinks with water, and limiting confectionery foods demonstrated less pronounced effects on environmental indicators, with reductions ranging from 1 to 11%. Strategies aimed at increasing fruit and vegetable consumption had adverse environmental effects, increasing environment impacts by up to 7% and blue water consumption by up to 14%.ConclusionUsing the MCRA framework, this study demonstrates that harmonised assessment of current diets and the potential impacts of dietary scenarios can effectively inform policy development. Policies reducing animal food consumption and increasing plant-based intake offer the greatest environmental benefits, particularly when meat is substituted with plant-based alternatives. Implementation of coherent, multi-level policy instruments and tailored country-specific approaches will be essential for achieving both human and planetary health objectives.</t>
  </si>
  <si>
    <t xml:space="preserve">Impact assessments</t>
  </si>
  <si>
    <t xml:space="preserve">The paper quantitatively assesses environmental impacts (GHG, land use, water, eutrophication) of current diets and dietary policy scenarios across 11 European countries using LCA data, while also evaluating protein intake as a health-relevant metric alongside these environmental indicators.</t>
  </si>
  <si>
    <t xml:space="preserve">pub.1187052760</t>
  </si>
  <si>
    <t xml:space="preserve">Nutritional Quality, Safety and Environmental Benefits of Alternative Protein Sources—An Overview</t>
  </si>
  <si>
    <t xml:space="preserve">Protein is a fundamental macronutrient in the human diet. It supplies our organisms with essential amino acids, which are needed for the growth and maintenance of cells and tissues. Conventional protein sources, despite their complete amino acid profiles and excellent digestibility, have a proven negative impact on the environment. Furthermore, their production poses many ethical challenges. This review aims to present nutritional, more ethical, and environmentally friendly alternatives that could serve as potential protein sources for the population. The available literature on alternative protein sources has been analyzed. Based on the research conducted, various products have been identified and described, including plant-based protein sources such as soybeans, peas, faba beans, lupins, and hemp seeds; aquatic sources such as algae, microalgae, and water lentils; as well as insect-based and microbial protein sources, and cell-cultured meat. Despite numerous advantages, such as a lower environmental impact, higher ethical standards of production, and beneficial nutritional profiles, alternative protein sources are not without limitations. These include lower bioavailability of certain amino acids, the presence of antinutritional compounds, technological challenges, and issues related to consumer acceptance. Nevertheless, with proper dietary composition, optimization of production processes, and further technological advancements, presented alternatives can constitute valuable and sustainable protein sources for the growing global population.</t>
  </si>
  <si>
    <t xml:space="preserve">This is a broad review article covering nutritional quality, safety, environmental impacts, and consumer acceptance across multiple alternative protein sources, spanning several defined categories without a single novel experimental or analytical focus.</t>
  </si>
  <si>
    <t xml:space="preserve">pub.1193643289</t>
  </si>
  <si>
    <t xml:space="preserve">From sensory expectations to social influence: The role of person-related, product-related, and external factors in young people’s consumption of milk and milk alternatives</t>
  </si>
  <si>
    <t xml:space="preserve">The growing interest in and continuous development of milk alternatives present an ideal opportunity to promote more sustainable diets. This study aimed to identify determinants of the consumption of milk alternatives and cow’s milk among young people (18–26 years) in Germany (N = 667; MAge = 22.9; 62.4% female). Specifically, we examined the influence of person-related factors (e.g., place of residence, dietary habits), product-related factors (e.g., familiarity, attitudes), and external factors (e.g., social norms, social influence) on the consumption of cow’s milk, plant-based milk alternatives, and the intention to consume animal-free milk—a novel milk alternative produced using precision fermentation. Additionally, we analyzed young people’s attitudes toward cow’s milk, plant-based milk alternatives, and animal-free milk, as well as specific plant-based drinks, including oat, almond, and soy using semantic differentials. Data were collected in August 2024 via an online questionnaire. Multiple hierarchical regression analyses showed that vegetarian or vegan diets, product familiarity, attitudes, and social influence consistently predict young people’s consumption of cow’s milk and plant-based milk alternatives, as well as the intention to consume animal-free milk. Semantic differential analyses revealed that young people rate plant-based milk alternatives more positively than cow’s milk and animal-free milk, particularly regarding animal welfare and sustainability. Among plant-based alternatives, soy drinks were rated less favorably than oat and almond drinks, especially in terms of nutritional value, health, and taste. Overall, our results show that existing social norms favoring animal-based products act as barriers, whereas product perceptions serve as drivers, in shifting current consumption patterns.</t>
  </si>
  <si>
    <t xml:space="preserve">The study investigates determinants of milk and milk alternative consumption among young people, including attitudes, social norms, and purchase intentions, which is squarely consumer behaviour and market research; the secondary is Other as the study spans multiple soft social science dimensions without a strong fit to any single remaining technical category.</t>
  </si>
  <si>
    <t xml:space="preserve">pub.1191284655</t>
  </si>
  <si>
    <t xml:space="preserve">Social Interactions for Sustainable Food Choices: Meeting the Target for Meat Intake in the United Kingdom</t>
  </si>
  <si>
    <t xml:space="preserve">Background: Substantial shifts in contemporary diets are needed to halt the growing burden of chronic diseases and the accelerating climate crisis. Achieving this will require strong action and the use of policy instruments that can aid consumers in making the right dietary choices. Real-life evidence on changing dietary behaviors within complex food systems at scale demands resources and research that might not be realistic to acquire or realize.
Objectives: This project applied innovative models to predict the dietary and environmental effects of broad-scale strategies designed to transform dietary behaviors among consumers. Scenarios were numerically simulated using agent-based opinion-dynamics models to evaluate the impact of governmental influence on people's consumption of meat, vegetables, pulses, and meat alternatives.
Methods: We considered the problem of influencing the opinions of a group of agents (representing the UK population) connected in a social network over a sequence of campaigns to achieve convergence to 2 different targets: achieving the UK Climate Change Committee's goal of 35% and 50% average reduction in meat consumption by 2030 and 2050, respectively. The opinion dynamics comprised consumers (i.e., agents), with empirically derived baseline food intake patterns (i.e., initial opinions) and sociodemographic attributes. Changes in environmental impacts following changes in consumption were quantified.
Results: In a scenario of high governmental influence, uniform in the population, achievement of the 35% and 50% meat reduction goals corresponded to ∼5.2 and ∼8.1 y, respectively. As meat consumption reduced, intake of vegetables, pulses, and meat alternatives increased by 84.7%, 108.5%, and 30.8%, respectively (-35% scenario). Greenhouse gas emissions, land use, water use, and scarcity-weighted water were reduced by -23.8%, -20.2%, -0.5%, and -14.5%, respectively (-35% scenario).
Conclusions: The findings of this project provide valuable insights for policymakers and governmental authorities to develop effective influence strategies aimed at promoting healthy and sustainable dietary habits.</t>
  </si>
  <si>
    <t xml:space="preserve">The paper uses agent-based modelling to simulate policy-driven dietary shifts and quantifies resulting environmental impacts (GHG, land use, water use), making impact assessment the primary focus, while consumer behaviour and opinion dynamics within social networks form the analytical backbone.</t>
  </si>
  <si>
    <t xml:space="preserve">pub.1190518754</t>
  </si>
  <si>
    <t xml:space="preserve">Young Consumers’ Intention to Consume Innovative Food Products: The Case of Alternative Proteins</t>
  </si>
  <si>
    <t xml:space="preserve">The contemporary food environment is experiencing substantial transformations, and sustainability and the pursuit of novel ingredients have become pivotal factors in consumer decision-making and business strategy formulation. The emergence of alternative proteins has significant implications for sustainability, climate change mitigation and animal welfare, and can potentially promote the achievement of different United Nations Sustainable Development Goals. The spread of these novel foods requires significant attention, particularly concerning younger demographics, which are often considered to be more environmentally and ethically aware when making dietary choices. This study investigates the psychological and attitudinal factors that shape young consumers’ intention to consume plant-based, insect-based, and cultured meat alternative proteins, and verifies the existence of heterogeneous segments of consumers. To this purpose principal component analysis and k-means cluster analysis are employed using data from an online survey conducted in Italy, with a sample of 350 young consumers. The findings reveal that the intention to consume alternative protein sources is not particularly pronounced among the young consumers and differs according to the type of alternative protein. Three different profiles of young consumers were found: traditionalist (39% of the sample); enthusiastic (17%) and open-minded (44%). These segments differ significantly with respect to consumption intention, socio-demographic, lifestyle and psychological variables. The results provide useful insights for policymakers to design targeted interventions to encourage young consumers’ sustainable food choices. The findings could also be useful for marketers interested in investing in such innovations as they can benefit from an in-depth knowledge of this market segment.</t>
  </si>
  <si>
    <t xml:space="preserve">The study investigates psychological and attitudinal factors shaping young consumers' intention to consume alternative proteins using survey data and cluster analysis, which is squarely consumer behaviour research; the secondary is Other as the broader sustainability and policy framing does not fit cleanly into a single specific category.</t>
  </si>
  <si>
    <t xml:space="preserve">pub.1187677686</t>
  </si>
  <si>
    <t xml:space="preserve">Halal considerations that signpost a cellular agriculture compatible with world religions</t>
  </si>
  <si>
    <t xml:space="preserve">This commentary examines which halal requirements might influence religious approval of novel foods arising from cellular agriculture, as an illustrative example of how considerations important to all the five major world faiths might also influence their approval of such foods. Cellular agriculture presents novel methods of producing animal-derived food ingredients and whole foods without conventional animal farming. As cellular agriculture disrupts food system paradigms, a framework is needed to reconcile innovation with religious tradition, in order to help enable culturally sensitive progress. We examine how cellular agriculture intersects with the religious traditions of the five major world faiths: Buddhism, Christianity, Hinduism, Islam, and Judaism. Food deemed appropriate for consumption by Muslims (‘halal’) represents the world's largest faith-approved food market. As a case study, for religious acceptance of cellular agriculture, we propose key considerations for conferring halal status on the foods and processes arising from this new technology. Our proposed considerations cover halal-compliant bioprocessing, feedstocks, genetic sequences, cell lines, and growth media for cultivation of animal cells, plant cells and microbes. Looking ahead, we suggest the increased programmability of biological matter, accelerated by developments in artificial intelligence, may raise philosophical questions around concepts of religious adherence and food practices.</t>
  </si>
  <si>
    <t xml:space="preserve">This commentary examines religious and philosophical implications of cellular agriculture across world faiths, which is a cross-cutting ethical/cultural perspective piece rather than a specific technical or scientific investigation; the secondary category reflects its structured policy-relevant framework for halal compliance in cellular agriculture.</t>
  </si>
  <si>
    <t xml:space="preserve">pub.1191637476</t>
  </si>
  <si>
    <t xml:space="preserve">Where are we now with meat alternatives? Global insights and strategic lessons for UK's net-zero goals through agri-food system transition</t>
  </si>
  <si>
    <t xml:space="preserve">Global efforts to improve food system sustainability require major changes in both food production and consumption practices. Research shows that the expansion of the meat alternatives market is one strategy in this transformation. Accordingly, the paper aims to synthesize the literature on the global meat alternatives sector and draw lessons that can support the UK's transition to a sustainable, net zero agri-food system. This paper adopts a non-systematic, narrative synthesis approach. Such an approach allows for a contextual understanding of global insights, while identifying key lessons, challenges and opportunities for integrating meat alternatives into a more sustainable and climate-resilient agri-food system in the UK. The analysis is thematic and interpretive. The synthesis of the literature shows that pulses and plant-based alternative proteins currently have a higher acceptance compared to more novel sources like insects and cultured meat. Consumer preferences for meat alternatives are influenced by sensory attributes, demographic factors, economic considerations, cultural norms and motivation. However, there remain challenges with scaling production and aligning with consumer expectations. The paper highlights the variability of regulations across regions, which presents challenges for international market expansion. The review concludes that meat alternatives can contribute to sustainable food transitions, but current levels of acceptance and technological readiness remain modest. In examining the current state and future prospects of the UK meat alternatives market, lessons include the importance of aligning product offerings with consumer preferences and regulation that balances safety concerns with the need to encourage innovation and market entry for new products.</t>
  </si>
  <si>
    <t xml:space="preserve">This is a broad, non-systematic narrative review covering multiple aspects of meat alternatives (consumer acceptance, regulation, sustainability, scaling, market dynamics) without a single focused experimental or analytical contribution, making it primarily Other; consumer preferences and market dynamics are the most prominent theme discussed.</t>
  </si>
  <si>
    <t xml:space="preserve">pub.1185255386</t>
  </si>
  <si>
    <t xml:space="preserve">Alternative Protein-Based Meat and Fish Analogs by Conventional and Novel Processing Technologies: A Systematic Review and Bibliometric Analysis</t>
  </si>
  <si>
    <t xml:space="preserve">This study aimed to explore the extent of research on developing meat and fish analogs using alternative proteins. It examined the novel and conventional technologies employed to produce these analogs and identified the primary alternative proteins that were used in their production through a systematic literature review (SLR) using Preferred Reporting Items for Systematic Reviews and Meta-Analyses (PRISMA) and bibliometric analysis. The SLR resulted in 46 and 13 meat and fish analog records, respectively, according to defined selection and exclusion criteria. Meat analogs are mainly produced using extrusion, followed by the novel 3D printing and mixing technology. Additionally, fish analogs are mainly produced by mixing and 3D printing. Meat analogs are mainly produced from pulses, followed by cereal, fungi, microalgae, other sources, and insects. Similarly, pulse proteins were the most used alternative protein source for the fish analogs, followed by macro- and microalgae, plant, cereal, and fungal proteins. According to keyword analysis, rheological and textural properties are essential for meat and fish analogs. This review provides up-to-date information to clarify the critical role of alternative proteins and the utilization of novel technologies in the production of meat and fish analogs. It also gives essential insights into the expected increase in studies to determine sustainability and overcome challenges related to textural, sensorial, and nutritional properties.</t>
  </si>
  <si>
    <t xml:space="preserve">This is a systematic review and bibliometric analysis spanning multiple categories (texturization methods, ingredient optimisation, end product formulation), making it a broad cross-cutting review best classified as Other, with Texturization methods as secondary given the strong focus on extrusion, 3D printing, and other processing technologies for meat and fish analogs.</t>
  </si>
  <si>
    <t xml:space="preserve">Should be texturization methods. Single major focus of this review.</t>
  </si>
  <si>
    <t xml:space="preserve">pub.1194074326</t>
  </si>
  <si>
    <t xml:space="preserve">Reshaping Meat Consumption: Meat Substitutes in a Sustainability Perspective</t>
  </si>
  <si>
    <t xml:space="preserve">With the rapid growth of the global population and the increasing demand for protein, the continued expansion of the meat industry is placing severe pressure on water and land resources and posing significant challenges to the environment. Meat substitutes, as an emerging source of protein, are viewed as an effective and promising solution to address the surge in global meat consumption. This review provides a new perspective by systematically integrating technological innovation, sustainable development, and socio-cultural transformation into the evaluation framework of meat substitutes. Unlike previous studies focusing solely on nutritional or environmental aspects, we reveal how the synergistic evolution of multi-source raw material utilization and advanced texturization technologies facilitate the paradigm shift in sustainable protein systems. Furthermore, we critically examine the socio-cultural dimensions – including institutional governance, economic power asymmetries, and cultural narratives – that shape the acceptance and integration of meat substitutes into mainstream diets. By synthesizing insights that span food science, sustainability, and social dynamics, this review positions meat substitutes as a driving force for transformative change in global protein systems. It serves as a valuable resource for researchers, policymakers, and industry stakeholders, promoting understanding of the challenges in the development and adoption of meat substitutes.</t>
  </si>
  <si>
    <t xml:space="preserve">This is a broad cross-cutting review spanning nutritional, environmental, texturization, socio-cultural, and governance aspects of meat substitutes, making it a catch-all 'Other'; the secondary focus on sustainability and socio-cultural/institutional dimensions aligns most closely with impact assessments.</t>
  </si>
  <si>
    <t xml:space="preserve">pub.1182396222</t>
  </si>
  <si>
    <t xml:space="preserve">The dairy production system in the north of Sweden under possible future food scenarios</t>
  </si>
  <si>
    <t xml:space="preserve">Context The dairy production system fills an important role by providing nutrient-dense foods in Swedish diets, however, future efforts to improve its sustainability necessitate structural changes. Objective We present an innovative study which assesses the effects of these future changes in the dairy system in northern Sweden, the Norrland region, which has a subarctic climate. Methods Four scenarios were developed: 1) Food as Industry: Food is a commodity, and its production is an industry that can be invested in to benefit society. 2) Food as Technology: New technologies, such as nutrient density trackers and microbiome mapping, are used for personalized dietary plans. Additionally, novel foods from microbial cultures are produced. 3) Food as Culture: More locally produced food and diverse food products are consumed. 4) Food Forgotten: Land previously used for food and feed is converted to bioenergy production, climate mitigation, and adaptation infrastructure. These scenarios were compared to the baseline i.e. present dairy system for dairy production capacity, carbon flow and carbon footprint. Results and conclusions Food as industry resulted in increased dairy production capacity with decreased carbon footprint but increased carbon imports. Food as technology provided decreased dairy production capacity and increased carbon footprint but with decreased carbon imports. Food as culture, maintained dairy production capacity with a decreased carbon footprint and carbon imports. Food forgotten resulted in decreased dairy production capacity and increased carbon imports but with decreased carbon footprint. Food as culture benefits all - specifically dairy production capacity, carbon footprint and carbon imports. However, further research is required to explore implications on soil organic carbon stocks over time in Norrland. Significance Our study sheds light on the potential impacts of future dairy production in a subarctic climate and aims to help in decision making.</t>
  </si>
  <si>
    <t xml:space="preserve">The paper conducts a structured quantitative assessment of future dairy production scenarios in northern Sweden, evaluating dairy production capacity, carbon flow, and carbon footprint across four scenarios, which aligns with impact assessments; the scenario-based, forward-looking policy framing also gives it elements of a broader perspective piece.</t>
  </si>
  <si>
    <t xml:space="preserve">pub.1186478980</t>
  </si>
  <si>
    <t xml:space="preserve">Regulatory barriers and incentives for alternative proteins in the European Union and Australia–New Zealand</t>
  </si>
  <si>
    <t xml:space="preserve">Purpose This paper aims to discuss the innovation challenge in the alternative protein sectors of the European Union (EU) and Australia-New Zealand (AUSNZ) by comparing their respective novel food frameworks. The study investigates which regulatory provisions stakeholders perceive as barriers to innovation and proposes measures to address these obstacles.   Design/methodology/approach Alternative proteins are often legally classified as “novel foods” in both the EU and AUSNZ. A functional comparative legal analysis of the novel food frameworks of these two jurisdictions was conducted. Qualitative interviews with stakeholders active in the EU or AUSNZ alternative protein sectors complemented the legal analysis. The interviews aimed at gathering stakeholder perspectives on the framework within which they operate and discuss ways to foster innovation in their jurisdictions.   Findings While the AUSNZ framework is generally perceived as more innovation-friendly, particularly regarding breakthrough innovations like cultivated meat, the EU is viewed as a challenging regulatory environment. The duration of the authorisation procedure, differing levels of communication and opportunities for dialogue between stakeholders and regulators, along with the political stances of EU member states, emerged as the main elements to explain such differences. In both jurisdictions, a lack of support for small-scale companies was identified as a key factor hindering the innovation process.   Originality/value This study provides the first in-depth comparative analysis of the novel food frameworks in the EU and AUSNZ and explores stakeholder perceptions of their respective frameworks. Through this comparison, the study offers suggestions for enhancing both frameworks' ability to incentivise innovation in their alternative protein sectors.</t>
  </si>
  <si>
    <t xml:space="preserve">The paper conducts a structured comparative analysis of novel food regulatory frameworks in the EU and AUSNZ, including stakeholder-led policy discussions and identification of regulatory gaps and barriers to innovation, which fits Impact assessments; the analysis of novel food regulatory approval pathways also aligns with Food safety &amp; quality.</t>
  </si>
  <si>
    <t xml:space="preserve">Should be food safety &amp; quality given the novel food regulation is the main focus.</t>
  </si>
  <si>
    <t xml:space="preserve">pub.1194329838</t>
  </si>
  <si>
    <t xml:space="preserve">Carbohydrate usage and protein density in meat products and meat analogues: A survey of the Belgian market</t>
  </si>
  <si>
    <t xml:space="preserve">Meat products are valued for their high-quality protein content, yet their carbohydrate composition is often overlooked compared to fat and salt. This study, using online product information, revealed that carbohydrate ingredients were present in 87 % of meat products and 93 % of meat analogues on the Belgian market, with substantial variation in the usage across product categories. Meat products were categorized following adapted FAO guidelines. Cured-raw products exhibited the lowest carbohydrate content and diversity, the highest protein content (99 % qualifying as “High protein” under EU regulation), but also the highest salt content and price. In contrast, only 53 % of coated-preheated and 45 % of precooked-cooked meat products qualified as “High protein”, with carbohydrate content reaching up to 39 %. Although meat products are generally considered low in sugars, 6–8 % of specific categories exceeded the threshold for a “low sugar” claim, in some cases reaching 18 g sugar/100 g product. Compared to meat products, meat analogues were higher in carbohydrates, lower in protein with less products qualifying as “High protein”, and more expensive. Carbohydrate and protein levels were negatively correlated across meat products and analogues, indicating protein dilution with carbohydrate usage. Added carbohydrates may also affect protein quality through Maillard reaction and oxidation.</t>
  </si>
  <si>
    <t xml:space="preserve">The paper systematically characterises and compares the nutritional composition (carbohydrate and protein content) of commercial meat products and meat analogues on the Belgian market, which is primarily an end product formulation/characterisation study, with a secondary market survey dimension analysing product categories and labelling claims.</t>
  </si>
  <si>
    <t xml:space="preserve">pub.1189349384</t>
  </si>
  <si>
    <t xml:space="preserve">Comprehensive review of the digestibility of novel alternative protein sources: Current status and challenges</t>
  </si>
  <si>
    <t xml:space="preserve">As the global population continues to rise, the need for sustainable protein sources becomes critical. Traditional animal-based proteins pose environmental concerns, contributing to high carbon emissions, and overconsumption can lead to health issues. Alternative proteins, including plant-based, cultured meats, insects, algae, and microbial proteins, offer promising solutions; however, knowledge of their digestibility is limited, and the reported documents are often quite low. For instance, plant proteins contain anti-nutritional factors like phytic acid and trypsin inhibitors, which hinder absorption. Similarly, insects, algae, and microbial proteins have complex cellular structures or compounds that can interfere with protein breakdown and absorption. On the other hand, cultured meats may lack certain components critical for optimal digestion. Thus, novel and conventional processing methods are being studied to improve digestibility. In this context, continued research is essential to refine these techniques for different protein sources, ensuring a sustainable production of alternative proteins with high nutritional quality.</t>
  </si>
  <si>
    <t xml:space="preserve">This is a broad review covering digestibility and nutritional bioaccessibility across multiple alternative protein sources (plant-based, cultured meat, insects, algae, microbial), making Health &amp; nutrition the primary focus while its cross-cutting, multi-category scope warrants Other as secondary.</t>
  </si>
  <si>
    <t xml:space="preserve">pub.1184131962</t>
  </si>
  <si>
    <t xml:space="preserve">Advancements in Research on Alternative Protein Sources and Their Application in Food Products: A Systematic Review</t>
  </si>
  <si>
    <t xml:space="preserve">To ensure food security amid dwindling natural resources, alternative proteins (APs) have been suggested as a sustainable solution. Yet, the adoption and consumption of APs remain limited. This review aims to delve into the latest progress (following PRISMA guidelines) concerning the utilization of proteins from alternative sources, particularly focusing on their effective incorporation into food products. Our findings reveal that insect proteins can improve amino acid profiles in bakery products. However, consumer acceptance remains low due to cultural biases, with optimal sensory results being achieved at lower substitution levels (5–10%). Mushroom proteins, when incorporated into meat analogs and bakery items, enhance nutritional value and offer favorable sensory properties, making them viable replacements in meat products. Plant-based proteins, such as pea and soy proteins, increase fiber and antioxidants and improve texture in meat alternatives, although formulation adjustments are necessary to meet consumer expectations for taste and overall experience. Microalgae offer unique benefits for bakery, confectionery, and dairy products by boosting protein, fatty acids, and probiotic growth while maintaining sensory acceptability. In conclusion, this study highlights that the effective incorporation of APs into food products can help in the development of healthier, more sustainable diets. That said, the success of AP acceptance will depend on continued innovations in formulation and consumer education.</t>
  </si>
  <si>
    <t xml:space="preserve">This is a broad systematic review spanning multiple alternative protein sources (insects, mushrooms, plants, microalgae) and multiple product categories and research dimensions (nutrition, sensory, consumer acceptance, formulation), making it a cross-cutting review best classified as Other, with End product formulation as the closest secondary focus given its emphasis on incorporation into finished food products.</t>
  </si>
  <si>
    <t xml:space="preserve">Borderline. Main focus is on end product formulation, but with consumer acceptance in there too, I could accept Other.</t>
  </si>
  <si>
    <t xml:space="preserve">pub.1184676351</t>
  </si>
  <si>
    <t xml:space="preserve">Fermentation of a wine pomace and microalgae blend to synergistically enhance the functional value of protein- and polyphenol-rich matrices</t>
  </si>
  <si>
    <t xml:space="preserve">This study aimed to generate new functional ingredients from microalgae and wine pomace through starter-assisted fermentation. Five lactic acid bacteria (LAB) and five yeasts were variously chosen for their species diversity, origin, and metabolic potential. During fermentation, the combination of Chlorella vulgaris and wine pomace overcame the limited growth observed in pomace substrate, with all LAB and yeasts effectively utilizing sugars and synthesizing microbial metabolites. Additionally, the synergistic interplay between the substrates, alongside the enzyme specificity of the starter cultures, improved the bioavailability of phenolic compounds, particularly flavanols, flavonols, and procyanidins, while simultaneously generating unique peptides in the formulated ingredients. In some cases, these metabolic changes were associated with enhanced antioxidant activity, improved protein digestibility, and overall protein quality. Our findings highlighted the potential of fermented mixed substrates as new functional ingredients, with promising health-promoting benefits and significant potential for applications in the food industry.</t>
  </si>
  <si>
    <t xml:space="preserve">The paper develops new functional ingredients from fermented microalgae and wine pomace blends, characterising improvements in phenolic bioavailability, peptide generation, antioxidant activity, protein digestibility, and protein quality — all ingredient-level properties — with health-promoting outcomes as a secondary focus.</t>
  </si>
  <si>
    <t xml:space="preserve">pub.1192359115</t>
  </si>
  <si>
    <t xml:space="preserve">Alternative proteins: How do retailers drive the transition towards new sustainable consumption?</t>
  </si>
  <si>
    <t xml:space="preserve">Purpose In evolving market dynamics, the growing demand for alternative proteins currently characterises the grocery market, where retailers have a vital role in shaping consumer preferences and influencing market dynamics. With this in mind, the paper aims to investigate how retailers will develop innovative and sustainable strategies to effectively promote the consumption of alternative proteins.   Design/methodology/approach Drawing on an exploratory approach, a total of 10 in-depth interviews were conducted with retailers operating in the Italian market to delve into their approaches in order to identify the strategies and initiatives adopted in promoting and facilitating the consumption of alternative protein food products.   Findings The results revealed the retailers’ main strategies including the differentiation of the product offering, promotional strategies, the relevance of consumer communication and education, the retailers’ sensitivity to innovative products and understanding of the customer by offering products that meet their needs.   Research limitations/implications The findings provide valuable contributions to the ongoing debate with regard to the role of retailers in fostering the development of a more sustainable food system.   Originality/value By delving into the perspectives of the main retail players, the research strives to identify the motivations, challenges and innovative approaches implemented by retailers to shift consumers towards alternative protein products.</t>
  </si>
  <si>
    <t xml:space="preserve">The paper investigates retailer strategies and market dynamics driving alternative protein consumption through qualitative interviews, which is primarily consumer/market research; the sustainability framing and food system transition discussion gives secondary relevance to impact assessments.</t>
  </si>
  <si>
    <t xml:space="preserve">pub.1188715770</t>
  </si>
  <si>
    <t xml:space="preserve">Shaping suspensions: Stabilizing anisotropy in viscoelastic media using oscillations</t>
  </si>
  <si>
    <t xml:space="preserve">An easy process to generate highly anisotropic structures and properties is desired for many applications, such as the formation of meat analogues, conductive polymer composites or directed assembly of microparticles. However, the required processing parameters for viscoelasticity-induced alignment preclude such implementations, necessitating additional and cumbersome processing steps. Traditionally, string formation of particles in viscoelastic liquids occurs only at either high shear rates or in highly elastic fluids. We demonstrate how oscillatory flows can induce particle alignment at shear rates nearly two orders of magnitude lower than for steady shear, to easily reach long particle strings in comparison to the limitations of steady shear. Furthermore, we establish that alignment in oscillation is cumulative because string breakup is prevented by flow reversal, which explains the potentially unlimited anisotropic assembly, while showing that Weissenberg number-dependent string stability in steady shear leads to non-cumulative alignment. Finally, we show that this mechanism enables the extrusion of aligned structures using superposed oscillatory and steady shear, and demonstrate its broader applicability with non-ideal particles.</t>
  </si>
  <si>
    <t xml:space="preserve">The paper investigates oscillatory flow-induced particle alignment as a novel processing mechanism for generating anisotropic structures relevant to meat analogues, directly contributing to texturization methods for alternative protein products.</t>
  </si>
  <si>
    <t xml:space="preserve">pub.1189679969</t>
  </si>
  <si>
    <t xml:space="preserve">Emerging Trends in Sustainable Biological Resources and Bioeconomy for Food Production</t>
  </si>
  <si>
    <t xml:space="preserve">The mounting global population and the challenges posed by climate change underline the need for sustainable food production systems. This review synthesizes evidence for a dual-track bioeconomy, green (terrestrial plants and insects) and blue (aquatic algae), as complementary pathways toward sustainable nutrition. A comprehensive review of the extant literature, technical reports, and policy documents published between 2015 and 2025 was conducted, with a particular focus on environmental, nutritional, and techno-economic metrics. In addition, precision agriculture datasets, gene-editing breakthroughs, and circular biorefinery case studies were extracted and compared. As demonstrated in this study, the use of green resources, such as legumes, oilseeds, and edible insects, results in a significant reduction in greenhouse gas emissions, land use, and water footprints compared with conventional livestock production. In addition, these alternative protein sources offer substantial benefits in terms of bioactive lipids. Blue resources, centered on micro- and macroalgae, furnish additional proteins, long-chain polyunsaturated fatty acids, and antioxidant pigments and sequester carbon on non-arable or wastewater substrates. The transition to bio-based resources is facilitated by technological innovations, such as gene editing and advanced extraction methods, which promote the efficient valorization of agricultural residues. In conclusion, the study strongly suggests that policy support be expedited and that research into bioeconomy technologies be increased to ensure the sustainable meeting of future food demands.</t>
  </si>
  <si>
    <t xml:space="preserve">This is a broad cross-cutting review spanning environmental, nutritional, techno-economic, and policy dimensions of multiple alternative protein systems (insects, legumes, algae), making it a general review article rather than a focused investigation in any single category, though it touches most closely on impact assessments through its synthesis of environmental and techno-economic metrics.</t>
  </si>
  <si>
    <t xml:space="preserve">pub.1191584911</t>
  </si>
  <si>
    <t xml:space="preserve">Reduced environmental footprint through novel food production technologies: Four case studies from Finland</t>
  </si>
  <si>
    <t xml:space="preserve">New ways to reduce the climate impact and land occupation of agriculture and food production are needed. This study assessed the potential of four new food production solutions to mitigate the climate impact at the national level in Finland by partly replacing conventional food production solutions. The climate mitigation potential of reforestation of saved land was also assessed. The new production solutions assessed represent cellular agriculture and controlled environment agriculture (CEA). The climate impact and land occupation were assessed for the four new production solutions and for four conventional production solutions using life cycle assessment (LCA). Land use and land use change (LULUC) emissions were systematically included in the LCA. The LCA results were scaled up to the national level with estimated production amounts for Finland. The results showed that these four new solutions can have an impact at the national level when partly replacing conventional solutions. There is mitigation potential in reforestation of the saved land, but the main impact was achieved by replacing conventional production. Cellular agriculture and CEA can provide significant reductions in climate impact, but for CEA reductions in the climate impact depend on the energy sources used. Using low-carbon energy sources ensures that reductions in land occupation can be achieved, as bio-based renewable energy causes large land occupation. The results highlight the importance of considering LULUC emissions in LCAs of conventional agricultural products, especially in areas with organic soils. Decreasing cultivation on organic soils has a high climate impact mitigation potential for conventional food production.</t>
  </si>
  <si>
    <t xml:space="preserve">The paper conducts life cycle assessments (LCA) of four novel food production systems (cellular agriculture and CEA) scaled to national level, making quantitative environmental impact assessment the primary contribution, with broad cross-cutting scope across multiple production systems placing it partially in Other.</t>
  </si>
  <si>
    <t xml:space="preserve">pub.1184151966</t>
  </si>
  <si>
    <t xml:space="preserve">Emerging alternatives to coffee, cocoa and palm oil deserve a spot on the research agenda</t>
  </si>
  <si>
    <t xml:space="preserve">Despite increasing interest in cellular agriculture, coffee, cocoa and palm oil produced using these techniques have received limited scientific attention. Emerging alternatives could mitigate negative environmental and socio-economic impacts associated with these crops and meet growing demand despite declining production, but it is important to ensure that they do not reinforce inequities.</t>
  </si>
  <si>
    <t xml:space="preserve">This is a perspective/commentary piece calling for research attention on cellular agriculture alternatives to coffee, cocoa, and palm oil, without presenting original experimental data or quantitative impact assessments.</t>
  </si>
  <si>
    <t xml:space="preserve">I agree. Other primary, impact assessment secondary.</t>
  </si>
  <si>
    <t xml:space="preserve">pub.1187075423</t>
  </si>
  <si>
    <t xml:space="preserve">Mapping the research landscape of meat replacers in Romania: A bibliometric analysis and a cross-cluster synergy model of emerging trends</t>
  </si>
  <si>
    <t xml:space="preserve">Meat replacers are gaining global relevance as sustainable solutions to reduce environmental impact, improve public health and address animal welfare concerns. In Romania, these developments are particularly important, given the country's dietary habits and the growing emphasis on sustainable food systems. Consequently, the first objective is to systematically map the scientific literature using the VOSviewer software by analyzing publications from the Web of Science Core Collection. This bibliometric analysis identifies four major thematic areas, providing a foundation for the second objective. Building on this mapping, the second objective is to illustrate the interconnectedness of key research areas. To this end, a Cross-Cluster Synergy Model (CCSM) was developed, which synthesized the relationships between thematic clusters. Findings show that while much of the research in Romania focuses on integrating alternative proteins into livestock feed, fully plant-based products and synthetic meat remain underexplored. There are also knowledge gaps regarding the long-term health impacts and consumer acceptance of meat substitutes. Further research is needed on consumer acceptance, long-term health effects and the scalability of meat substitutes to drive innovation and sustainable practices. By mapping relationships, the CCSM provides a comprehensive understanding of how different research domains interact to drive innovation in meat replacers field.</t>
  </si>
  <si>
    <t xml:space="preserve">This is a bibliometric analysis and conceptual model mapping the research landscape of meat replacers in Romania, making it a broad cross-cutting review/methodology piece; the secondary focus touches on consumer acceptance gaps identified within the analysis.</t>
  </si>
  <si>
    <t xml:space="preserve">pub.1188616435</t>
  </si>
  <si>
    <t xml:space="preserve">Feeding the future: consumer willingness to try bacterial protein, a comparative study with fungi, algae and cultured meat</t>
  </si>
  <si>
    <t xml:space="preserve">Purpose This study aims to measure consumer willingness to try (WTT) bacterial protein and compare it to other third-generation proteins, like fungi, algae and cultured meat. Additionally, it seeks to understand the key predictors of the WTT of these novel meat alternatives, including factors like awareness, food neophobia (FN) and perceptions of naturalness, healthiness and sustainability.   Design/methodology/approach  This study pioneers research into consumer WTT bacterial protein and compares it to other third-generation proteins like fungi, algae and cultured meat. Using an online survey ( n  = 255) distributed via convenience sampling.    Findings Consumer WTT bacterial protein was moderate, with 54% willing to try, comparable to cultured meat (55%) but significantly lower than algae and fungi (71 and 70%, respectively). However, in terms of naturalness, bacterial protein was perceived similarly to other microbial proteins like fungi and algae, rather than lab-based products like cultured meat, which was perceived as more unnatural. Consumer awareness and low FN played a key role in driving WTT, while perceived sustainability and healthiness were also significant factors.   Research limitations/implications As an exploratory study, this research lays the foundation for further studies on consumer acceptance of bacterial protein, contributing value towards the market introduction of this novel and more sustainable protein source.   Practical implications These findings offer valuable insights for food developers and policymakers to promote bacterial protein as they navigate the protein transition, leveraging familiarity, sustainability and health benefits.   Originality/value Meat alternatives are gaining importance in the food sector as part of the protein transition. Microbial proteins – or proteins from microorganisms, such as bacteria, fungi and algae – are increasingly recognized for their sustainability compared to conventional meat and its alternatives. Nevertheless, consumer studies on microbial proteins, particularly bacteria, remain underexplored.</t>
  </si>
  <si>
    <t xml:space="preserve">The study directly measures consumer willingness to try bacterial protein and other novel proteins using an online survey, with predictors like food neophobia, perceived naturalness, healthiness, and sustainability as the core analytical focus.</t>
  </si>
  <si>
    <t xml:space="preserve">pub.1188817720</t>
  </si>
  <si>
    <t xml:space="preserve">The potential of deep eutectic solvents in the extraction of alternative proteins</t>
  </si>
  <si>
    <t xml:space="preserve">As the global demand for sustainable high-quality protein rises in response to rapid population growth and environmental concerns, alternative proteins have emerged as a key solution to meet future needs. Derived from sources such as plants, algae, fungi, and insects, these proteins offer comparable or enhanced nutritional and functional benefits, while using fewer resources compared to conventional animal proteins. However, traditional extraction methods, such as alkaline extraction, can often compromise protein quality, yield, and functionality, while generating environmental waste. To overcome these challenges, this review explores the potential of deep eutectic solvents (DESs) as a promising green extraction technology for alternative proteins. This article discusses DES synthesis, properties, and effectiveness in protein extraction from various sources, examining their potential to maintain or enhance protein structure and functionality, while also reducing resource-intensive practices. By elucidating the role of DESs in alternative protein extraction, this review aims to advance understanding and stimulate further research into efficient and eco-friendly extraction methods that can support a more resilient global protein supply.</t>
  </si>
  <si>
    <t xml:space="preserve">This is a review article focused on deep eutectic solvents as extraction technologies for alternative proteins, primarily relevant to improving ingredient quality and functionality, but its broad cross-cutting review nature across multiple protein sources and extraction methods places it partly in Other.</t>
  </si>
  <si>
    <t xml:space="preserve">pub.1191993918</t>
  </si>
  <si>
    <t xml:space="preserve">Impact of implicit biases on consumer behavioural intention towards meat alternative proteins</t>
  </si>
  <si>
    <t xml:space="preserve">Growing concerns about the ethical, health, and environmental impacts of rising meat consumption have driven interest in meat alternative proteins. However, consumer acceptance of meat alternative proteins remains a challenge, particularly in societies with deeply rooted meat consumption traditions. The present study investigated the main drivers and barriers influencing meat alternative protein acceptance and Spanish consumer behavioural intention towards its consumption by means of an extended version of the Theory of Planned Behaviour (TPB), including Moral Norm and Domain Specific Innovativeness scales. 95 consumers from two distinguished geographical locations participated in the survey, and Implicit Association Test was used to assess their subconscious biases and its effect on their intention to consume meat alternative proteins. Results showed that animal welfare, nutrition and reduction of the environmental impact were among the main drivers towards consumption of meat alternative products, while perception of them being highly processed and artificial raised ambiguity in relation to their health advantages. Consumer beliefs were influenced by age, education level, geographical location, and dietary habits, while gender had no significant effect. The TPB showed that attitude, innovation willingness, and consumers' sense of control regarding their purchase decisions, influenced their intention towards the consumption of meat alternative products. Moreover, the use of implicit techniques enabled the prediction of consumer behavioural intentions regarding meat alternative products based on their subconscious preconceptions, revealing the potential of integrating both techniques to identify specific strategies that encourage meat alternative protein adoption.</t>
  </si>
  <si>
    <t xml:space="preserve">The study directly investigates consumer behavioural intentions, drivers, barriers, and implicit biases toward meat alternative proteins using TPB and Implicit Association Test, making it a clear consumer research study with no strong secondary category fit beyond a general catch-all.</t>
  </si>
  <si>
    <t xml:space="preserve">pub.1175608755</t>
  </si>
  <si>
    <t xml:space="preserve">Comparative study of interaction and complex formation of Tremella fuciformis polysaccharide with whey protein, lentil protein, and soy protein isolates</t>
  </si>
  <si>
    <t xml:space="preserve">The electrostatic interactions and complex formation of Tremella fuciformis polysaccharide (TPS) with whey protein (WPI), lentil protein (LPI), and soy protein (SPI) isolates were studied. The molecular size and components in each protein isolate complexed with TPS were characterized, along with the structural changes in the protein components, induced by TPS complexation. The stability of emulsions prepared with protein:TPS complexes was also evaluated (pH 4.5). Compared to WPI, the LPI and SPI protein components exhibited more negative charges and larger molecular sizes. Independent of the isolate type, pHc of all protein:TPS systems remained unchanged and pHɸ1 shifted to higher pHs as the protein/TPS ratio increased; the pHopt of WPI:TPS and SPI:TPS occurred at higher values as the protein/TPS ratio increased, while the pHopt of LPI:TPS system was less dependent on the biopolymer mixing ratio, probably due to the lower solubility of LPI. Protein components such as β-LG in WPI, convicilin, vicilin, and basic legumin in LPI, and α’ subunits of 7S β-conglycinin and acidic subunits of 11S glycinin in SPI might be the main components interacting with TPS for complex formation. Different proteins exhibited distinct trends in changing their secondary structural elements when interacting with TPS. At pH 4.5, a high proportion of TPS increased the stability of protein emulsion, regardless of the protein used. The WPI:TPS emulsions with low content of TPS were highly destabilized due to the formation of insoluble WPI:TPS complex coacervates, a phenomenon not observed in emulsions stabilized by the LPI:TPS or SPI:TPS systems.</t>
  </si>
  <si>
    <t xml:space="preserve">The paper investigates the molecular interactions and complex formation between a polysaccharide and multiple protein isolates (ingredient-level characterisation), and also evaluates emulsion stability of the resulting complexes, linking ingredient properties to a functional product application.</t>
  </si>
  <si>
    <t xml:space="preserve">pub.1194557570</t>
  </si>
  <si>
    <t xml:space="preserve">From Curiosity to Consumption: Consumer Attitudes Toward Alternative Proteins in Northwestern Italy</t>
  </si>
  <si>
    <t xml:space="preserve">Consumer interest in alternative protein sources has grown rapidly, driven by concerns over health, sustainability and environmental impact. This study investigated perceptions, attitudes and behaviours towards alternative proteins among residents of Piedmont, northwestern Italy. A cross-sectional online and face-to-face survey was conducted between August and October 2023, collecting sociodemographic data, dietary habits, and respondents' perception on plant-, insect-, snail-, and algae-derived products. Responses from 627 participants were analysed. Approximately one-third reported consuming alternative proteins, with uptake being higher among women, younger adults, and flexitarian respondents. Plant-based alternatives were by far the most frequently consumed, while insect- and snail-based products elicited strong aversion. Curiosity and interest on alternative options predominated among consumers, whereas indifference and disgust-particularly among women and towards animal-derived options-were common among non-consumers. Reported barriers included taste, quality, and safety concerns, with price emerging as a major constraint. These findings indicate that acceptance of alternative proteins is unevenly distributed across demographic groups and product types. Plant-based options currently appear best positioned to facilitate dietary shifts, whereas animal-derived alternatives remain hindered by cultural and sensory barriers. Supporting the protein transition will require strategies to improve affordability, sensory appeal and consumer trust.</t>
  </si>
  <si>
    <t xml:space="preserve">The paper's novel contribution is a survey-based analysis of consumer perceptions, attitudes, barriers, and behaviours toward alternative proteins across demographic groups in Piedmont, Italy, which is squarely consumer and market research; health and sustainability concerns are noted as drivers but the secondary focus on dietary habits and health-related motivations makes Health &amp; nutrition the closest secondary category.</t>
  </si>
  <si>
    <t xml:space="preserve">pub.1186732451</t>
  </si>
  <si>
    <t xml:space="preserve">Allergenicity of Alternative Proteins: Reduction Mechanisms and Processing Strategies</t>
  </si>
  <si>
    <t xml:space="preserve">The increasing popularity of alternative proteins has raised concerns about allergenic potential, especially for plant-, insect-, fungal-, and algae-based proteins. Allergies arise when the immune system misidentifies proteins as harmful, triggering IgE-mediated reactions that range from mild to severe. Main factors influencing allergenicity include protein structure, cross-reactivity, processing methods, and gut microbiota. Disruptions in gut health or microbiota balance heighten risks. Common allergens in legumes, cereals, nuts, oilseeds, single-cell proteins, and insect-based proteins are particularly challenging, as they often remain stable and resistant to heat and digestion despite various processing techniques. Processing methods, such as roasting, enzymatic hydrolysis, and fermentation, show promise in reducing allergenicity by altering protein structures and breaking down epitopes that trigger immune responses. Future research should focus on optimizing these methods to ensure that they effectively reduce allergenic risks while maintaining the nutritional quality and safety of alternative protein products.</t>
  </si>
  <si>
    <t xml:space="preserve">The paper's primary focus is allergenicity assessment and reduction strategies for alternative protein ingredients, which falls under food safety and quality, while the processing methods discussed (roasting, enzymatic hydrolysis, fermentation) to modify protein structures relate to ingredient optimisation.</t>
  </si>
  <si>
    <t xml:space="preserve">pub.1187944871</t>
  </si>
  <si>
    <t xml:space="preserve">Addressing semantic ambiguity in biotechnology: Proposals from the European research infrastructure IBISBA</t>
  </si>
  <si>
    <t xml:space="preserve">Driven by numerous scientific discoveries in biology in the second half of the last century, biotechnology is now set to play an important role as a driver for advanced manufacturing, leveraging the power of living organisms to produce a range of goods and services. Considering this prospect, it is vital that terminology surrounding biotechnology is sufficiently clear to provide a basis for efficient regulation and public buy-in. Despite the apparent clarity of the term biotechnology, its definition is the subject of a longstanding debate and liberal interpretations. Likewise, other more recent terms such as biomanufacturing, synthetic biology and engineering biology also lack consensual definitions despite their use in both scientific and secular circles. Additionally, new terms such as precision fermentation and cellular agriculture, recently introduced in the framework of business-to-business exchanges, appear to call upon imaginaries rather than scientific facts. Herein, we examine the lexical complexity of the biotechnology field and argue that, for the sake of efficient policymaking, it is vital to harmonise the definitions of some core terms, including biotechnology, biomanufacturing, engineering biology and synthetic biology. With this aim in mind, this discussion paper is intended to be useful to policymakers and science communicators, whether in the media or in professional settings.</t>
  </si>
  <si>
    <t xml:space="preserve">This is a commentary/discussion paper proposing harmonised definitions for biotechnology-related terminology aimed at policymakers and science communicators, which is a cross-cutting perspective piece rather than a primary experimental or analytical study; the closest secondary fit is Impact assessments given its focus on regulatory and policy implications of semantic clarity.</t>
  </si>
  <si>
    <t xml:space="preserve">pub.1195194673</t>
  </si>
  <si>
    <t xml:space="preserve">Application of new approach methods (NAMs) in food safety with considerations for new proteins</t>
  </si>
  <si>
    <t xml:space="preserve">As new sources of food emerge and technologies advance, the concepts of safe food and risk assessment have evolved. New Approach Methods (NAMs) are appearing at a pivotal point in toxicology and provide an opportunity to adopt improved science (from a sensitivity and specificity perspective), which is more human relevant, is quicker and is ethically sounder (does not employ animals). The safety standard for any substance added to food in the United States is that there is a reasonable certainty of no harm under the intended conditions of use and applies to food additives and substances that are Generally Recognized as Safe (GRAS). This means that the use of NAMs must have a wide acceptability amongst the scientific community, including the regulatory authorities. The demand for new sources of protein ingredients is increasing, and is one category of food to which NAMs can be applied to determine safety. Safety considerations for proteins are described and for this purpose have been grouped into i) biosynthetic proteins produced by precision fermentation, ii) protein concentrates from traditional foods, and iii) total protein extracts. NAMs can be used to support the safety determination of proteins by: i) addressing mechanistic questions; ii) demonstrating equivalence to foods already in the food supply; iii) comparing intake to the amount traditionally consumed; iv) potential allergenicity. Confidence now needs to be built amongst stakeholders in food safety, with more food case studies in which NAMs are used in GRAS determinations and food additive petitions.</t>
  </si>
  <si>
    <t xml:space="preserve">The paper focuses on applying New Approach Methods (NAMs) to food safety and risk assessment frameworks for novel protein ingredients, including regulatory pathways like GRAS determinations, making food safety &amp; quality the primary category; the broad cross-cutting review nature covering multiple protein categories and regulatory considerations places the secondary category as Other.</t>
  </si>
  <si>
    <t xml:space="preserve">pub.1184274752</t>
  </si>
  <si>
    <t xml:space="preserve">Postprandial Aminoacidemia Following the Ingestion of Alternative and Sustainable Proteins in Humans: A Narrative Review</t>
  </si>
  <si>
    <t xml:space="preserve">There is a pressing need to expand the production and consumption of alternative protein sources from plants, fungi, insects, and algae from both nutritional and sustainability perspectives. It is well known that the postprandial rise in plasma amino acid concentrations and subsequent muscle anabolic response is greater after the ingestion of animal-derived protein sources, such as dairy, meat, and eggs, than plant-based proteins. However, emerging evidence shows that a similar muscle anabolic response is observed-despite a lower and slower postprandial aminoacidemia-after the ingestion of alternative protein sources compared with animal-derived protein sources. Therefore, a comprehensive analysis of plasma amino acid kinetics after the ingestion of alternative protein sources would play a significant role in recognizing and identifying the anabolic properties of these protein sources, allowing for the implementation of the best nutritional intervention strategies, contributing to more sustainable food production, and developing new medical nutritional products with optimal impacts on muscle mass, strength, and function, both in terms of health and disease. Therefore, this narrative review is focused on postprandial amino acid kinetics (the area under the curve, peak, and time to reach the peak concentration of amino acids) based on experimental randomized controlled trials performed in young and older adults following the ingestion of different novel, sustainable, and alternative protein sources.</t>
  </si>
  <si>
    <t xml:space="preserve">This narrative review focuses on postprandial amino acid kinetics and muscle anabolic responses as physiological outcomes following alternative protein ingestion, making Health &amp; nutrition the primary category, but its broad cross-cutting review nature across multiple protein sources and sustainability perspectives warrants Other as secondary.</t>
  </si>
  <si>
    <t xml:space="preserve">pub.1191954992</t>
  </si>
  <si>
    <t xml:space="preserve">Exploring the Development of a Clean-Label Vegan Burger Enriched with Fermented Microalgae</t>
  </si>
  <si>
    <t xml:space="preserve">Haematococcus pluvialis and Porphyridium cruentum are red microalgae with high biotechnological potential due to their rich composition of bioactive compounds. However, their intense flavor limits their application in food products. This study evaluated the impact of fermentation with Lactiplantibacillus plantarum (30 °C for 48 h; LAB-to-biomass ratio of 0.1:1; 106 CFU/mL) on the physicochemical and functional properties of H. pluvialis and P. cruentum biomasses. Particular attention was given to antioxidant activity (ABTS and ORAC assays), color, amino acid profiles, and volatile organic compound (VOC) profiles, all of which may influence sensory characteristics. Results demonstrated that non-fermented H. pluvialis exhibited significantly higher antioxidant activity (AA) than P. cruentum. After fermentation, H. pluvialis showed an ABTS value of 3.22 ± 0.35 and an ORAC value of 54.32 ± 1.79 µmol TE/100 mg DW, while P. cruentum showed an ABTS of 0.26 ± 0.00 and an ORAC of 3.11 ± 0.13 µmol TE/100 mg DW. Total phenolic content (TPC) of fermented H. pluvialis and P. cruentum was 1.08 ± 0.23 and 0.18 ± 0.026 mg GAE/100 mg DW, respectively. Both AA and TPC increased after fermentation. Fermentation also significantly affected biomass color. FTIR analysis showed intensification of protein and carbohydrate vibrational bands post-fermentation. GC-MS analysis of VOCs showed that P. cruentum contained 42 VOCs before fermentation, including trans-β-ionone, 4-ethyl-6-hepten-3-one, hexanal, and heptadienal, which are responsible for fishy and algal odors. Fermentation with Lb. plantarum significantly reduced these compounds, lowering trans-β-ionone to 0.1453 mg/L and eliminating 4-ethyl-6-hepten-3-one entirely. H. pluvialis contained 22 VOCs pre-fermentation; fermentation eliminated hexanal and reduced heptadienal to 0.1747 ± 0.0323 mg/L. These changes contributed to improved sensory profiles. Fermentation also induced significant changes in the amino acid profiles of both microalgae. The fermented biomasses were incorporated into vegan burgers made from chickpea, lentil, and quinoa. Color evaluation showed more stable and visually appealing tones, while texture remained within desirable consumer parameters. These findings suggest that Lb. plantarum fermentation is an effective strategy for improving the sensory and functional characteristics of microalgal biomass, promoting their use as sustainable, value-added ingredients in innovative plant-based foods.</t>
  </si>
  <si>
    <t xml:space="preserve">The study's novel contribution is improving microalgal biomass properties (sensory, antioxidant, amino acid profiles) through fermentation with Lb. plantarum, which is ingredient optimisation; the incorporation into vegan burgers and evaluation of color and texture represents a secondary end product formulation focus.</t>
  </si>
  <si>
    <t xml:space="preserve">I agree. Ingredient optimisation is the novel contribution and consists a majority of the paper, despite the title sounding end product focussed.</t>
  </si>
  <si>
    <t xml:space="preserve">pub.1195166812</t>
  </si>
  <si>
    <t xml:space="preserve">Exploring the Potential of Haematococcus pluvialis as a Source of Bioactives for Food Applications: A Review</t>
  </si>
  <si>
    <t xml:space="preserve">The search for sustainable and health-promoting food ingredients has positioned microalgae as promising candidates for the development of functional products. Haematococcus pluvialis, a unicellular green microalga, is the richest natural source of astaxanthin, a carotenoid with outstanding antioxidant, anti-inflammatory, and neuroprotective properties. In addition to astaxanthin, H. pluvialis provides high-value proteins, essential fatty acids, polysaccharides, and vitamins, which expand its potential applications in the food sector. This review compiles current knowledge on the biology and physiology of H. pluvialis, with emphasis on cultivation strategies, environmental stress factors, and biotechnological tools designed to enhance bioactive compound production. Advances in extraction and purification methods are also discussed, contrasting conventional solvent-based approaches with emerging green technologies. The integration of these strategies with biomass valorization highlights opportunities for improving economic feasibility and sustainability. Applications of H. pluvialis in the food industry include its use as a functional ingredient, natural colorant, antioxidant, and stabilizer in bakery products, beverages, meat analogs, and emulsified systems. Evidence from in vitro, in vivo, and clinical studies reinforces its safety and effectiveness. Looking ahead, industrial perspectives point to the adoption of omics-based tools, metabolic engineering, and circular economy approaches as drivers to overcome current barriers of cost, stability, and regulation, opening new avenues for large-scale applications in food systems.</t>
  </si>
  <si>
    <t xml:space="preserve">This is a broad review article spanning multiple domains (cultivation, extraction, food applications, health effects, regulatory aspects) of H. pluvialis bioactives, making it a cross-cutting review best classified as Other, with Ingredient Optimisation as the closest secondary focus given the emphasis on enhancing bioactive compound production and functional ingredient properties.</t>
  </si>
  <si>
    <t xml:space="preserve">A little borderline, but I think it should be ingredient optimisation. The intent here is to understand how to grow more nutritious microalgae as an ingredient.</t>
  </si>
  <si>
    <t xml:space="preserve">pub.1189355597</t>
  </si>
  <si>
    <t xml:space="preserve">In vitro fermentation potential of diet-derived fermentable proteins of thirty-one human foods</t>
  </si>
  <si>
    <t xml:space="preserve">Protein fermentation in the human gut is often associated with adverse health effects. Hence, understanding the fermentation characteristics of dietary undigested proteins is important for a comprehensive nutritional value of foods. This study investigated the protein fermentation kinetics of diet-derived proteins from thirty-one different foods using an in vitro model and human faecal inoculum. The undigested diet-derived protein substrate originated from porcine ileal digesta obtained from assessment of the digestible indispensable amino acid score (DIAAS) of the foods. Significant variations in fermentation kinetic parameters, particularly in maximum gas production rate (Rmax) and time to reach cumulative gas production (GP) from the substrate (TGPs), were observed. The Rmax ranged from 15·5 (se 0·7) ml/h for wheat bran-derived to 24·5 (se 0·9) ml/h for oatmeal-derived proteins. Egg-derived proteins had the shortest TGPs (14·7 (se 0·7) h), while mushroom-derived proteins had the longest (27·6 (se 7·1) h). When foods were categorised into five groups ('animal protein', 'grains', 'legumes', 'fungi, algae and microorganisms' and 'others'), no significant differences were found in fermentation kinetics parameters. Samples were additionally incubated with porcine inoculum to assess potential donor-species effects. Human inoculum showed significantly lower Rmax, cumulative GP and microbiota turnover than porcine inoculum, indicating reduced fermentative activity. Linear regression analysis revealed correlations between human and porcine-derived inoculum only for Rmax (R2 = 0·78, P &lt; 0·01) and TGPs (R² = 0·17, P &lt; 0·05). These findings underscore the importance of using human inoculum in in vitro studies to better predict health implications of foods with DIAAS values.</t>
  </si>
  <si>
    <t xml:space="preserve">The paper's primary focus is measuring protein fermentation kinetics as a health-relevant physiological outcome (gut fermentation and associated health implications), using digestibility-derived substrates from 31 foods; the secondary focus relates to characterising nutritional properties of diverse food protein ingredients including alternative protein sources like fungi, algae, and microorganisms.</t>
  </si>
  <si>
    <t xml:space="preserve">pub.1191996975</t>
  </si>
  <si>
    <t xml:space="preserve">Evaluation of allergenicity of the alternative food protein sources microalga Spirulina and rapeseed cake – A study in Brown Norway rats</t>
  </si>
  <si>
    <t xml:space="preserve">New food sources and unexplored by-products from current food production are necessary to meet the need for more sustainable food proteins. Nevertheless, allergenicity assessment should be performed before introducing them to the market. In this study, we characterised the protein profile and evaluated the inherent immunogenicity and sensitising capacity of protein extracts from the microalga Spirulina and the rapeseed cake in comparison to the known low-allergenic spinach and high-allergenic peanut in a Brown Norway rat model of food allergy. Moreover, the impact of digestion and heat treatment on the allergenicity was assessed. Further, the cross-reactivity between rapeseed proteins and the known allergic food mustard was explored. Mass spectrometry and in silico analyses of the protein extracts identified the potential allergen c-phycocyanin in Spirulina, whereas rapeseed cake contained 2S albumin and 11S globulin proteins with high sequence identity to mustard allergens. Both Spirulina and rapeseed proteins were immunogenic and induced sensitisation in rats to a higher degree than spinach. Whereas Spirulina showed a significantly lower immunogenicity and sensitising capacity than peanut, rapeseed demonstrated comparable sensitising capacity to peanut. Digestion and heat treatment affected the binding of specific IgG1 and IgE to both Spirulina and rapeseed, implying an effect of digestion and heating on their allergenicity, though the effect was highest for rapeseed. Furthermore, great cross-reactivity between mustard and rapeseed proteins was demonstrated. This study suggested that rapeseed cake proteins exhibit a high de novo sensitising capacity and significant cross-reactivity to mustard proteins, though this should be confirmed in human studies.</t>
  </si>
  <si>
    <t xml:space="preserve">The paper directly assesses the allergenicity, immunogenicity, and sensitising capacity of Spirulina and rapeseed cake proteins using an animal model, which is a toxicological/safety assessment of alternative protein ingredients; the secondary health-relevant biological outcomes (IgE/IgG1 responses, cross-reactivity) place it partially in Health &amp; nutrition.</t>
  </si>
  <si>
    <t xml:space="preserve">pub.1189656211</t>
  </si>
  <si>
    <t xml:space="preserve">Changes in meat consumption can improve groundwater quality</t>
  </si>
  <si>
    <t xml:space="preserve">Large-scale, centralized livestock production is recognized as a significant contributor to environmental pollution, including groundwater contamination. Here we assess the impact of traditional meat production on nitrate contamination in groundwater across the contiguous USA from 1985 to 2020. In addition, we evaluate potential changes in groundwater quality resulting from the substitution of traditional meat sources with three alternative meat options. We find that substituting 10% of the protein intake from conventional meat sources with meat alternatives can lead to an average reduction of 3.4%, 10.7% and 4.5% in the required nitrogen fertilizer, manure and water footprint, respectively. This substitution could potentially decrease the risk of groundwater nitrate exceedance (concentration exceeding 10 mg l−1 as N) by up to ~20%. These results highlight the potential of long-term dietary shifts to achieve Sustainable Development Goal (SDG) 6 and support other SDG targets.</t>
  </si>
  <si>
    <t xml:space="preserve">The paper quantitatively assesses the environmental impact (groundwater nitrate contamination, nitrogen fertilizer, water footprint) of substituting conventional meat with alternative proteins across the USA, which is a structured environmental impact assessment; the secondary health angle relates to dietary shifts and water quality standards (SDG 6), though the primary focus is clearly on system-level environmental impacts.</t>
  </si>
  <si>
    <t xml:space="preserve">pub.1189269329</t>
  </si>
  <si>
    <t xml:space="preserve">Molecular Strategies to Overcome Sensory Challenges in Alternative Protein Foods</t>
  </si>
  <si>
    <t xml:space="preserve">Increasing demand for protein diversity has prompted widespread investigation into alternative protein foods, yet these products frequently exhibit suboptimal flavor, texture, and mouthfeel. In this review, sustainability is emphasized as a driving factor for pursuing novel molecular interventions that address persistent sensory limitations. Detailed attention is given to recent advances in precision fermentation, gene editing, and innovative structuring techniques that act directly on plant protein matrices, aiming to minimize off-flavors, reduce astringency, and improve texture. Emphasis is placed on bridging fundamental molecular insights with practical outcomes: enzymatic treatments and microbial pathways that alter volatile and phenolic profiles, as well as processing conditions that enable fibrous network formation and enhanced creaminess. Various case studies demonstrate how integrated approaches—combining flavor modulation with textural refinements—can produce more acceptable meat and dairy analogs. Although considerable progress has been made, continuing knowledge gaps remain in understanding protein–polyphenol interactions, lipid oxidation pathways, and consumer-driven design principles. By synthesizing cutting-edge studies and proposing directions for future work, this review underscores the significance of deploying biochemical, genetic, and engineering perspectives in tandem. It is anticipated that a broader uptake of these strategies will lead to alternative proteins that meet both sustainability goals and consumer expectations for taste and sensory quality.</t>
  </si>
  <si>
    <t xml:space="preserve">This review focuses on molecular interventions (precision fermentation, gene editing, enzymatic treatments) to improve sensory properties of alternative protein ingredients and finished products, spanning both ingredient-level modifications and whole-product formulation outcomes, making it a cross-cutting review best classified under Other; however, since it primarily addresses ingredient-level molecular strategies for sensory improvement with secondary attention to finished product formulation, Ingredient Optimisation and End Product Formulation are the closest fits — but given its broad review nature spanning multiple categories, Other is most appropriate as primary.</t>
  </si>
  <si>
    <t xml:space="preserve">pub.1189232977</t>
  </si>
  <si>
    <t xml:space="preserve">Plant-based fermented foods: General concepts, improvement of the quality, metabolites, and health-related functions</t>
  </si>
  <si>
    <t xml:space="preserve">Plant-based fermented foods and beverages (FFB) offer a sustainable, nutrient-dense alternative to conventional animal-based products, playing a crucial role in promoting health with low environmental impact. Fermentation enhances protein quality, reduces glycemic index, impacts the bioaccessibility and bioavailability of micronutrients, and eliminates anti-nutritional factors present in plant-based foods. Additionally, fermentation-derived bioactive compounds, including peptides, polyphenols, vitamins and short-chain fatty acids, contribute to various health benefits such as improved gut microbiota, immune modulation, and provide anti-inflammatory effects. These bioactives have been linked to the reduced risk of metabolic disorders, cardiovascular diseases, and gastrointestinal conditions. Emerging evidence also highlights the role of FFBs in supporting gut-brain interactions, as microbial metabolites may influence neurotransmitter production and cognitive functions. This review explores novel fermentation techniques, such as precision fermentation, co-culture systems, and controlled microbial consortia, which enhance the functional, sensory, and nutritional properties of plant-based FFBs. The development of plant-based FFBs further expands their potential in supporting digestive health and overall well-being. Additionally, the role of plant-based FFBs in promoting sustainable food systems is highlighted, as they use fewer resources, lower greenhouse gas emissions, and contribute to global food security. By integrating traditional fermentation knowledge with biotechnological innovations, plant-based FFBs are evolving into functional foods that support human health and environmental sustainability. Moreover, this review provides a comprehensive overview of recent advancements and future directions in the field, offering insights for researchers, food technologists, and industry stakeholders aiming to optimize the nutritional and functional potential of fermentation of plant-based materials.</t>
  </si>
  <si>
    <t xml:space="preserve">This is a broad review article spanning multiple categories including ingredient optimisation, health and nutrition, bioprocess design, and impact assessments, making it a cross-cutting review best classified as Other, with health and nutrition as the secondary focus given the emphasis on bioactive compounds and health outcomes.</t>
  </si>
  <si>
    <t xml:space="preserve">pub.1184282447</t>
  </si>
  <si>
    <t xml:space="preserve">“Meat” as a Functional Concept Apt to Incorporate Novel Instances</t>
  </si>
  <si>
    <t xml:space="preserve">By introducing the possibility of producing meat either from plants or from animal stem cells, technological innovations have opened the door to considering meat as an artefactual object, defined by the functions it is designed to perform. Under this interpretation, plant-based and cultivated meat would be regarded as full-fledged meat. By analysing the notion of artefactuality, this paper reviews the main definitions of “artefact” and evaluates whether meat meets these criteria. It then examines whether a functional account of meat aligns with the development of functions in the philosophy of artefacts. Ultimately, the paper concludes that, like certain other food categories, “meat” is well suited to be interpreted as a functional concept apt to incorporate novel instances.</t>
  </si>
  <si>
    <t xml:space="preserve">This is a philosophical/conceptual paper examining the definition of 'meat' as a functional concept and artefact, which falls outside the specific technical categories; the closest secondary category is consumer &amp; market research given its relevance to nomenclature and labelling debates, but the paper's primary contribution is philosophical rather than empirical.</t>
  </si>
  <si>
    <t xml:space="preserve">pub.1196201594</t>
  </si>
  <si>
    <t xml:space="preserve">A Review on Recent Processing and Bioprocessing Developments in Alternative Proteins: Sources, Modification Methods, Economic Feasibility, and Future Challenges</t>
  </si>
  <si>
    <t xml:space="preserve">Alternative proteins (APs) are anticipated to offer a practical approach to tackle the growing need for protein while remaining within environmental limits. Different studies have discussed AP sources; however, a systematic comparison of the extraction, modification, analytical techniques, challenges, and their potential solutions for APs has not been conducted together. A comprehensive perspective is provided by this review, which integrates these aspects. Extracting suitable proteins from plants, insects, and mycoprotein sources is challenging and involves various technical interventions, including protein modification, isolation, product processing, and tracking the modified structure. This review article explores multiple sources of APs, extraction processes, and emerging modification technologies, including non-thermal (high-pressure processing (HPP), pulsed electric field (PEF), extrusion, sonication) and biological (fermentation and enzymatic) methods, along with dual approaches used to alter the structure of APs. These techniques improve the techno-functional attributes (foaming, solubility, emulsification, digestibility) and reduce the allergenicity level of different APs. Various analytical approaches (atomic force microscopy, Fourier-transform infrared, Raman spectroscopy, differential scanning calorimetry, scanning electron microscopy, circular dichroism, and x-ray diffraction) are discussed for tracking AP-modified structure and functionality. The review examines the economic feasibility (initial cost) of each technique for commercialization and industrial scale. The initial installation capital required for HPP was ($0.5 million–$2.5 million). Dual approaches are efficient for improving the yield and functionality of APs, but cost scalability is a major factor limiting the adoption of these approaches. Improvement of flavor changes during these modifications remains an unexplored area. This review, by integrating technological, economic, and regulatory perspectives, provides insights that can help researchers and industry develop more sustainable protein solutions.Graphical Abstract</t>
  </si>
  <si>
    <t xml:space="preserve">This is a broad review article spanning multiple categories including extraction, modification methods, analytical techniques, economic feasibility, and regulatory perspectives across diverse alternative protein sources, making it a cross-cutting review best classified as Other, with Ingredient Optimisation as the closest secondary focus given the emphasis on modification methods and techno-functional properties.</t>
  </si>
  <si>
    <t xml:space="preserve">Should be ingredient optimisation. The entire review is focussed on ingredient optimisation.</t>
  </si>
  <si>
    <t xml:space="preserve">pub.1192451356</t>
  </si>
  <si>
    <t xml:space="preserve">Bioactive Food Proteins: Bridging Nutritional and Functional Benefits with Sustainable Protein Sources</t>
  </si>
  <si>
    <t xml:space="preserve">Bioactive food proteins play multifunctional roles in human health and functional food development. Beyond their nutritional value, these proteins contain peptide sequences capable of exerting physiological effects, such as antioxidant, anti-hypertensive, immunomodulatory, and anti-inflammatory activities. This review summarises the processing and functional technologies applied to bioactive proteins; the increasing use of alternative protein sources including plants, microorganisms, and insects; and how these proteins exert their activity. Advances in high-tech production methods-such as fermentation and cultured meat-are also discussed, alongside current challenges related to safety, regulation, and consumer acceptance. Bibliometric and patent analyses further demonstrate sustained innovation and interest in this field, highlighting the potential of bioactive proteins to contribute to sustainable, health-promoting food systems.</t>
  </si>
  <si>
    <t xml:space="preserve">This is a broad review article spanning multiple categories (ingredient processing, health effects, bioprocess methods, safety, regulation, and consumer acceptance), making it a cross-cutting review best classified as Other, with Health &amp; nutrition as secondary given the emphasis on physiological bioactivities of proteins.</t>
  </si>
  <si>
    <t xml:space="preserve">Probably should be ingredient optimisation, given they are improving the nutritional profile of ingredients.</t>
  </si>
  <si>
    <t xml:space="preserve">pub.1195165724</t>
  </si>
  <si>
    <t xml:space="preserve">Never too late to try something new: attitudes and intention to taste foods from alternative protein sources in a sample of Italian older adults</t>
  </si>
  <si>
    <t xml:space="preserve">Introduction: Nutrition in older adults requires special attention due to protein-energy malnutrition (PEM) risk. Therefore, identifying healthy and sustainable protein sources is crucial, as traditional animal proteins pose challenges to both health and the environment. While most research focuses on younger populations, this study examined the responses of older adults to three alternative protein sources (APS): one plant-based (PBF) and two animal-based sources: cultured meat (CM) and insect-based foods (IBF). We investigated the role of explicit and automatic attitudes in shaping intention to consume (ITC) and the influence of familiarity.
Methods: A between-subjects design was performed: Each participant was randomly assigned to one APS, reported explicit attitudes and ITC, and completed an Implicit Association Test (IAT) to assess automatic attitudes.
Results: Regression analyses showed that ITC varied across APS. For PBF, familiarity was the strongest predictor, followed by explicit attitudes related to taste and automatic attitudes. For CM, ITC was primarily associated with explicit attitudes concerning both taste and safety. For IBF, ICT was mainly related to explicit attitudes concerning taste. ANOVAs comparing the three APSs revealed that IBF was the least favored option. Unexpectedly, although PBF was rated as tastier and safer than CM, it was less preferred in terms of automatic attitudes and ITC.
Discussion: These findings offer new insights into older adults' openness to APS. Disgust and perceived risk were identified as the primary factors influencing the acceptance of animal-based APS, while familiarity and automatic reactions were key factors in the acceptance of PBF. Importantly, although PBF received positive evaluations at the explicit level, it prompted negative automatic attitudes and low intention to consume, suggesting that older adults may implicitly resist PBF, viewing it as less compatible with their dietary habits compared to CM. This evidence challenges the common belief that PBF is the most accepted category of APS and highlights the need to investigate further the implicit barriers that may prevent the integration of these foods for healthy aging.</t>
  </si>
  <si>
    <t xml:space="preserve">The study investigates older adults' attitudes, implicit/explicit responses, and intention to consume alternative protein sources, which is consumer behaviour and acceptance research, with a secondary focus on nutrition and healthy aging in an older population.</t>
  </si>
  <si>
    <t xml:space="preserve">pub.1191240521</t>
  </si>
  <si>
    <t xml:space="preserve">Sustainable Nutrition and Food Allergy: A State-of-the-Art Review</t>
  </si>
  <si>
    <t xml:space="preserve">Alternative proteins denote non-traditional, high-protein foods. These innovative sources aim to compete with conventional animal products by providing protein-rich, sustainable, nutritious, and flavorful options. Currently, five main categories of alternative proteins are being developed: plant-based proteins, cultured meat, single-cell proteins, edible insects, and seaweed. Nonetheless, several chemical and microbiological food safety hazards are associated with these alternatives Incorporating novel protein sources into food products may heighten the prevalence of existing food allergies. This could arise from extracting proteins from their natural matrices and utilizing them at significantly higher concentrations. Additionally, the introduction of new proteins may lead to the development of novel food allergies. Proteins that are currently seldom or never consumed may cause primary sensitisation or trigger cross-reactivity with known allergens. To date, alternative proteins have not been thoroughly studied for their allergenic potential, and there is no standardised method for assessing this risk. This review aims to explore non-traditional protein sources, discussing their nutritional and functional properties, as well as their potential allergenicity based on available research. We conducted a literature search in PubMed and Embase databases. We used specific keywords and MESH terms. A total of 157 studies were included in the review. The studies reviewed in our analysis reveal significant limitations, such as inconsistent methodologies, limited participant numbers, and a lack of long-term data, which hinder the ability to make clear conclusions regarding the safety of these new proteins for individuals with allergies. To address current challenge, future research should integrate food science, regulatory perspectives and advanced technologies.</t>
  </si>
  <si>
    <t xml:space="preserve">The paper's primary focus is allergenicity and food safety hazards of alternative proteins, but as a broad review spanning multiple protein categories, nutritional properties, and regulatory perspectives, it warrants Other as the secondary category.</t>
  </si>
  <si>
    <t xml:space="preserve">pub.1185588959</t>
  </si>
  <si>
    <t xml:space="preserve">How innovation-friendly is the EU novel food regulation? The case of cellular agriculture</t>
  </si>
  <si>
    <t xml:space="preserve">The Novel Food Regulation provides the central legal framework for regulating food innovation in the European Union (EU). Its suitability for transformative innovation, such as cellular agriculture, has recently come under intense political and scientific scrutiny. This paper systematically analyzes how the Novel Food Regulation affects the development of cellular agriculture in the EU. It employs an original analytical framework that captures its influence on the functionality of the innovation system as well as the potential for “legal disruption” caused by technological development. It triangulates a detailed legal analysis with empirical data, collected through EFSA's stakeholder consultations, expert interviews, as well as an original stakeholder survey. Results show mixed effects of the regulation on the innovation system for cellular agriculture: whilst the transparent and robust procedures by EFSA contribute to knowledge diffusion and legitimation, the complex authorization process hampers entrepreneurial experimentation, resource mobilization and market formation. The regulation's narrow focus on food safety and the potential for political interference in the authorization process create a risk for legal disruption. We argue that the creation of well-designed “regulatory sandboxes” could facilitate the identification of solutions that actually contribute to food system sustainability and innovation, without compromising food safety.</t>
  </si>
  <si>
    <t xml:space="preserve">The paper conducts a structured policy and regulatory analysis of the EU Novel Food Regulation's impact on cellular agriculture innovation systems, including regulatory gaps and hurdles, which fits Impact assessments; it also directly engages with food safety regulatory frameworks and authorization processes, fitting Food safety &amp; quality as a secondary focus.</t>
  </si>
  <si>
    <t xml:space="preserve">pub.1185641099</t>
  </si>
  <si>
    <t xml:space="preserve">Design and Operation of a Multifunctional Pilot-Scale Bioreactor for Enhanced Aerobic Fermentation</t>
  </si>
  <si>
    <t xml:space="preserve">The primary aim of this work was to share the results from a Research Project supported by the Italian National Research Council, which led to the development of a versatile jacketed tower bioreactor. Designed to optimize oxygen transfer efficiency and process control, the reactor incorporated a reciprocating air compressor, centrifugal pumps, a draft tube with or without perforated plates, and a series of gas–liquid ejectors. Its flexible design enabled operation in both airlift and ejector-loop modes, making it suitable for a wide range of aerobic fermentation processes. By sharing the detailed engineering design, operational procedures of this pilot-scale bioreactor, as well as its performance data when cultivating yeasts on whey and potato wastewater, a detailed blueprint was given to researchers seeking to advance bioreactor technology, particularly in the context of emerging fields like cultured meat production, pharmaceutical manufacturing, and environmental bioremediation.</t>
  </si>
  <si>
    <t xml:space="preserve">Bioprocess design</t>
  </si>
  <si>
    <t xml:space="preserve">The paper's novel contribution is the engineering design and operation of a pilot-scale bioreactor with flexible airlift/ejector-loop modes optimising oxygen transfer and process control, with performance data from yeast cultivation on waste substrates demonstrating ingredient/biomass production potential.</t>
  </si>
  <si>
    <t xml:space="preserve">pub.1185301096</t>
  </si>
  <si>
    <t xml:space="preserve">“It's most likely gonna be the future”: A qualitative study exploring child and parent perceptions of alternative proteins</t>
  </si>
  <si>
    <t xml:space="preserve">Alternative proteins offer promise as a sustainable substitute for traditional meat, but consumer acceptance remains low. Understanding the perceptions and preferences of diverse consumers is critical to shifting consumption patterns globally. Moreover, as children are future consumers, exploring their perceptions of alternative proteins along with parental influences is important for driving change. We conducted semi-structured focus groups with child (9-15 years-old) and parent (38-56 years-old) pairs (n=19) in Singapore to explore (i) current awareness and perceptions of plant-based meat, cultivated meat, and insect proteins, and (ii) facilitators and barriers to consumption. Inductive (reflexive thematic analysis) and deductive approaches (using the Capability, Opportunity, and Motivation model of Behaviour; COM-B) were adopted for data analysis. Overall, we found greater awareness and acceptance of plant-based meat than cultivated meat and insect proteins. Most children presented with a general curiosity to all alternative proteins, wanting to especially understand the likeness of plant-based and cultivated meat to traditional meat. Parents acknowledged that alternative proteins provided an opportunity to add variety to their diet but were concerned with the naturalness of alternative proteins and the novel technologies used to manufacture them. Insect proteins faced fear and disgust, although the historical consumption of insects meant children and parents deemed these as safe. Taste, cost and the impact on health were also commonly discussed by both children and parents. Our findings highlight key factors that influence children and parents' acceptance and consumption of alternative proteins, which can inform the development of targeted interventions.</t>
  </si>
  <si>
    <t xml:space="preserve">This qualitative study uses focus groups and thematic analysis to explore child and parent perceptions, awareness, and acceptance barriers of alternative proteins, making consumer behaviour research the clear primary focus, with no strong fit for a specific secondary technical category.</t>
  </si>
  <si>
    <t xml:space="preserve">pub.1196344309</t>
  </si>
  <si>
    <t xml:space="preserve">Exploring Sustainable Diet Drivers: An Extended TPB Approach to Alternative Protein Acceptance in Southern Italy</t>
  </si>
  <si>
    <t xml:space="preserve">Background/Objectives: This study investigates how consumers decide to adopt alternative proteins-specifically insect-based, cultured meat, and plant-based options-as part of a transition towards environmentally sustainable diets. Building on an extended Theory of Planned Behaviour (TPB), the analysis adds personal moral norms and environmental concerns to better capture the ethical and normative drivers of food choice. Methods: Survey data from 948 residents of the Campania region (southern Italy) were analysed using partial least squares structural equation modelling (PLS-SEM) to assess the relationship among classical TPB constructs, personal moral norms, environmental concerns, and behavioural intention towards alternative protein consumption. Results: Personal moral norms emerge as the strongest predictor of behavioural intention, directly and indirectly influencing attitudes and environmental concerns. Subjective norms also affect intention, primarily by reinforcing moral norms and perceived behavioural control, although their direct impact is not significant. Classical TPB constructs show limited direct effects. Conclusions: The findings suggest that consumers' sustainable food intentions are more strongly shaped by moral identity and the surrounding social context than by attitudes alone. The evidence supports the development of culturally sensitive strategies designed to strengthen moral and normative motivations and foster the adoption of alternative proteins.</t>
  </si>
  <si>
    <t xml:space="preserve">The study uses survey data and PLS-SEM to analyse consumer behavioural intentions toward alternative protein adoption, making consumer behaviour and decision-making the clear primary focus, with the extended TPB framework and cultural/policy implications giving it a slight cross-cutting flavour.</t>
  </si>
  <si>
    <t xml:space="preserve">pub.1193442920</t>
  </si>
  <si>
    <t xml:space="preserve">Alternative proteins and gut health: balancing sustainability and uncertainty</t>
  </si>
  <si>
    <t xml:space="preserve">The need to nourish the increasing world population while ensuring the environmental sustainability of the food system boosted research in the field of alternative proteins (AP). AP include vegetable proteins, algae, insects, and proteins from microbial biomass. Several studies suggest that AP consumption may be positively correlated with human health. However, although the increasing research interest, the number of studies addressing the impact of their long-term consumption on the human gut microbiome is still limited. In this review, we summarize current evidence on the impact of different AP on the gut microbiome, highlighting the need for ad hoc-designed clinical trials to study the mechanisms by which AP may affect human health, also through the modulation of gut microbiome activities.</t>
  </si>
  <si>
    <t xml:space="preserve">This review focuses on the health-relevant biological outcomes of alternative protein consumption, specifically gut microbiome modulation, but spans multiple AP categories in a broad review format, warranting Other as secondary.</t>
  </si>
  <si>
    <t xml:space="preserve">pub.1193813897</t>
  </si>
  <si>
    <t xml:space="preserve">The Potential of Fermentation-Based Processing on Protein Modification: A Review</t>
  </si>
  <si>
    <t xml:space="preserve">Proteins are fundamental to food systems due to their structural, nutritional, and functional roles. With increasing consumer awareness of health and sustainability, the demand for protein-rich foods from diverse and eco-friendly sources is rising. Fermentation has emerged as a transformative approach for enhancing the nutritional value, functionality, and sensory appeal of protein-based foods, while also contributing to environmental and economic sustainability. This review explores the multifaceted impact of fermentation on proteins, focusing on nutritional enhancement, functional improvements, technological adaptability, and sensory optimization. It highlights how microbial fermentation can modify protein structures, reduce allergenicity, improve digestibility, and generate bioactive compounds. The diversity of protein sources, microbial strains, and fermentation parameters offers a versatile platform for tailoring food products to meet evolving consumer expectations. By critically examining current research and industrial practices, this paper underscores the importance of selecting appropriate protein substrates and microbial hosts to maximize the benefits of fermentation. The insights provided aim to guide future innovations in developing sustainable, health-promoting, and consumer-acceptable fermented protein products.</t>
  </si>
  <si>
    <t xml:space="preserve">This is a broad review article covering multiple aspects of fermentation-based protein modification — nutritional, functional, sensory, and sustainability dimensions — spanning numerous categories rather than making a novel experimental contribution to any single one.</t>
  </si>
  <si>
    <t xml:space="preserve">Should be ingredient optimisation. The review is focussed on fermentation as a method for ingredient optimisation.</t>
  </si>
  <si>
    <t xml:space="preserve">n</t>
  </si>
  <si>
    <t xml:space="preserve">top2_correct</t>
  </si>
  <si>
    <t xml:space="preserve">primary_acc</t>
  </si>
  <si>
    <t xml:space="preserve">top2_acc</t>
  </si>
  <si>
    <t xml:space="preserve">100%</t>
  </si>
  <si>
    <t xml:space="preserve">60%</t>
  </si>
  <si>
    <t xml:space="preserve">71%</t>
  </si>
  <si>
    <t xml:space="preserve">86%</t>
  </si>
  <si>
    <t xml:space="preserve">50%</t>
  </si>
  <si>
    <t xml:space="preserve">80%</t>
  </si>
  <si>
    <t xml:space="preserve">67%</t>
  </si>
  <si>
    <t xml:space="preserve">metric</t>
  </si>
  <si>
    <t xml:space="preserve">value</t>
  </si>
  <si>
    <t xml:space="preserve">top1_accuracy</t>
  </si>
  <si>
    <t xml:space="preserve">81%</t>
  </si>
  <si>
    <t xml:space="preserve">top2_accuracy</t>
  </si>
  <si>
    <t xml:space="preserve">97%</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</si>
</sst>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4">
    <fill>
      <patternFill patternType="none"/>
    </fill>
    <fill>
      <patternFill patternType="gray125"/>
    </fill>
    <fill>
      <patternFill patternType="solid">
        <fgColor rgb="FFFF0000"/>
        <bgColor rgb="FF993300"/>
      </patternFill>
    </fill>
    <fill>
      <patternFill patternType="solid">
        <fgColor rgb="FF81D41A"/>
        <bgColor rgb="FF96969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81D41A"/>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9"/>
  <sheetViews>
    <sheetView showFormulas="false" showGridLines="true" showRowColHeaders="true" showZeros="true" rightToLeft="false" tabSelected="true" showOutlineSymbols="true" defaultGridColor="true" view="normal" topLeftCell="A19" colorId="64" zoomScale="100" zoomScaleNormal="100" zoomScalePageLayoutView="100" workbookViewId="0">
      <selection pane="topLeft" activeCell="L42" activeCellId="1" sqref="L31 L42"/>
    </sheetView>
  </sheetViews>
  <sheetFormatPr defaultColWidth="8.34375" defaultRowHeight="15" customHeight="false" zeroHeight="false" outlineLevelRow="0" outlineLevelCol="0"/>
  <sheetData>
    <row r="1" customFormat="false" ht="15" hidden="false" customHeight="false" outlineLevel="0" collapsed="false">
      <c r="A1" s="0" t="s">
        <v>0</v>
      </c>
      <c r="B1" s="0" t="s">
        <v>1</v>
      </c>
      <c r="C1" s="0" t="s">
        <v>2</v>
      </c>
      <c r="D1" s="0" t="s">
        <v>3</v>
      </c>
      <c r="E1" s="0" t="s">
        <v>4</v>
      </c>
      <c r="F1" s="0" t="s">
        <v>5</v>
      </c>
      <c r="G1" s="0" t="s">
        <v>6</v>
      </c>
      <c r="H1" s="0" t="s">
        <v>7</v>
      </c>
      <c r="I1" s="0" t="s">
        <v>8</v>
      </c>
      <c r="J1" s="0" t="s">
        <v>9</v>
      </c>
      <c r="L1" s="0" t="s">
        <v>10</v>
      </c>
      <c r="M1" s="0" t="s">
        <v>11</v>
      </c>
    </row>
    <row r="2" customFormat="false" ht="15" hidden="false" customHeight="false" outlineLevel="0" collapsed="false">
      <c r="A2" s="0" t="s">
        <v>12</v>
      </c>
      <c r="B2" s="0" t="s">
        <v>13</v>
      </c>
      <c r="C2" s="0" t="s">
        <v>14</v>
      </c>
      <c r="D2" s="0" t="s">
        <v>15</v>
      </c>
      <c r="E2" s="0" t="s">
        <v>16</v>
      </c>
      <c r="F2" s="0" t="s">
        <v>16</v>
      </c>
      <c r="G2" s="0" t="s">
        <v>17</v>
      </c>
      <c r="H2" s="0" t="s">
        <v>18</v>
      </c>
      <c r="I2" s="1" t="b">
        <f aca="false">TRUE()</f>
        <v>1</v>
      </c>
      <c r="J2" s="1" t="b">
        <f aca="false">TRUE()</f>
        <v>1</v>
      </c>
    </row>
    <row r="3" customFormat="false" ht="15" hidden="false" customHeight="false" outlineLevel="0" collapsed="false">
      <c r="A3" s="0" t="s">
        <v>19</v>
      </c>
      <c r="B3" s="0" t="s">
        <v>20</v>
      </c>
      <c r="C3" s="0" t="s">
        <v>21</v>
      </c>
      <c r="D3" s="0" t="s">
        <v>15</v>
      </c>
      <c r="E3" s="0" t="s">
        <v>22</v>
      </c>
      <c r="F3" s="0" t="s">
        <v>22</v>
      </c>
      <c r="G3" s="0" t="s">
        <v>23</v>
      </c>
      <c r="H3" s="0" t="s">
        <v>24</v>
      </c>
      <c r="I3" s="1" t="b">
        <f aca="false">TRUE()</f>
        <v>1</v>
      </c>
      <c r="J3" s="1" t="b">
        <f aca="false">TRUE()</f>
        <v>1</v>
      </c>
    </row>
    <row r="4" customFormat="false" ht="15" hidden="false" customHeight="false" outlineLevel="0" collapsed="false">
      <c r="A4" s="0" t="s">
        <v>25</v>
      </c>
      <c r="B4" s="0" t="s">
        <v>26</v>
      </c>
      <c r="C4" s="0" t="s">
        <v>27</v>
      </c>
      <c r="D4" s="0" t="s">
        <v>15</v>
      </c>
      <c r="E4" s="0" t="s">
        <v>23</v>
      </c>
      <c r="F4" s="0" t="s">
        <v>23</v>
      </c>
      <c r="G4" s="0" t="s">
        <v>16</v>
      </c>
      <c r="H4" s="0" t="s">
        <v>28</v>
      </c>
      <c r="I4" s="1" t="b">
        <f aca="false">TRUE()</f>
        <v>1</v>
      </c>
      <c r="J4" s="1" t="b">
        <f aca="false">TRUE()</f>
        <v>1</v>
      </c>
    </row>
    <row r="5" customFormat="false" ht="15" hidden="false" customHeight="false" outlineLevel="0" collapsed="false">
      <c r="A5" s="0" t="s">
        <v>29</v>
      </c>
      <c r="B5" s="0" t="s">
        <v>30</v>
      </c>
      <c r="C5" s="0" t="s">
        <v>31</v>
      </c>
      <c r="D5" s="0" t="s">
        <v>15</v>
      </c>
      <c r="E5" s="0" t="s">
        <v>22</v>
      </c>
      <c r="F5" s="0" t="s">
        <v>22</v>
      </c>
      <c r="G5" s="0" t="s">
        <v>32</v>
      </c>
      <c r="H5" s="0" t="s">
        <v>33</v>
      </c>
      <c r="I5" s="1" t="b">
        <f aca="false">TRUE()</f>
        <v>1</v>
      </c>
      <c r="J5" s="1" t="b">
        <f aca="false">TRUE()</f>
        <v>1</v>
      </c>
    </row>
    <row r="6" customFormat="false" ht="15" hidden="false" customHeight="false" outlineLevel="0" collapsed="false">
      <c r="A6" s="0" t="s">
        <v>34</v>
      </c>
      <c r="B6" s="0" t="s">
        <v>35</v>
      </c>
      <c r="C6" s="0" t="s">
        <v>36</v>
      </c>
      <c r="D6" s="0" t="s">
        <v>15</v>
      </c>
      <c r="E6" s="0" t="s">
        <v>17</v>
      </c>
      <c r="F6" s="0" t="s">
        <v>17</v>
      </c>
      <c r="G6" s="0" t="s">
        <v>16</v>
      </c>
      <c r="H6" s="0" t="s">
        <v>37</v>
      </c>
      <c r="I6" s="1" t="b">
        <f aca="false">TRUE()</f>
        <v>1</v>
      </c>
      <c r="J6" s="1" t="b">
        <f aca="false">TRUE()</f>
        <v>1</v>
      </c>
    </row>
    <row r="7" customFormat="false" ht="15" hidden="false" customHeight="false" outlineLevel="0" collapsed="false">
      <c r="A7" s="0" t="s">
        <v>38</v>
      </c>
      <c r="B7" s="0" t="s">
        <v>39</v>
      </c>
      <c r="C7" s="0" t="s">
        <v>40</v>
      </c>
      <c r="D7" s="0" t="s">
        <v>15</v>
      </c>
      <c r="E7" s="0" t="s">
        <v>41</v>
      </c>
      <c r="F7" s="0" t="s">
        <v>41</v>
      </c>
      <c r="G7" s="0" t="s">
        <v>16</v>
      </c>
      <c r="H7" s="0" t="s">
        <v>42</v>
      </c>
      <c r="I7" s="1" t="b">
        <f aca="false">TRUE()</f>
        <v>1</v>
      </c>
      <c r="J7" s="1" t="b">
        <f aca="false">TRUE()</f>
        <v>1</v>
      </c>
    </row>
    <row r="8" customFormat="false" ht="15" hidden="false" customHeight="false" outlineLevel="0" collapsed="false">
      <c r="A8" s="0" t="s">
        <v>43</v>
      </c>
      <c r="B8" s="0" t="s">
        <v>44</v>
      </c>
      <c r="C8" s="0" t="s">
        <v>45</v>
      </c>
      <c r="D8" s="0" t="s">
        <v>15</v>
      </c>
      <c r="E8" s="0" t="s">
        <v>46</v>
      </c>
      <c r="F8" s="0" t="s">
        <v>46</v>
      </c>
      <c r="G8" s="0" t="s">
        <v>16</v>
      </c>
      <c r="H8" s="0" t="s">
        <v>47</v>
      </c>
      <c r="I8" s="1" t="b">
        <f aca="false">TRUE()</f>
        <v>1</v>
      </c>
      <c r="J8" s="1" t="b">
        <f aca="false">TRUE()</f>
        <v>1</v>
      </c>
    </row>
    <row r="9" customFormat="false" ht="15" hidden="false" customHeight="false" outlineLevel="0" collapsed="false">
      <c r="A9" s="0" t="s">
        <v>48</v>
      </c>
      <c r="B9" s="0" t="s">
        <v>49</v>
      </c>
      <c r="C9" s="0" t="s">
        <v>50</v>
      </c>
      <c r="D9" s="0" t="s">
        <v>15</v>
      </c>
      <c r="E9" s="0" t="s">
        <v>32</v>
      </c>
      <c r="F9" s="0" t="s">
        <v>16</v>
      </c>
      <c r="G9" s="0" t="s">
        <v>32</v>
      </c>
      <c r="H9" s="0" t="s">
        <v>51</v>
      </c>
      <c r="I9" s="2" t="b">
        <f aca="false">FALSE()</f>
        <v>0</v>
      </c>
      <c r="J9" s="1" t="b">
        <f aca="false">TRUE()</f>
        <v>1</v>
      </c>
      <c r="M9" s="0" t="s">
        <v>52</v>
      </c>
    </row>
    <row r="10" customFormat="false" ht="15" hidden="false" customHeight="false" outlineLevel="0" collapsed="false">
      <c r="A10" s="0" t="s">
        <v>53</v>
      </c>
      <c r="B10" s="0" t="s">
        <v>54</v>
      </c>
      <c r="C10" s="0" t="s">
        <v>55</v>
      </c>
      <c r="D10" s="0" t="s">
        <v>15</v>
      </c>
      <c r="E10" s="0" t="s">
        <v>32</v>
      </c>
      <c r="F10" s="0" t="s">
        <v>32</v>
      </c>
      <c r="G10" s="0" t="s">
        <v>41</v>
      </c>
      <c r="H10" s="0" t="s">
        <v>56</v>
      </c>
      <c r="I10" s="1" t="b">
        <f aca="false">TRUE()</f>
        <v>1</v>
      </c>
      <c r="J10" s="1" t="b">
        <f aca="false">TRUE()</f>
        <v>1</v>
      </c>
    </row>
    <row r="11" customFormat="false" ht="15" hidden="false" customHeight="false" outlineLevel="0" collapsed="false">
      <c r="A11" s="0" t="s">
        <v>57</v>
      </c>
      <c r="B11" s="0" t="s">
        <v>58</v>
      </c>
      <c r="C11" s="0" t="s">
        <v>59</v>
      </c>
      <c r="D11" s="0" t="s">
        <v>15</v>
      </c>
      <c r="E11" s="0" t="s">
        <v>32</v>
      </c>
      <c r="F11" s="0" t="s">
        <v>32</v>
      </c>
      <c r="G11" s="0" t="s">
        <v>22</v>
      </c>
      <c r="H11" s="0" t="s">
        <v>60</v>
      </c>
      <c r="I11" s="1" t="b">
        <f aca="false">TRUE()</f>
        <v>1</v>
      </c>
      <c r="J11" s="1" t="b">
        <f aca="false">TRUE()</f>
        <v>1</v>
      </c>
    </row>
    <row r="12" customFormat="false" ht="15" hidden="false" customHeight="false" outlineLevel="0" collapsed="false">
      <c r="A12" s="0" t="s">
        <v>61</v>
      </c>
      <c r="B12" s="0" t="s">
        <v>62</v>
      </c>
      <c r="C12" s="0" t="s">
        <v>63</v>
      </c>
      <c r="D12" s="0" t="s">
        <v>15</v>
      </c>
      <c r="E12" s="0" t="s">
        <v>64</v>
      </c>
      <c r="F12" s="0" t="s">
        <v>64</v>
      </c>
      <c r="G12" s="0" t="s">
        <v>32</v>
      </c>
      <c r="H12" s="0" t="s">
        <v>65</v>
      </c>
      <c r="I12" s="1" t="b">
        <f aca="false">TRUE()</f>
        <v>1</v>
      </c>
      <c r="J12" s="1" t="b">
        <f aca="false">TRUE()</f>
        <v>1</v>
      </c>
    </row>
    <row r="13" customFormat="false" ht="15" hidden="false" customHeight="false" outlineLevel="0" collapsed="false">
      <c r="A13" s="0" t="s">
        <v>66</v>
      </c>
      <c r="B13" s="0" t="s">
        <v>67</v>
      </c>
      <c r="C13" s="0" t="s">
        <v>68</v>
      </c>
      <c r="D13" s="0" t="s">
        <v>15</v>
      </c>
      <c r="E13" s="0" t="s">
        <v>16</v>
      </c>
      <c r="F13" s="0" t="s">
        <v>16</v>
      </c>
      <c r="G13" s="0" t="s">
        <v>64</v>
      </c>
      <c r="H13" s="0" t="s">
        <v>69</v>
      </c>
      <c r="I13" s="1" t="b">
        <f aca="false">TRUE()</f>
        <v>1</v>
      </c>
      <c r="J13" s="1" t="b">
        <f aca="false">TRUE()</f>
        <v>1</v>
      </c>
    </row>
    <row r="14" customFormat="false" ht="15" hidden="false" customHeight="false" outlineLevel="0" collapsed="false">
      <c r="A14" s="0" t="s">
        <v>70</v>
      </c>
      <c r="B14" s="0" t="s">
        <v>71</v>
      </c>
      <c r="C14" s="0" t="s">
        <v>72</v>
      </c>
      <c r="D14" s="0" t="s">
        <v>15</v>
      </c>
      <c r="E14" s="0" t="s">
        <v>17</v>
      </c>
      <c r="F14" s="0" t="s">
        <v>17</v>
      </c>
      <c r="G14" s="0" t="s">
        <v>16</v>
      </c>
      <c r="H14" s="0" t="s">
        <v>73</v>
      </c>
      <c r="I14" s="1" t="b">
        <f aca="false">TRUE()</f>
        <v>1</v>
      </c>
      <c r="J14" s="1" t="b">
        <f aca="false">TRUE()</f>
        <v>1</v>
      </c>
    </row>
    <row r="15" customFormat="false" ht="56" hidden="false" customHeight="false" outlineLevel="0" collapsed="false">
      <c r="A15" s="0" t="s">
        <v>74</v>
      </c>
      <c r="B15" s="0" t="s">
        <v>75</v>
      </c>
      <c r="C15" s="3" t="s">
        <v>76</v>
      </c>
      <c r="D15" s="0" t="s">
        <v>15</v>
      </c>
      <c r="E15" s="0" t="s">
        <v>64</v>
      </c>
      <c r="F15" s="0" t="s">
        <v>64</v>
      </c>
      <c r="G15" s="0" t="s">
        <v>17</v>
      </c>
      <c r="H15" s="0" t="s">
        <v>77</v>
      </c>
      <c r="I15" s="1" t="b">
        <f aca="false">TRUE()</f>
        <v>1</v>
      </c>
      <c r="J15" s="1" t="b">
        <f aca="false">TRUE()</f>
        <v>1</v>
      </c>
    </row>
    <row r="16" customFormat="false" ht="15" hidden="false" customHeight="false" outlineLevel="0" collapsed="false">
      <c r="A16" s="0" t="s">
        <v>78</v>
      </c>
      <c r="B16" s="0" t="s">
        <v>79</v>
      </c>
      <c r="C16" s="0" t="s">
        <v>80</v>
      </c>
      <c r="D16" s="0" t="s">
        <v>15</v>
      </c>
      <c r="E16" s="0" t="s">
        <v>17</v>
      </c>
      <c r="F16" s="0" t="s">
        <v>17</v>
      </c>
      <c r="G16" s="0" t="s">
        <v>16</v>
      </c>
      <c r="H16" s="0" t="s">
        <v>81</v>
      </c>
      <c r="I16" s="1" t="b">
        <f aca="false">TRUE()</f>
        <v>1</v>
      </c>
      <c r="J16" s="1" t="b">
        <f aca="false">TRUE()</f>
        <v>1</v>
      </c>
    </row>
    <row r="17" customFormat="false" ht="15" hidden="false" customHeight="false" outlineLevel="0" collapsed="false">
      <c r="A17" s="0" t="s">
        <v>82</v>
      </c>
      <c r="B17" s="0" t="s">
        <v>83</v>
      </c>
      <c r="C17" s="0" t="s">
        <v>84</v>
      </c>
      <c r="D17" s="0" t="s">
        <v>15</v>
      </c>
      <c r="E17" s="0" t="s">
        <v>16</v>
      </c>
      <c r="F17" s="0" t="s">
        <v>16</v>
      </c>
      <c r="G17" s="0" t="s">
        <v>64</v>
      </c>
      <c r="H17" s="0" t="s">
        <v>85</v>
      </c>
      <c r="I17" s="1" t="b">
        <f aca="false">TRUE()</f>
        <v>1</v>
      </c>
      <c r="J17" s="1" t="b">
        <f aca="false">TRUE()</f>
        <v>1</v>
      </c>
    </row>
    <row r="18" customFormat="false" ht="15" hidden="false" customHeight="false" outlineLevel="0" collapsed="false">
      <c r="A18" s="0" t="s">
        <v>86</v>
      </c>
      <c r="B18" s="0" t="s">
        <v>87</v>
      </c>
      <c r="C18" s="0" t="s">
        <v>88</v>
      </c>
      <c r="D18" s="0" t="s">
        <v>15</v>
      </c>
      <c r="E18" s="0" t="s">
        <v>16</v>
      </c>
      <c r="F18" s="0" t="s">
        <v>16</v>
      </c>
      <c r="G18" s="0" t="s">
        <v>17</v>
      </c>
      <c r="H18" s="0" t="s">
        <v>89</v>
      </c>
      <c r="I18" s="1" t="b">
        <f aca="false">TRUE()</f>
        <v>1</v>
      </c>
      <c r="J18" s="1" t="b">
        <f aca="false">TRUE()</f>
        <v>1</v>
      </c>
    </row>
    <row r="19" customFormat="false" ht="15" hidden="false" customHeight="false" outlineLevel="0" collapsed="false">
      <c r="A19" s="0" t="s">
        <v>90</v>
      </c>
      <c r="B19" s="0" t="s">
        <v>91</v>
      </c>
      <c r="C19" s="0" t="s">
        <v>92</v>
      </c>
      <c r="D19" s="0" t="s">
        <v>15</v>
      </c>
      <c r="E19" s="0" t="s">
        <v>23</v>
      </c>
      <c r="F19" s="0" t="s">
        <v>16</v>
      </c>
      <c r="G19" s="0" t="s">
        <v>23</v>
      </c>
      <c r="H19" s="0" t="s">
        <v>93</v>
      </c>
      <c r="I19" s="2" t="b">
        <f aca="false">FALSE()</f>
        <v>0</v>
      </c>
      <c r="J19" s="1" t="b">
        <f aca="false">TRUE()</f>
        <v>1</v>
      </c>
      <c r="M19" s="0" t="s">
        <v>94</v>
      </c>
    </row>
    <row r="20" customFormat="false" ht="15" hidden="false" customHeight="false" outlineLevel="0" collapsed="false">
      <c r="A20" s="0" t="s">
        <v>95</v>
      </c>
      <c r="B20" s="0" t="s">
        <v>96</v>
      </c>
      <c r="C20" s="0" t="s">
        <v>97</v>
      </c>
      <c r="D20" s="0" t="s">
        <v>15</v>
      </c>
      <c r="E20" s="0" t="s">
        <v>16</v>
      </c>
      <c r="F20" s="0" t="s">
        <v>16</v>
      </c>
      <c r="G20" s="0" t="s">
        <v>64</v>
      </c>
      <c r="H20" s="0" t="s">
        <v>98</v>
      </c>
      <c r="I20" s="1" t="b">
        <f aca="false">TRUE()</f>
        <v>1</v>
      </c>
      <c r="J20" s="1" t="b">
        <f aca="false">TRUE()</f>
        <v>1</v>
      </c>
    </row>
    <row r="21" customFormat="false" ht="15" hidden="false" customHeight="false" outlineLevel="0" collapsed="false">
      <c r="A21" s="0" t="s">
        <v>99</v>
      </c>
      <c r="B21" s="0" t="s">
        <v>100</v>
      </c>
      <c r="C21" s="0" t="s">
        <v>101</v>
      </c>
      <c r="D21" s="0" t="s">
        <v>15</v>
      </c>
      <c r="E21" s="0" t="s">
        <v>64</v>
      </c>
      <c r="F21" s="0" t="s">
        <v>64</v>
      </c>
      <c r="G21" s="0" t="s">
        <v>16</v>
      </c>
      <c r="H21" s="0" t="s">
        <v>102</v>
      </c>
      <c r="I21" s="1" t="b">
        <f aca="false">TRUE()</f>
        <v>1</v>
      </c>
      <c r="J21" s="1" t="b">
        <f aca="false">TRUE()</f>
        <v>1</v>
      </c>
    </row>
    <row r="22" customFormat="false" ht="15" hidden="false" customHeight="false" outlineLevel="0" collapsed="false">
      <c r="A22" s="0" t="s">
        <v>103</v>
      </c>
      <c r="B22" s="0" t="s">
        <v>104</v>
      </c>
      <c r="C22" s="0" t="s">
        <v>105</v>
      </c>
      <c r="D22" s="0" t="s">
        <v>15</v>
      </c>
      <c r="E22" s="0" t="s">
        <v>46</v>
      </c>
      <c r="F22" s="0" t="s">
        <v>64</v>
      </c>
      <c r="G22" s="0" t="s">
        <v>46</v>
      </c>
      <c r="H22" s="0" t="s">
        <v>106</v>
      </c>
      <c r="I22" s="2" t="b">
        <f aca="false">FALSE()</f>
        <v>0</v>
      </c>
      <c r="J22" s="1" t="b">
        <f aca="false">TRUE()</f>
        <v>1</v>
      </c>
      <c r="M22" s="0" t="s">
        <v>107</v>
      </c>
    </row>
    <row r="23" customFormat="false" ht="15" hidden="false" customHeight="false" outlineLevel="0" collapsed="false">
      <c r="A23" s="0" t="s">
        <v>108</v>
      </c>
      <c r="B23" s="0" t="s">
        <v>109</v>
      </c>
      <c r="C23" s="0" t="s">
        <v>110</v>
      </c>
      <c r="D23" s="0" t="s">
        <v>15</v>
      </c>
      <c r="E23" s="0" t="s">
        <v>22</v>
      </c>
      <c r="F23" s="0" t="s">
        <v>22</v>
      </c>
      <c r="G23" s="0" t="s">
        <v>17</v>
      </c>
      <c r="H23" s="0" t="s">
        <v>111</v>
      </c>
      <c r="I23" s="1" t="b">
        <f aca="false">TRUE()</f>
        <v>1</v>
      </c>
      <c r="J23" s="1" t="b">
        <f aca="false">TRUE()</f>
        <v>1</v>
      </c>
    </row>
    <row r="24" customFormat="false" ht="15" hidden="false" customHeight="false" outlineLevel="0" collapsed="false">
      <c r="A24" s="0" t="s">
        <v>112</v>
      </c>
      <c r="B24" s="0" t="s">
        <v>113</v>
      </c>
      <c r="C24" s="0" t="s">
        <v>114</v>
      </c>
      <c r="D24" s="0" t="s">
        <v>15</v>
      </c>
      <c r="E24" s="0" t="s">
        <v>32</v>
      </c>
      <c r="F24" s="0" t="s">
        <v>32</v>
      </c>
      <c r="G24" s="0" t="s">
        <v>16</v>
      </c>
      <c r="H24" s="0" t="s">
        <v>115</v>
      </c>
      <c r="I24" s="1" t="b">
        <f aca="false">TRUE()</f>
        <v>1</v>
      </c>
      <c r="J24" s="1" t="b">
        <f aca="false">TRUE()</f>
        <v>1</v>
      </c>
    </row>
    <row r="25" customFormat="false" ht="15" hidden="false" customHeight="false" outlineLevel="0" collapsed="false">
      <c r="A25" s="0" t="s">
        <v>116</v>
      </c>
      <c r="B25" s="0" t="s">
        <v>117</v>
      </c>
      <c r="C25" s="0" t="s">
        <v>118</v>
      </c>
      <c r="D25" s="0" t="s">
        <v>15</v>
      </c>
      <c r="E25" s="0" t="s">
        <v>22</v>
      </c>
      <c r="F25" s="0" t="s">
        <v>16</v>
      </c>
      <c r="G25" s="0" t="s">
        <v>22</v>
      </c>
      <c r="H25" s="0" t="s">
        <v>119</v>
      </c>
      <c r="I25" s="2" t="b">
        <f aca="false">FALSE()</f>
        <v>0</v>
      </c>
      <c r="J25" s="1" t="b">
        <f aca="false">TRUE()</f>
        <v>1</v>
      </c>
      <c r="M25" s="0" t="s">
        <v>120</v>
      </c>
    </row>
    <row r="26" customFormat="false" ht="15" hidden="false" customHeight="false" outlineLevel="0" collapsed="false">
      <c r="A26" s="0" t="s">
        <v>121</v>
      </c>
      <c r="B26" s="0" t="s">
        <v>122</v>
      </c>
      <c r="C26" s="0" t="s">
        <v>123</v>
      </c>
      <c r="D26" s="0" t="s">
        <v>15</v>
      </c>
      <c r="E26" s="0" t="s">
        <v>41</v>
      </c>
      <c r="F26" s="0" t="s">
        <v>41</v>
      </c>
      <c r="G26" s="0" t="s">
        <v>32</v>
      </c>
      <c r="H26" s="0" t="s">
        <v>124</v>
      </c>
      <c r="I26" s="1" t="b">
        <f aca="false">TRUE()</f>
        <v>1</v>
      </c>
      <c r="J26" s="1" t="b">
        <f aca="false">TRUE()</f>
        <v>1</v>
      </c>
    </row>
    <row r="27" customFormat="false" ht="15" hidden="false" customHeight="false" outlineLevel="0" collapsed="false">
      <c r="A27" s="0" t="s">
        <v>125</v>
      </c>
      <c r="B27" s="0" t="s">
        <v>126</v>
      </c>
      <c r="C27" s="0" t="s">
        <v>127</v>
      </c>
      <c r="D27" s="0" t="s">
        <v>15</v>
      </c>
      <c r="E27" s="0" t="s">
        <v>17</v>
      </c>
      <c r="F27" s="0" t="s">
        <v>17</v>
      </c>
      <c r="G27" s="0" t="s">
        <v>64</v>
      </c>
      <c r="H27" s="0" t="s">
        <v>128</v>
      </c>
      <c r="I27" s="1" t="b">
        <f aca="false">TRUE()</f>
        <v>1</v>
      </c>
      <c r="J27" s="1" t="b">
        <f aca="false">TRUE()</f>
        <v>1</v>
      </c>
    </row>
    <row r="28" customFormat="false" ht="15" hidden="false" customHeight="false" outlineLevel="0" collapsed="false">
      <c r="A28" s="0" t="s">
        <v>129</v>
      </c>
      <c r="B28" s="0" t="s">
        <v>130</v>
      </c>
      <c r="C28" s="0" t="s">
        <v>131</v>
      </c>
      <c r="D28" s="0" t="s">
        <v>15</v>
      </c>
      <c r="E28" s="0" t="s">
        <v>23</v>
      </c>
      <c r="F28" s="0" t="s">
        <v>23</v>
      </c>
      <c r="G28" s="0" t="s">
        <v>22</v>
      </c>
      <c r="H28" s="0" t="s">
        <v>132</v>
      </c>
      <c r="I28" s="1" t="b">
        <f aca="false">TRUE()</f>
        <v>1</v>
      </c>
      <c r="J28" s="1" t="b">
        <f aca="false">TRUE()</f>
        <v>1</v>
      </c>
    </row>
    <row r="29" customFormat="false" ht="15" hidden="false" customHeight="false" outlineLevel="0" collapsed="false">
      <c r="A29" s="0" t="s">
        <v>133</v>
      </c>
      <c r="B29" s="0" t="s">
        <v>134</v>
      </c>
      <c r="C29" s="0" t="s">
        <v>135</v>
      </c>
      <c r="D29" s="0" t="s">
        <v>15</v>
      </c>
      <c r="E29" s="0" t="s">
        <v>16</v>
      </c>
      <c r="F29" s="0" t="s">
        <v>16</v>
      </c>
      <c r="G29" s="0" t="s">
        <v>64</v>
      </c>
      <c r="H29" s="0" t="s">
        <v>136</v>
      </c>
      <c r="I29" s="1" t="b">
        <f aca="false">TRUE()</f>
        <v>1</v>
      </c>
      <c r="J29" s="1" t="b">
        <f aca="false">TRUE()</f>
        <v>1</v>
      </c>
    </row>
    <row r="30" customFormat="false" ht="15" hidden="false" customHeight="false" outlineLevel="0" collapsed="false">
      <c r="A30" s="0" t="s">
        <v>137</v>
      </c>
      <c r="B30" s="0" t="s">
        <v>138</v>
      </c>
      <c r="C30" s="0" t="s">
        <v>139</v>
      </c>
      <c r="D30" s="0" t="s">
        <v>15</v>
      </c>
      <c r="E30" s="0" t="s">
        <v>64</v>
      </c>
      <c r="F30" s="0" t="s">
        <v>64</v>
      </c>
      <c r="G30" s="0" t="s">
        <v>16</v>
      </c>
      <c r="H30" s="0" t="s">
        <v>140</v>
      </c>
      <c r="I30" s="1" t="b">
        <f aca="false">TRUE()</f>
        <v>1</v>
      </c>
      <c r="J30" s="1" t="b">
        <f aca="false">TRUE()</f>
        <v>1</v>
      </c>
    </row>
    <row r="31" customFormat="false" ht="15" hidden="false" customHeight="false" outlineLevel="0" collapsed="false">
      <c r="A31" s="0" t="s">
        <v>141</v>
      </c>
      <c r="B31" s="0" t="s">
        <v>142</v>
      </c>
      <c r="C31" s="0" t="s">
        <v>143</v>
      </c>
      <c r="D31" s="0" t="s">
        <v>15</v>
      </c>
      <c r="E31" s="0" t="s">
        <v>41</v>
      </c>
      <c r="F31" s="0" t="s">
        <v>16</v>
      </c>
      <c r="G31" s="0" t="s">
        <v>64</v>
      </c>
      <c r="H31" s="0" t="s">
        <v>144</v>
      </c>
      <c r="I31" s="4" t="b">
        <f aca="false">FALSE()</f>
        <v>0</v>
      </c>
      <c r="J31" s="1" t="b">
        <f aca="false">FALSE()</f>
        <v>0</v>
      </c>
      <c r="L31" s="0" t="s">
        <v>16</v>
      </c>
      <c r="M31" s="0" t="s">
        <v>145</v>
      </c>
    </row>
    <row r="32" customFormat="false" ht="15" hidden="false" customHeight="false" outlineLevel="0" collapsed="false">
      <c r="A32" s="0" t="s">
        <v>146</v>
      </c>
      <c r="B32" s="0" t="s">
        <v>147</v>
      </c>
      <c r="C32" s="0" t="s">
        <v>148</v>
      </c>
      <c r="D32" s="0" t="s">
        <v>15</v>
      </c>
      <c r="E32" s="0" t="s">
        <v>16</v>
      </c>
      <c r="F32" s="0" t="s">
        <v>16</v>
      </c>
      <c r="G32" s="0" t="s">
        <v>17</v>
      </c>
      <c r="H32" s="0" t="s">
        <v>149</v>
      </c>
      <c r="I32" s="1" t="b">
        <f aca="false">TRUE()</f>
        <v>1</v>
      </c>
      <c r="J32" s="1" t="b">
        <f aca="false">TRUE()</f>
        <v>1</v>
      </c>
    </row>
    <row r="33" customFormat="false" ht="15" hidden="false" customHeight="false" outlineLevel="0" collapsed="false">
      <c r="A33" s="0" t="s">
        <v>150</v>
      </c>
      <c r="B33" s="0" t="s">
        <v>151</v>
      </c>
      <c r="C33" s="0" t="s">
        <v>152</v>
      </c>
      <c r="D33" s="0" t="s">
        <v>15</v>
      </c>
      <c r="E33" s="0" t="s">
        <v>17</v>
      </c>
      <c r="F33" s="0" t="s">
        <v>17</v>
      </c>
      <c r="G33" s="0" t="s">
        <v>16</v>
      </c>
      <c r="H33" s="0" t="s">
        <v>153</v>
      </c>
      <c r="I33" s="1" t="b">
        <f aca="false">TRUE()</f>
        <v>1</v>
      </c>
      <c r="J33" s="1" t="b">
        <f aca="false">TRUE()</f>
        <v>1</v>
      </c>
    </row>
    <row r="34" customFormat="false" ht="15" hidden="false" customHeight="false" outlineLevel="0" collapsed="false">
      <c r="A34" s="0" t="s">
        <v>154</v>
      </c>
      <c r="B34" s="0" t="s">
        <v>155</v>
      </c>
      <c r="C34" s="0" t="s">
        <v>156</v>
      </c>
      <c r="D34" s="0" t="s">
        <v>15</v>
      </c>
      <c r="E34" s="0" t="s">
        <v>41</v>
      </c>
      <c r="F34" s="0" t="s">
        <v>41</v>
      </c>
      <c r="G34" s="0" t="s">
        <v>16</v>
      </c>
      <c r="H34" s="0" t="s">
        <v>157</v>
      </c>
      <c r="I34" s="1" t="b">
        <f aca="false">TRUE()</f>
        <v>1</v>
      </c>
      <c r="J34" s="1" t="b">
        <f aca="false">TRUE()</f>
        <v>1</v>
      </c>
    </row>
    <row r="35" customFormat="false" ht="15" hidden="false" customHeight="false" outlineLevel="0" collapsed="false">
      <c r="A35" s="0" t="s">
        <v>158</v>
      </c>
      <c r="B35" s="0" t="s">
        <v>159</v>
      </c>
      <c r="C35" s="0" t="s">
        <v>160</v>
      </c>
      <c r="D35" s="0" t="s">
        <v>15</v>
      </c>
      <c r="E35" s="0" t="s">
        <v>17</v>
      </c>
      <c r="F35" s="0" t="s">
        <v>17</v>
      </c>
      <c r="G35" s="0" t="s">
        <v>16</v>
      </c>
      <c r="H35" s="0" t="s">
        <v>161</v>
      </c>
      <c r="I35" s="1" t="b">
        <f aca="false">TRUE()</f>
        <v>1</v>
      </c>
      <c r="J35" s="1" t="b">
        <f aca="false">TRUE()</f>
        <v>1</v>
      </c>
    </row>
    <row r="36" customFormat="false" ht="15" hidden="false" customHeight="false" outlineLevel="0" collapsed="false">
      <c r="A36" s="0" t="s">
        <v>162</v>
      </c>
      <c r="B36" s="0" t="s">
        <v>163</v>
      </c>
      <c r="C36" s="0" t="s">
        <v>164</v>
      </c>
      <c r="D36" s="0" t="s">
        <v>15</v>
      </c>
      <c r="E36" s="0" t="s">
        <v>41</v>
      </c>
      <c r="F36" s="0" t="s">
        <v>41</v>
      </c>
      <c r="G36" s="0" t="s">
        <v>22</v>
      </c>
      <c r="H36" s="0" t="s">
        <v>165</v>
      </c>
      <c r="I36" s="1" t="b">
        <f aca="false">TRUE()</f>
        <v>1</v>
      </c>
      <c r="J36" s="1" t="b">
        <f aca="false">TRUE()</f>
        <v>1</v>
      </c>
    </row>
    <row r="37" customFormat="false" ht="15" hidden="false" customHeight="false" outlineLevel="0" collapsed="false">
      <c r="A37" s="0" t="s">
        <v>166</v>
      </c>
      <c r="B37" s="0" t="s">
        <v>167</v>
      </c>
      <c r="C37" s="0" t="s">
        <v>168</v>
      </c>
      <c r="D37" s="0" t="s">
        <v>15</v>
      </c>
      <c r="E37" s="0" t="s">
        <v>17</v>
      </c>
      <c r="F37" s="0" t="s">
        <v>17</v>
      </c>
      <c r="G37" s="0" t="s">
        <v>32</v>
      </c>
      <c r="H37" s="0" t="s">
        <v>169</v>
      </c>
      <c r="I37" s="1" t="b">
        <f aca="false">TRUE()</f>
        <v>1</v>
      </c>
      <c r="J37" s="1" t="b">
        <f aca="false">TRUE()</f>
        <v>1</v>
      </c>
    </row>
    <row r="38" customFormat="false" ht="15" hidden="false" customHeight="false" outlineLevel="0" collapsed="false">
      <c r="A38" s="0" t="s">
        <v>170</v>
      </c>
      <c r="B38" s="0" t="s">
        <v>171</v>
      </c>
      <c r="C38" s="0" t="s">
        <v>172</v>
      </c>
      <c r="D38" s="0" t="s">
        <v>15</v>
      </c>
      <c r="E38" s="0" t="s">
        <v>46</v>
      </c>
      <c r="F38" s="0" t="s">
        <v>46</v>
      </c>
      <c r="G38" s="0" t="s">
        <v>41</v>
      </c>
      <c r="H38" s="0" t="s">
        <v>173</v>
      </c>
      <c r="I38" s="1" t="b">
        <f aca="false">TRUE()</f>
        <v>1</v>
      </c>
      <c r="J38" s="1" t="b">
        <f aca="false">TRUE()</f>
        <v>1</v>
      </c>
    </row>
    <row r="39" customFormat="false" ht="15" hidden="false" customHeight="false" outlineLevel="0" collapsed="false">
      <c r="A39" s="0" t="s">
        <v>174</v>
      </c>
      <c r="B39" s="0" t="s">
        <v>175</v>
      </c>
      <c r="C39" s="0" t="s">
        <v>176</v>
      </c>
      <c r="D39" s="0" t="s">
        <v>15</v>
      </c>
      <c r="E39" s="0" t="s">
        <v>16</v>
      </c>
      <c r="F39" s="0" t="s">
        <v>16</v>
      </c>
      <c r="G39" s="0" t="s">
        <v>64</v>
      </c>
      <c r="H39" s="0" t="s">
        <v>177</v>
      </c>
      <c r="I39" s="1" t="b">
        <f aca="false">TRUE()</f>
        <v>1</v>
      </c>
      <c r="J39" s="1" t="b">
        <f aca="false">TRUE()</f>
        <v>1</v>
      </c>
    </row>
    <row r="40" customFormat="false" ht="15" hidden="false" customHeight="false" outlineLevel="0" collapsed="false">
      <c r="A40" s="0" t="s">
        <v>178</v>
      </c>
      <c r="B40" s="0" t="s">
        <v>179</v>
      </c>
      <c r="C40" s="0" t="s">
        <v>180</v>
      </c>
      <c r="D40" s="0" t="s">
        <v>15</v>
      </c>
      <c r="E40" s="0" t="s">
        <v>46</v>
      </c>
      <c r="F40" s="0" t="s">
        <v>46</v>
      </c>
      <c r="G40" s="0" t="s">
        <v>16</v>
      </c>
      <c r="H40" s="0" t="s">
        <v>181</v>
      </c>
      <c r="I40" s="1" t="b">
        <f aca="false">TRUE()</f>
        <v>1</v>
      </c>
      <c r="J40" s="1" t="b">
        <f aca="false">TRUE()</f>
        <v>1</v>
      </c>
    </row>
    <row r="41" customFormat="false" ht="15" hidden="false" customHeight="false" outlineLevel="0" collapsed="false">
      <c r="A41" s="0" t="s">
        <v>182</v>
      </c>
      <c r="B41" s="0" t="s">
        <v>183</v>
      </c>
      <c r="C41" s="0" t="s">
        <v>184</v>
      </c>
      <c r="D41" s="0" t="s">
        <v>15</v>
      </c>
      <c r="E41" s="0" t="s">
        <v>32</v>
      </c>
      <c r="F41" s="0" t="s">
        <v>32</v>
      </c>
      <c r="G41" s="0" t="s">
        <v>16</v>
      </c>
      <c r="H41" s="0" t="s">
        <v>185</v>
      </c>
      <c r="I41" s="1" t="b">
        <f aca="false">TRUE()</f>
        <v>1</v>
      </c>
      <c r="J41" s="1" t="b">
        <f aca="false">TRUE()</f>
        <v>1</v>
      </c>
    </row>
    <row r="42" customFormat="false" ht="15" hidden="false" customHeight="false" outlineLevel="0" collapsed="false">
      <c r="A42" s="0" t="s">
        <v>186</v>
      </c>
      <c r="B42" s="0" t="s">
        <v>187</v>
      </c>
      <c r="C42" s="0" t="s">
        <v>188</v>
      </c>
      <c r="D42" s="0" t="s">
        <v>15</v>
      </c>
      <c r="E42" s="0" t="s">
        <v>22</v>
      </c>
      <c r="F42" s="0" t="s">
        <v>41</v>
      </c>
      <c r="G42" s="0" t="s">
        <v>22</v>
      </c>
      <c r="H42" s="0" t="s">
        <v>189</v>
      </c>
      <c r="I42" s="4" t="b">
        <f aca="false">FALSE()</f>
        <v>0</v>
      </c>
      <c r="J42" s="1" t="b">
        <f aca="false">TRUE()</f>
        <v>1</v>
      </c>
      <c r="L42" s="0" t="s">
        <v>41</v>
      </c>
      <c r="M42" s="0" t="s">
        <v>190</v>
      </c>
    </row>
    <row r="43" customFormat="false" ht="15" hidden="false" customHeight="false" outlineLevel="0" collapsed="false">
      <c r="A43" s="0" t="s">
        <v>191</v>
      </c>
      <c r="B43" s="0" t="s">
        <v>192</v>
      </c>
      <c r="C43" s="0" t="s">
        <v>193</v>
      </c>
      <c r="D43" s="0" t="s">
        <v>15</v>
      </c>
      <c r="E43" s="0" t="s">
        <v>41</v>
      </c>
      <c r="F43" s="0" t="s">
        <v>16</v>
      </c>
      <c r="G43" s="0" t="s">
        <v>41</v>
      </c>
      <c r="H43" s="0" t="s">
        <v>194</v>
      </c>
      <c r="I43" s="2" t="b">
        <f aca="false">FALSE()</f>
        <v>0</v>
      </c>
      <c r="J43" s="1" t="b">
        <f aca="false">TRUE()</f>
        <v>1</v>
      </c>
      <c r="M43" s="0" t="s">
        <v>195</v>
      </c>
    </row>
    <row r="44" customFormat="false" ht="15" hidden="false" customHeight="false" outlineLevel="0" collapsed="false">
      <c r="A44" s="0" t="s">
        <v>196</v>
      </c>
      <c r="B44" s="0" t="s">
        <v>197</v>
      </c>
      <c r="C44" s="0" t="s">
        <v>198</v>
      </c>
      <c r="D44" s="0" t="s">
        <v>15</v>
      </c>
      <c r="E44" s="0" t="s">
        <v>32</v>
      </c>
      <c r="F44" s="0" t="s">
        <v>32</v>
      </c>
      <c r="G44" s="0" t="s">
        <v>41</v>
      </c>
      <c r="H44" s="0" t="s">
        <v>199</v>
      </c>
      <c r="I44" s="1" t="b">
        <f aca="false">TRUE()</f>
        <v>1</v>
      </c>
      <c r="J44" s="1" t="b">
        <f aca="false">TRUE()</f>
        <v>1</v>
      </c>
    </row>
    <row r="45" customFormat="false" ht="15" hidden="false" customHeight="false" outlineLevel="0" collapsed="false">
      <c r="A45" s="0" t="s">
        <v>200</v>
      </c>
      <c r="B45" s="0" t="s">
        <v>201</v>
      </c>
      <c r="C45" s="0" t="s">
        <v>202</v>
      </c>
      <c r="D45" s="0" t="s">
        <v>15</v>
      </c>
      <c r="E45" s="0" t="s">
        <v>46</v>
      </c>
      <c r="F45" s="0" t="s">
        <v>46</v>
      </c>
      <c r="G45" s="0" t="s">
        <v>32</v>
      </c>
      <c r="H45" s="0" t="s">
        <v>203</v>
      </c>
      <c r="I45" s="1" t="b">
        <f aca="false">TRUE()</f>
        <v>1</v>
      </c>
      <c r="J45" s="1" t="b">
        <f aca="false">TRUE()</f>
        <v>1</v>
      </c>
    </row>
    <row r="46" customFormat="false" ht="15" hidden="false" customHeight="false" outlineLevel="0" collapsed="false">
      <c r="A46" s="0" t="s">
        <v>204</v>
      </c>
      <c r="B46" s="0" t="s">
        <v>205</v>
      </c>
      <c r="C46" s="0" t="s">
        <v>206</v>
      </c>
      <c r="D46" s="0" t="s">
        <v>15</v>
      </c>
      <c r="E46" s="0" t="s">
        <v>64</v>
      </c>
      <c r="F46" s="0" t="s">
        <v>64</v>
      </c>
      <c r="G46" s="0" t="s">
        <v>32</v>
      </c>
      <c r="H46" s="0" t="s">
        <v>207</v>
      </c>
      <c r="I46" s="1" t="b">
        <f aca="false">TRUE()</f>
        <v>1</v>
      </c>
      <c r="J46" s="1" t="b">
        <f aca="false">TRUE()</f>
        <v>1</v>
      </c>
    </row>
    <row r="47" customFormat="false" ht="15" hidden="false" customHeight="false" outlineLevel="0" collapsed="false">
      <c r="A47" s="0" t="s">
        <v>208</v>
      </c>
      <c r="B47" s="0" t="s">
        <v>209</v>
      </c>
      <c r="C47" s="0" t="s">
        <v>210</v>
      </c>
      <c r="D47" s="0" t="s">
        <v>15</v>
      </c>
      <c r="E47" s="0" t="s">
        <v>41</v>
      </c>
      <c r="F47" s="0" t="s">
        <v>41</v>
      </c>
      <c r="G47" s="0" t="s">
        <v>22</v>
      </c>
      <c r="H47" s="0" t="s">
        <v>211</v>
      </c>
      <c r="I47" s="1" t="b">
        <f aca="false">TRUE()</f>
        <v>1</v>
      </c>
      <c r="J47" s="1" t="b">
        <f aca="false">TRUE()</f>
        <v>1</v>
      </c>
    </row>
    <row r="48" customFormat="false" ht="15" hidden="false" customHeight="false" outlineLevel="0" collapsed="false">
      <c r="A48" s="0" t="s">
        <v>212</v>
      </c>
      <c r="B48" s="0" t="s">
        <v>213</v>
      </c>
      <c r="C48" s="0" t="s">
        <v>214</v>
      </c>
      <c r="D48" s="0" t="s">
        <v>15</v>
      </c>
      <c r="E48" s="0" t="s">
        <v>16</v>
      </c>
      <c r="F48" s="0" t="s">
        <v>16</v>
      </c>
      <c r="G48" s="0" t="s">
        <v>32</v>
      </c>
      <c r="H48" s="0" t="s">
        <v>215</v>
      </c>
      <c r="I48" s="1" t="b">
        <f aca="false">TRUE()</f>
        <v>1</v>
      </c>
      <c r="J48" s="1" t="b">
        <f aca="false">TRUE()</f>
        <v>1</v>
      </c>
    </row>
    <row r="49" customFormat="false" ht="15" hidden="false" customHeight="false" outlineLevel="0" collapsed="false">
      <c r="A49" s="0" t="s">
        <v>216</v>
      </c>
      <c r="B49" s="0" t="s">
        <v>217</v>
      </c>
      <c r="C49" s="0" t="s">
        <v>218</v>
      </c>
      <c r="D49" s="0" t="s">
        <v>15</v>
      </c>
      <c r="E49" s="0" t="s">
        <v>16</v>
      </c>
      <c r="F49" s="0" t="s">
        <v>16</v>
      </c>
      <c r="G49" s="0" t="s">
        <v>17</v>
      </c>
      <c r="H49" s="0" t="s">
        <v>219</v>
      </c>
      <c r="I49" s="1" t="b">
        <f aca="false">TRUE()</f>
        <v>1</v>
      </c>
      <c r="J49" s="1" t="b">
        <f aca="false">TRUE()</f>
        <v>1</v>
      </c>
    </row>
    <row r="50" customFormat="false" ht="15" hidden="false" customHeight="false" outlineLevel="0" collapsed="false">
      <c r="A50" s="0" t="s">
        <v>220</v>
      </c>
      <c r="B50" s="0" t="s">
        <v>221</v>
      </c>
      <c r="C50" s="0" t="s">
        <v>222</v>
      </c>
      <c r="D50" s="0" t="s">
        <v>15</v>
      </c>
      <c r="E50" s="0" t="s">
        <v>41</v>
      </c>
      <c r="F50" s="0" t="s">
        <v>16</v>
      </c>
      <c r="G50" s="0" t="s">
        <v>41</v>
      </c>
      <c r="H50" s="0" t="s">
        <v>223</v>
      </c>
      <c r="I50" s="2" t="b">
        <f aca="false">FALSE()</f>
        <v>0</v>
      </c>
      <c r="J50" s="1" t="b">
        <f aca="false">TRUE()</f>
        <v>1</v>
      </c>
      <c r="M50" s="0" t="s">
        <v>224</v>
      </c>
    </row>
    <row r="51" customFormat="false" ht="15" hidden="false" customHeight="false" outlineLevel="0" collapsed="false">
      <c r="A51" s="0" t="s">
        <v>225</v>
      </c>
      <c r="B51" s="0" t="s">
        <v>226</v>
      </c>
      <c r="C51" s="0" t="s">
        <v>227</v>
      </c>
      <c r="D51" s="0" t="s">
        <v>15</v>
      </c>
      <c r="E51" s="0" t="s">
        <v>41</v>
      </c>
      <c r="F51" s="0" t="s">
        <v>16</v>
      </c>
      <c r="G51" s="0" t="s">
        <v>32</v>
      </c>
      <c r="H51" s="0" t="s">
        <v>228</v>
      </c>
      <c r="I51" s="2" t="b">
        <f aca="false">FALSE()</f>
        <v>0</v>
      </c>
      <c r="J51" s="1" t="b">
        <f aca="false">FALSE()</f>
        <v>0</v>
      </c>
      <c r="M51" s="0" t="s">
        <v>229</v>
      </c>
    </row>
    <row r="52" customFormat="false" ht="45.1" hidden="false" customHeight="false" outlineLevel="0" collapsed="false">
      <c r="A52" s="0" t="s">
        <v>230</v>
      </c>
      <c r="B52" s="0" t="s">
        <v>231</v>
      </c>
      <c r="C52" s="3" t="s">
        <v>232</v>
      </c>
      <c r="D52" s="0" t="s">
        <v>15</v>
      </c>
      <c r="E52" s="0" t="s">
        <v>17</v>
      </c>
      <c r="F52" s="0" t="s">
        <v>17</v>
      </c>
      <c r="G52" s="0" t="s">
        <v>32</v>
      </c>
      <c r="H52" s="0" t="s">
        <v>233</v>
      </c>
      <c r="I52" s="1" t="b">
        <f aca="false">TRUE()</f>
        <v>1</v>
      </c>
      <c r="J52" s="1" t="b">
        <f aca="false">TRUE()</f>
        <v>1</v>
      </c>
    </row>
    <row r="53" customFormat="false" ht="15" hidden="false" customHeight="false" outlineLevel="0" collapsed="false">
      <c r="A53" s="0" t="s">
        <v>234</v>
      </c>
      <c r="B53" s="0" t="s">
        <v>235</v>
      </c>
      <c r="C53" s="0" t="s">
        <v>236</v>
      </c>
      <c r="D53" s="0" t="s">
        <v>15</v>
      </c>
      <c r="E53" s="0" t="s">
        <v>46</v>
      </c>
      <c r="F53" s="0" t="s">
        <v>46</v>
      </c>
      <c r="G53" s="0" t="s">
        <v>16</v>
      </c>
      <c r="H53" s="0" t="s">
        <v>237</v>
      </c>
      <c r="I53" s="1" t="b">
        <f aca="false">TRUE()</f>
        <v>1</v>
      </c>
      <c r="J53" s="1" t="b">
        <f aca="false">TRUE()</f>
        <v>1</v>
      </c>
    </row>
    <row r="54" customFormat="false" ht="15" hidden="false" customHeight="false" outlineLevel="0" collapsed="false">
      <c r="A54" s="0" t="s">
        <v>238</v>
      </c>
      <c r="B54" s="0" t="s">
        <v>239</v>
      </c>
      <c r="C54" s="0" t="s">
        <v>240</v>
      </c>
      <c r="D54" s="0" t="s">
        <v>15</v>
      </c>
      <c r="E54" s="0" t="s">
        <v>46</v>
      </c>
      <c r="F54" s="0" t="s">
        <v>64</v>
      </c>
      <c r="G54" s="0" t="s">
        <v>46</v>
      </c>
      <c r="H54" s="0" t="s">
        <v>241</v>
      </c>
      <c r="I54" s="2" t="b">
        <f aca="false">FALSE()</f>
        <v>0</v>
      </c>
      <c r="J54" s="1" t="b">
        <f aca="false">TRUE()</f>
        <v>1</v>
      </c>
      <c r="M54" s="0" t="s">
        <v>107</v>
      </c>
    </row>
    <row r="55" customFormat="false" ht="15" hidden="false" customHeight="false" outlineLevel="0" collapsed="false">
      <c r="A55" s="0" t="s">
        <v>242</v>
      </c>
      <c r="B55" s="0" t="s">
        <v>243</v>
      </c>
      <c r="C55" s="0" t="s">
        <v>244</v>
      </c>
      <c r="D55" s="0" t="s">
        <v>15</v>
      </c>
      <c r="E55" s="0" t="s">
        <v>245</v>
      </c>
      <c r="F55" s="0" t="s">
        <v>245</v>
      </c>
      <c r="G55" s="0" t="s">
        <v>41</v>
      </c>
      <c r="H55" s="0" t="s">
        <v>246</v>
      </c>
      <c r="I55" s="1" t="b">
        <f aca="false">TRUE()</f>
        <v>1</v>
      </c>
      <c r="J55" s="1" t="b">
        <f aca="false">TRUE()</f>
        <v>1</v>
      </c>
    </row>
    <row r="56" customFormat="false" ht="15" hidden="false" customHeight="false" outlineLevel="0" collapsed="false">
      <c r="A56" s="0" t="s">
        <v>247</v>
      </c>
      <c r="B56" s="0" t="s">
        <v>248</v>
      </c>
      <c r="C56" s="0" t="s">
        <v>249</v>
      </c>
      <c r="D56" s="0" t="s">
        <v>15</v>
      </c>
      <c r="E56" s="0" t="s">
        <v>17</v>
      </c>
      <c r="F56" s="0" t="s">
        <v>17</v>
      </c>
      <c r="G56" s="0" t="s">
        <v>16</v>
      </c>
      <c r="H56" s="0" t="s">
        <v>250</v>
      </c>
      <c r="I56" s="1" t="b">
        <f aca="false">TRUE()</f>
        <v>1</v>
      </c>
      <c r="J56" s="1" t="b">
        <f aca="false">TRUE()</f>
        <v>1</v>
      </c>
    </row>
    <row r="57" customFormat="false" ht="15" hidden="false" customHeight="false" outlineLevel="0" collapsed="false">
      <c r="A57" s="0" t="s">
        <v>251</v>
      </c>
      <c r="B57" s="0" t="s">
        <v>252</v>
      </c>
      <c r="C57" s="0" t="s">
        <v>253</v>
      </c>
      <c r="D57" s="0" t="s">
        <v>15</v>
      </c>
      <c r="E57" s="0" t="s">
        <v>17</v>
      </c>
      <c r="F57" s="0" t="s">
        <v>17</v>
      </c>
      <c r="G57" s="0" t="s">
        <v>16</v>
      </c>
      <c r="H57" s="0" t="s">
        <v>254</v>
      </c>
      <c r="I57" s="1" t="b">
        <f aca="false">TRUE()</f>
        <v>1</v>
      </c>
      <c r="J57" s="1" t="b">
        <f aca="false">TRUE()</f>
        <v>1</v>
      </c>
    </row>
    <row r="58" customFormat="false" ht="15" hidden="false" customHeight="false" outlineLevel="0" collapsed="false">
      <c r="A58" s="0" t="s">
        <v>255</v>
      </c>
      <c r="B58" s="0" t="s">
        <v>256</v>
      </c>
      <c r="C58" s="0" t="s">
        <v>257</v>
      </c>
      <c r="D58" s="0" t="s">
        <v>15</v>
      </c>
      <c r="E58" s="0" t="s">
        <v>32</v>
      </c>
      <c r="F58" s="0" t="s">
        <v>32</v>
      </c>
      <c r="G58" s="0" t="s">
        <v>16</v>
      </c>
      <c r="H58" s="0" t="s">
        <v>258</v>
      </c>
      <c r="I58" s="1" t="b">
        <f aca="false">TRUE()</f>
        <v>1</v>
      </c>
      <c r="J58" s="1" t="b">
        <f aca="false">TRUE()</f>
        <v>1</v>
      </c>
    </row>
    <row r="59" customFormat="false" ht="15" hidden="false" customHeight="false" outlineLevel="0" collapsed="false">
      <c r="A59" s="0" t="s">
        <v>259</v>
      </c>
      <c r="B59" s="0" t="s">
        <v>260</v>
      </c>
      <c r="C59" s="0" t="s">
        <v>261</v>
      </c>
      <c r="D59" s="0" t="s">
        <v>15</v>
      </c>
      <c r="E59" s="0" t="s">
        <v>41</v>
      </c>
      <c r="F59" s="0" t="s">
        <v>16</v>
      </c>
      <c r="G59" s="0" t="s">
        <v>41</v>
      </c>
      <c r="H59" s="0" t="s">
        <v>262</v>
      </c>
      <c r="I59" s="2" t="b">
        <f aca="false">FALSE()</f>
        <v>0</v>
      </c>
      <c r="J59" s="1" t="b">
        <f aca="false">TRUE()</f>
        <v>1</v>
      </c>
      <c r="M59" s="0" t="s">
        <v>263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2" sqref="L31 L42 A1"/>
    </sheetView>
  </sheetViews>
  <sheetFormatPr defaultColWidth="8.34375" defaultRowHeight="15" customHeight="false" zeroHeight="false" outlineLevelRow="0" outlineLevelCol="0"/>
  <sheetData>
    <row r="1" customFormat="false" ht="15" hidden="false" customHeight="false" outlineLevel="0" collapsed="false">
      <c r="A1" s="0" t="s">
        <v>4</v>
      </c>
      <c r="B1" s="0" t="s">
        <v>264</v>
      </c>
      <c r="C1" s="0" t="s">
        <v>8</v>
      </c>
      <c r="D1" s="0" t="s">
        <v>265</v>
      </c>
      <c r="E1" s="0" t="s">
        <v>266</v>
      </c>
      <c r="F1" s="0" t="s">
        <v>267</v>
      </c>
    </row>
    <row r="2" customFormat="false" ht="15" hidden="false" customHeight="false" outlineLevel="0" collapsed="false">
      <c r="A2" s="0" t="s">
        <v>245</v>
      </c>
      <c r="B2" s="0" t="n">
        <v>1</v>
      </c>
      <c r="C2" s="0" t="n">
        <v>1</v>
      </c>
      <c r="D2" s="0" t="n">
        <v>1</v>
      </c>
      <c r="E2" s="0" t="s">
        <v>268</v>
      </c>
      <c r="F2" s="0" t="s">
        <v>268</v>
      </c>
    </row>
    <row r="3" customFormat="false" ht="15" hidden="false" customHeight="false" outlineLevel="0" collapsed="false">
      <c r="A3" s="0" t="s">
        <v>17</v>
      </c>
      <c r="B3" s="0" t="n">
        <v>10</v>
      </c>
      <c r="C3" s="0" t="n">
        <v>10</v>
      </c>
      <c r="D3" s="0" t="n">
        <v>10</v>
      </c>
      <c r="E3" s="0" t="s">
        <v>268</v>
      </c>
      <c r="F3" s="0" t="s">
        <v>268</v>
      </c>
    </row>
    <row r="4" customFormat="false" ht="15" hidden="false" customHeight="false" outlineLevel="0" collapsed="false">
      <c r="A4" s="0" t="s">
        <v>22</v>
      </c>
      <c r="B4" s="0" t="n">
        <v>5</v>
      </c>
      <c r="C4" s="0" t="n">
        <v>3</v>
      </c>
      <c r="D4" s="0" t="n">
        <v>5</v>
      </c>
      <c r="E4" s="0" t="s">
        <v>269</v>
      </c>
      <c r="F4" s="0" t="s">
        <v>268</v>
      </c>
    </row>
    <row r="5" customFormat="false" ht="15" hidden="false" customHeight="false" outlineLevel="0" collapsed="false">
      <c r="A5" s="0" t="s">
        <v>46</v>
      </c>
      <c r="B5" s="0" t="n">
        <v>7</v>
      </c>
      <c r="C5" s="0" t="n">
        <v>5</v>
      </c>
      <c r="D5" s="0" t="n">
        <v>7</v>
      </c>
      <c r="E5" s="0" t="s">
        <v>270</v>
      </c>
      <c r="F5" s="0" t="s">
        <v>268</v>
      </c>
    </row>
    <row r="6" customFormat="false" ht="15" hidden="false" customHeight="false" outlineLevel="0" collapsed="false">
      <c r="A6" s="0" t="s">
        <v>32</v>
      </c>
      <c r="B6" s="0" t="n">
        <v>7</v>
      </c>
      <c r="C6" s="0" t="n">
        <v>6</v>
      </c>
      <c r="D6" s="0" t="n">
        <v>7</v>
      </c>
      <c r="E6" s="0" t="s">
        <v>271</v>
      </c>
      <c r="F6" s="0" t="s">
        <v>268</v>
      </c>
    </row>
    <row r="7" customFormat="false" ht="15" hidden="false" customHeight="false" outlineLevel="0" collapsed="false">
      <c r="A7" s="0" t="s">
        <v>64</v>
      </c>
      <c r="B7" s="0" t="n">
        <v>5</v>
      </c>
      <c r="C7" s="0" t="n">
        <v>5</v>
      </c>
      <c r="D7" s="0" t="n">
        <v>5</v>
      </c>
      <c r="E7" s="0" t="s">
        <v>268</v>
      </c>
      <c r="F7" s="0" t="s">
        <v>268</v>
      </c>
    </row>
    <row r="8" customFormat="false" ht="15" hidden="false" customHeight="false" outlineLevel="0" collapsed="false">
      <c r="A8" s="0" t="s">
        <v>41</v>
      </c>
      <c r="B8" s="0" t="n">
        <v>10</v>
      </c>
      <c r="C8" s="0" t="n">
        <v>5</v>
      </c>
      <c r="D8" s="0" t="n">
        <v>8</v>
      </c>
      <c r="E8" s="0" t="s">
        <v>272</v>
      </c>
      <c r="F8" s="0" t="s">
        <v>273</v>
      </c>
    </row>
    <row r="9" customFormat="false" ht="15" hidden="false" customHeight="false" outlineLevel="0" collapsed="false">
      <c r="A9" s="0" t="s">
        <v>16</v>
      </c>
      <c r="B9" s="0" t="n">
        <v>10</v>
      </c>
      <c r="C9" s="0" t="n">
        <v>10</v>
      </c>
      <c r="D9" s="0" t="n">
        <v>10</v>
      </c>
      <c r="E9" s="0" t="s">
        <v>268</v>
      </c>
      <c r="F9" s="0" t="s">
        <v>268</v>
      </c>
    </row>
    <row r="10" customFormat="false" ht="15" hidden="false" customHeight="false" outlineLevel="0" collapsed="false">
      <c r="A10" s="0" t="s">
        <v>23</v>
      </c>
      <c r="B10" s="0" t="n">
        <v>3</v>
      </c>
      <c r="C10" s="0" t="n">
        <v>2</v>
      </c>
      <c r="D10" s="0" t="n">
        <v>3</v>
      </c>
      <c r="E10" s="0" t="s">
        <v>274</v>
      </c>
      <c r="F10" s="0" t="s">
        <v>268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2" sqref="L31 L42 A1"/>
    </sheetView>
  </sheetViews>
  <sheetFormatPr defaultColWidth="8.34375" defaultRowHeight="15" customHeight="false" zeroHeight="false" outlineLevelRow="0" outlineLevelCol="0"/>
  <sheetData>
    <row r="1" customFormat="false" ht="15" hidden="false" customHeight="false" outlineLevel="0" collapsed="false">
      <c r="A1" s="0" t="s">
        <v>275</v>
      </c>
      <c r="B1" s="0" t="s">
        <v>276</v>
      </c>
      <c r="C1" s="0" t="s">
        <v>264</v>
      </c>
    </row>
    <row r="2" customFormat="false" ht="15" hidden="false" customHeight="false" outlineLevel="0" collapsed="false">
      <c r="A2" s="0" t="s">
        <v>277</v>
      </c>
      <c r="B2" s="0" t="s">
        <v>278</v>
      </c>
      <c r="C2" s="0" t="n">
        <v>58</v>
      </c>
    </row>
    <row r="3" customFormat="false" ht="15" hidden="false" customHeight="false" outlineLevel="0" collapsed="false">
      <c r="A3" s="0" t="s">
        <v>279</v>
      </c>
      <c r="B3" s="0" t="s">
        <v>280</v>
      </c>
      <c r="C3" s="0" t="n">
        <v>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31</TotalTime>
  <Application>LibreOffice/26.2.4.2$Windows_X86_64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2026-06-26T10:46:24Z</dcterms:created>
  <dc:creator>openpyxl</dc:creator>
  <dc:description/>
  <dc:language>en-GB</dc:language>
  <cp:lastModifiedBy/>
  <dcterms:modified xsi:type="dcterms:W3CDTF">2026-06-26T14:56:56Z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