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lts" sheetId="1" state="visible" r:id="rId3"/>
    <sheet name="by_category" sheetId="2" state="visible" r:id="rId4"/>
    <sheet name="summar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<sst xmlns="http://schemas.openxmlformats.org/spreadsheetml/2006/main" count="58" uniqueCount="44">
  <si>
    <t xml:space="preserve">id</t>
  </si>
  <si>
    <t xml:space="preserve">title</t>
  </si>
  <si>
    <t xml:space="preserve">abstract</t>
  </si>
  <si>
    <t xml:space="preserve">pillar</t>
  </si>
  <si>
    <t xml:space="preserve">research_category</t>
  </si>
  <si>
    <t xml:space="preserve">primary_LLM</t>
  </si>
  <si>
    <t xml:space="preserve">secondary_LLM</t>
  </si>
  <si>
    <t xml:space="preserve">reasoning_LLM</t>
  </si>
  <si>
    <t xml:space="preserve">primary_correct</t>
  </si>
  <si>
    <t xml:space="preserve">either_correct</t>
  </si>
  <si>
    <t xml:space="preserve">pub.1188291190</t>
  </si>
  <si>
    <t xml:space="preserve">The Role of Plant-Based Beverages in Nutrition: An Expert Opinion</t>
  </si>
  <si>
    <t xml:space="preserve">The market of plant-based food, including plant-based beverages, is one of the fastest-growing food sectors within the food industry and a subject of major research in the area of new product development. Plant-based beverages are a diverse group of non-dairy beverages with varying nutritional value, depending on the raw material sources and additional substances used in their production. A wide range of plant beverages makes it possible to choose products tailored to individual consumer preferences and needs as a part of sustainable dietary patterns. Increased consumer awareness of the environmental and health implications of proper nutrition, interest in plant-based diets, climate, and natural resource protection, as well as ethical concerns about animal welfare and the negative environmental impact of animal production, have led some consumers to seek a more balanced diet based on varied plant-based products, including beverages. Considering the highly diversified nutritional value of plant-based beverages, their availability, convenience, accessibility to consumers, ethical and environmental concerns, increasing health concerns as well as growing popularity of plant-based beverages as potential cow-milk alternatives, the Group of Experts in medicine and nutritional sciences presents the opinion on the nutritional value, health benefits and concerns of the available plant-based beverages. The opinion was based on a critical review of the current scientific literature, as well as on the experts' experience. This knowledge can be used to make the right choices to improve the nutritional status and health of the consumers from different groups. Since the nutritional profiles of plant-based beverages vary across different plant-based drink varieties and they do not have standards of identity, in our opinion, there is a need for action to standardize nutrient fortification regarding the type and amount of added ingredients to ensure the safety of consumers and avoid potential over- or under-fortification of plant-based beverages.</t>
  </si>
  <si>
    <t xml:space="preserve">PB</t>
  </si>
  <si>
    <t xml:space="preserve">Health &amp; nutrition</t>
  </si>
  <si>
    <t xml:space="preserve">Other</t>
  </si>
  <si>
    <t xml:space="preserve">This expert opinion paper primarily reviews the nutritional value and health benefits/concerns of plant-based beverages across population groups, with secondary focus being a broad cross-cutting review covering consumer, environmental, and regulatory considerations that spans multiple categories without a single dominant experimental focus.</t>
  </si>
  <si>
    <t xml:space="preserve">pub.1187441388</t>
  </si>
  <si>
    <t xml:space="preserve">Exploring the Nutritional Profile and Cost of Plant-Based Milk Alternatives Compared with Dairy Milk in the UK with Consideration of Environmental Impact Data</t>
  </si>
  <si>
    <t xml:space="preserve">Background: Plant-based milk alternatives (PBMA) are increasingly popular, driven by medical, environmental, or moralistic reasons or perceived health benefit.
Objectives: This study aimed to compare the nutritional profile, cost, and environmental impact of all PBMA and dairy milk (DM) in the United Kingdom.
Methods: Nutritional information, ingredients, and cost of PBMA (n = 191) and DM (n = 195) were systematically collected from the top 10 supermarkets. Published data on the environmental impact of foods were assessed. Milk was classified per 100 mL by energy (kcal), macronutrients (g), and micronutrients (mg, μg) and mean/median were compared between PBMA and DM. Further analysis stratified milks by DM fat profile. PBMA were categorized according to NOVA criteria. Cost per 1 L and environmental impact were compared for PBMA and DM.
Results: PBMA with a similar fat profile to "semi-skimmed" milk had a significantly lower energy content (P &lt; 0.001) and most (except coconut) had a significantly lower saturated fat content than DM. DM provided more protein, carbohydrate, total sugar, and salt and PBMA provided more fiber and total vitamin D. In total, 92% of nonorganic PBMA were fortified with ≥1 micronutrient; 87% with calcium, 34% iodine, 79% vitamin B12, and 56% vitamin B2. PBMA contained between 2% and 16.5% of the "main ingredient," e.g. "oats." Of nonorganic PBMA, 97% were classified as "ultraprocessed." On mean, PBMA (£1.95/L) cost 64% more than DM (£1.19/L). Environmental analysis was conducted but not considered sufficiently robust to draw meaningful results (Appendix A).
Conclusions: PBMA cannot be recommended as a nutritional replacement for DM, due to varying nutritional profiles. However, some PBMA will be more beneficial than others depending on an individual's health needs. Cow milk is cheaper than PBMA. Further understanding of the potential health impacts of consuming PBMA is warranted. There is a need for robust, primary research on the environmental impacts of foods.</t>
  </si>
  <si>
    <t xml:space="preserve">End product formulation</t>
  </si>
  <si>
    <t xml:space="preserve">Consumer &amp; market research</t>
  </si>
  <si>
    <t xml:space="preserve">The paper systematically characterises the nutritional composition, ingredients, fortification, and cost of commercial plant-based milk alternatives versus dairy milk, making finished product profiling the primary focus, with secondary relevance to consumer and market research through cost comparisons and purchasing context.</t>
  </si>
  <si>
    <t xml:space="preserve">pub.1184116966</t>
  </si>
  <si>
    <t xml:space="preserve">Modeling Vitamin D Fortification Scenarios for the Australian Population</t>
  </si>
  <si>
    <t xml:space="preserve">BACKGROUND: Low vitamin D status (circulating 25-hydroxyvitamin D concentration &lt;50 nmol/L) is prevalent in Australia, and 95% of Australians have been estimated to have low vitamin D intake (mean range 1.8-3.2 μg/d). Increasing the dietary supply of vitamin D could improve vitamin D status across the population.
OBJECTIVES: We modeled 4 vitamin D fortification scenarios to support useful and safe fortification strategies for Australia.
METHODS: We used cross-sectional food consumption data from the 2011-2012 National Nutrition and Physical Activity Survey (n = 12,153 aged 2-85 y) and analytical food composition data. Scenario 1 modeled the systematic addition of the maximum permitted amount of vitamin D to all foods for which vitamin D fortification is mandated (edible oil spreads) or optional (dairy products/plant-based alternatives, formulated beverages, permitted ready-to-eat breakfast cereals). Scenarios 2-4 modeled the addition of vitamin D to edible oil spreads and fluid milk/alternatives at higher concentrations than permitted and the addition of the maximum permitted amount to scenario 2, dairy products/alternatives other than fluid milk, formulated beverages; scenario 3: scenario 2 plus eligible ready-to-eat breakfast cereals; scenario 4: scenario 3 plus bread (not permitted for vitamin D fortification in Australia). We used the National Cancer Institute method to model the usual intake of vitamin D for each scenario by sex and age group. Dietary adequacy and safety were assessed using the North American Estimated Average Requirement (10 μg/d) and the Australian upper level of intake (80 μg/d).
RESULTS: Under scenarios 1-4, respectively, the projected proportion of Australians with vitamin D intake &lt;10 μg/d was 80%, 84%, 73%, and 60%. No participant exceeded the upper level of intake under any scenario.
CONCLUSIONS: A systematic fortification strategy could support a nutritionally meaningful improvement in vitamin D intake across the Australian population. An optimal strategy would require amendments to the Australia New Zealand Food Standards Code.</t>
  </si>
  <si>
    <t xml:space="preserve">Impact assessments</t>
  </si>
  <si>
    <t xml:space="preserve">The paper conducts a structured quantitative modeling assessment of vitamin D fortification scenarios across the Australian population using national dietary survey data, which constitutes a system-level impact assessment of a food policy intervention; health and nutrition outcomes (dietary adequacy) are the measured endpoints.</t>
  </si>
  <si>
    <t xml:space="preserve">LLM switch primary and secondary – it got this right previously.</t>
  </si>
  <si>
    <t xml:space="preserve">Truthfully, it is very borderline:</t>
  </si>
  <si>
    <t xml:space="preserve">Health &amp; Nutrition: population-wide study, dietary adequacy endpoints, physiological outcomes (vitamin D status) </t>
  </si>
  <si>
    <t xml:space="preserve">Impact Assessments: structured quantitative modelling, policy intervention scenarios, regulatory recommendations </t>
  </si>
  <si>
    <t xml:space="preserve">I still personally lean health &amp; nutrition but I think this is so borderline I can’t rely on the LLM to accurately pick between them.</t>
  </si>
  <si>
    <t xml:space="preserve">n</t>
  </si>
  <si>
    <t xml:space="preserve">top2_correct</t>
  </si>
  <si>
    <t xml:space="preserve">primary_acc</t>
  </si>
  <si>
    <t xml:space="preserve">top2_acc</t>
  </si>
  <si>
    <t xml:space="preserve">100%</t>
  </si>
  <si>
    <t xml:space="preserve">50%</t>
  </si>
  <si>
    <t xml:space="preserve">metric</t>
  </si>
  <si>
    <t xml:space="preserve">value</t>
  </si>
  <si>
    <t xml:space="preserve">top1_accuracy</t>
  </si>
  <si>
    <t xml:space="preserve">67%</t>
  </si>
  <si>
    <t xml:space="preserve">top2_accuracy</t>
  </si>
</sst>
</file>

<file path=xl/styles.xml><?xml version="1.0" encoding="utf-8"?>
<styleSheet xmlns="http://schemas.openxmlformats.org/spreadsheetml/2006/main">
  <numFmts count="1">
    <numFmt numFmtId="164" formatCode="General"/>
  </numFmts>
  <fonts count="4">
    <font>
      <sz val="11"/>
      <color theme="1"/>
      <name val="Calibri"/>
      <family val="2"/>
      <charset val="1"/>
    </font>
    <font>
      <sz val="10"/>
      <name val="Arial"/>
      <family val="0"/>
    </font>
    <font>
      <sz val="10"/>
      <name val="Arial"/>
      <family val="0"/>
    </font>
    <font>
      <sz val="10"/>
      <name val="Arial"/>
      <family val="0"/>
    </font>
  </fonts>
  <fills count="4">
    <fill>
      <patternFill patternType="none"/>
    </fill>
    <fill>
      <patternFill patternType="gray125"/>
    </fill>
    <fill>
      <patternFill patternType="solid">
        <fgColor rgb="FF81D41A"/>
        <bgColor rgb="FF969696"/>
      </patternFill>
    </fill>
    <fill>
      <patternFill patternType="solid">
        <fgColor rgb="FFFF0000"/>
        <bgColor rgb="FF99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L9" activeCellId="0" sqref="L9"/>
    </sheetView>
  </sheetViews>
  <sheetFormatPr defaultColWidth="8.34375" defaultRowHeight="15" customHeight="false" zeroHeight="false" outlineLevelRow="0" outlineLevelCol="0"/>
  <sheetData>
    <row r="1" customFormat="false" ht="15" hidden="false" customHeight="false" outlineLevel="0" collapsed="false">
      <c r="A1" s="0" t="s">
        <v>0</v>
      </c>
      <c r="B1" s="0" t="s">
        <v>1</v>
      </c>
      <c r="C1" s="0" t="s">
        <v>2</v>
      </c>
      <c r="D1" s="0" t="s">
        <v>3</v>
      </c>
      <c r="E1" s="0" t="s">
        <v>4</v>
      </c>
      <c r="F1" s="0" t="s">
        <v>5</v>
      </c>
      <c r="G1" s="0" t="s">
        <v>6</v>
      </c>
      <c r="H1" s="0" t="s">
        <v>7</v>
      </c>
      <c r="I1" s="0" t="s">
        <v>8</v>
      </c>
      <c r="J1" s="0" t="s">
        <v>9</v>
      </c>
    </row>
    <row r="2" customFormat="false" ht="15" hidden="false" customHeight="false" outlineLevel="0" collapsed="false">
      <c r="A2" s="0" t="s">
        <v>10</v>
      </c>
      <c r="B2" s="0" t="s">
        <v>11</v>
      </c>
      <c r="C2" s="0" t="s">
        <v>12</v>
      </c>
      <c r="D2" s="0" t="s">
        <v>13</v>
      </c>
      <c r="E2" s="0" t="s">
        <v>14</v>
      </c>
      <c r="F2" s="1" t="s">
        <v>14</v>
      </c>
      <c r="G2" s="0" t="s">
        <v>15</v>
      </c>
      <c r="H2" s="0" t="s">
        <v>16</v>
      </c>
      <c r="I2" s="2" t="b">
        <f aca="false">TRUE()</f>
        <v>1</v>
      </c>
      <c r="J2" s="2" t="b">
        <f aca="false">TRUE()</f>
        <v>1</v>
      </c>
    </row>
    <row r="3" customFormat="false" ht="56" hidden="false" customHeight="false" outlineLevel="0" collapsed="false">
      <c r="A3" s="0" t="s">
        <v>17</v>
      </c>
      <c r="B3" s="0" t="s">
        <v>18</v>
      </c>
      <c r="C3" s="3" t="s">
        <v>19</v>
      </c>
      <c r="D3" s="0" t="s">
        <v>13</v>
      </c>
      <c r="E3" s="0" t="s">
        <v>20</v>
      </c>
      <c r="F3" s="1" t="s">
        <v>20</v>
      </c>
      <c r="G3" s="0" t="s">
        <v>21</v>
      </c>
      <c r="H3" s="0" t="s">
        <v>22</v>
      </c>
      <c r="I3" s="2" t="b">
        <f aca="false">TRUE()</f>
        <v>1</v>
      </c>
      <c r="J3" s="2" t="b">
        <f aca="false">TRUE()</f>
        <v>1</v>
      </c>
    </row>
    <row r="4" customFormat="false" ht="56" hidden="false" customHeight="false" outlineLevel="0" collapsed="false">
      <c r="A4" s="0" t="s">
        <v>23</v>
      </c>
      <c r="B4" s="0" t="s">
        <v>24</v>
      </c>
      <c r="C4" s="3" t="s">
        <v>25</v>
      </c>
      <c r="D4" s="0" t="s">
        <v>13</v>
      </c>
      <c r="E4" s="0" t="s">
        <v>14</v>
      </c>
      <c r="F4" s="4" t="s">
        <v>26</v>
      </c>
      <c r="G4" s="0" t="s">
        <v>14</v>
      </c>
      <c r="H4" s="0" t="s">
        <v>27</v>
      </c>
      <c r="I4" s="2" t="b">
        <f aca="false">FALSE()</f>
        <v>0</v>
      </c>
      <c r="J4" s="2" t="b">
        <f aca="false">TRUE()</f>
        <v>1</v>
      </c>
      <c r="L4" s="0" t="s">
        <v>28</v>
      </c>
    </row>
    <row r="5" customFormat="false" ht="15" hidden="false" customHeight="false" outlineLevel="0" collapsed="false">
      <c r="L5" s="0" t="s">
        <v>29</v>
      </c>
    </row>
    <row r="6" customFormat="false" ht="15" hidden="false" customHeight="false" outlineLevel="0" collapsed="false">
      <c r="L6" s="5" t="s">
        <v>30</v>
      </c>
    </row>
    <row r="7" customFormat="false" ht="15" hidden="false" customHeight="false" outlineLevel="0" collapsed="false">
      <c r="L7" s="5" t="s">
        <v>31</v>
      </c>
    </row>
    <row r="8" customFormat="false" ht="15" hidden="false" customHeight="false" outlineLevel="0" collapsed="false">
      <c r="L8" s="0"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34375" defaultRowHeight="15" customHeight="false" zeroHeight="false" outlineLevelRow="0" outlineLevelCol="0"/>
  <sheetData>
    <row r="1" customFormat="false" ht="15" hidden="false" customHeight="false" outlineLevel="0" collapsed="false">
      <c r="A1" s="0" t="s">
        <v>4</v>
      </c>
      <c r="B1" s="0" t="s">
        <v>33</v>
      </c>
      <c r="C1" s="0" t="s">
        <v>8</v>
      </c>
      <c r="D1" s="0" t="s">
        <v>34</v>
      </c>
      <c r="E1" s="0" t="s">
        <v>35</v>
      </c>
      <c r="F1" s="0" t="s">
        <v>36</v>
      </c>
    </row>
    <row r="2" customFormat="false" ht="15" hidden="false" customHeight="false" outlineLevel="0" collapsed="false">
      <c r="A2" s="0" t="s">
        <v>20</v>
      </c>
      <c r="B2" s="0" t="n">
        <v>1</v>
      </c>
      <c r="C2" s="0" t="n">
        <v>1</v>
      </c>
      <c r="D2" s="0" t="n">
        <v>1</v>
      </c>
      <c r="E2" s="0" t="s">
        <v>37</v>
      </c>
      <c r="F2" s="0" t="s">
        <v>37</v>
      </c>
    </row>
    <row r="3" customFormat="false" ht="15" hidden="false" customHeight="false" outlineLevel="0" collapsed="false">
      <c r="A3" s="0" t="s">
        <v>14</v>
      </c>
      <c r="B3" s="0" t="n">
        <v>2</v>
      </c>
      <c r="C3" s="0" t="n">
        <v>1</v>
      </c>
      <c r="D3" s="0" t="n">
        <v>2</v>
      </c>
      <c r="E3" s="0" t="s">
        <v>38</v>
      </c>
      <c r="F3" s="0"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34375" defaultRowHeight="15" customHeight="false" zeroHeight="false" outlineLevelRow="0" outlineLevelCol="0"/>
  <sheetData>
    <row r="1" customFormat="false" ht="15" hidden="false" customHeight="false" outlineLevel="0" collapsed="false">
      <c r="A1" s="0" t="s">
        <v>39</v>
      </c>
      <c r="B1" s="0" t="s">
        <v>40</v>
      </c>
      <c r="C1" s="0" t="s">
        <v>33</v>
      </c>
    </row>
    <row r="2" customFormat="false" ht="15" hidden="false" customHeight="false" outlineLevel="0" collapsed="false">
      <c r="A2" s="0" t="s">
        <v>41</v>
      </c>
      <c r="B2" s="0" t="s">
        <v>42</v>
      </c>
      <c r="C2" s="0" t="n">
        <v>3</v>
      </c>
    </row>
    <row r="3" customFormat="false" ht="15" hidden="false" customHeight="false" outlineLevel="0" collapsed="false">
      <c r="A3" s="0" t="s">
        <v>43</v>
      </c>
      <c r="B3" s="0" t="s">
        <v>37</v>
      </c>
      <c r="C3" s="0" t="n">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2026-06-23T12:16:51Z</dcterms:created>
  <dc:creator>openpyxl</dc:creator>
  <dc:description/>
  <dc:language>en-GB</dc:language>
  <cp:lastModifiedBy/>
  <dcterms:modified xsi:type="dcterms:W3CDTF">2026-06-23T13:22:09Z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