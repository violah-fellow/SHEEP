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<sst xmlns="http://schemas.openxmlformats.org/spreadsheetml/2006/main" count="613" uniqueCount="306">
  <si>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</si>
  <si>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</si>
  <si>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</si>
  <si>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</si>
  <si>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</si>
  <si>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</si>
  <si>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</si>
  <si>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</si>
  <si>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</si>
  <si>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</si>
  <si>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pub.1190691295</t>
  </si>
  <si>
    <t xml:space="preserve">Radiofrequency and microwave 3D bioprinting of emulsion gel for dysphagia diets</t>
  </si>
  <si>
    <t xml:space="preserve">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</si>
  <si>
    <t xml:space="preserve">CM</t>
  </si>
  <si>
    <t xml:space="preserve">Scaffolding</t>
  </si>
  <si>
    <t xml:space="preserve">End product formulation</t>
  </si>
  <si>
    <t xml:space="preserve">The paper develops a novel 3D bioprinting system using RF/MW heating to create structured emulsion gels with controlled textural properties, directly relevant to scaffold/bioprinting architectures for structured meat products, while also characterising finished product properties (texture, hardness) against dysphagia diet standards.</t>
  </si>
  <si>
    <t xml:space="preserve">pub.1190464463</t>
  </si>
  <si>
    <t xml:space="preserve">High-Throughput Label-Free Continuous Quantification of Muscle Stem Cell Proliferation and Myogenic Differentiation</t>
  </si>
  <si>
    <t xml:space="preserve">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</si>
  <si>
    <t xml:space="preserve">Bioprocess design</t>
  </si>
  <si>
    <t xml:space="preserve">Cell culture media</t>
  </si>
  <si>
    <t xml:space="preserve">The paper's novel contribution is a high-throughput label-free brightfield imaging methodology for continuous, kinetic monitoring of satellite cell proliferation and differentiation — a process monitoring and screening tool that fits bioprocess design — while a key application demonstrated is evaluating serum-free media formulations for bovine and porcine satellite cells, placing cell culture media as the secondary focus.</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</si>
  <si>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</si>
  <si>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</si>
  <si>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</si>
  <si>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Consumer &amp; market research</t>
  </si>
  <si>
    <t xml:space="preserve">Food safety &amp; quality</t>
  </si>
  <si>
    <t xml:space="preserve">The report primarily tracks consumer attitudes, behaviours, and awareness related to food (including novel foods like cultivated meat), with secondary relevance to food safety behaviours and regulatory body (FSA) trust monitoring.</t>
  </si>
  <si>
    <t xml:space="preserve">pub.1190615542</t>
  </si>
  <si>
    <t xml:space="preserve">Towards a cultivated ribeye</t>
  </si>
  <si>
    <t xml:space="preserve">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</si>
  <si>
    <t xml:space="preserve">The commentary focuses on perfusable scaffold design with capillary networks for cultivated meat, placing it primarily in scaffolding, with bioprocess design as secondary due to the discussion of nutrient/oxygen diffusion and mass transfer challenges.</t>
  </si>
  <si>
    <t xml:space="preserve">pub.1186983375</t>
  </si>
  <si>
    <t xml:space="preserve">Cultivating change: persuasive counter-messaging strategies to foster consumer acceptance of cultured meat</t>
  </si>
  <si>
    <t xml:space="preserve">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</si>
  <si>
    <t xml:space="preserve">Other</t>
  </si>
  <si>
    <t xml:space="preserve">The study experimentally tests persuasive counter-messaging strategies on consumer acceptance and purchase intent for cultured meat, which is squarely within consumer behaviour and decision-making research; no other specific technical category applies.</t>
  </si>
  <si>
    <t xml:space="preserve">pub.1193178199</t>
  </si>
  <si>
    <t xml:space="preserve">Hypothetical feed conversion efficiency of cultured meat compared to conventional animal production</t>
  </si>
  <si>
    <t xml:space="preserve">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</si>
  <si>
    <t xml:space="preserve">Impact assessments</t>
  </si>
  <si>
    <t xml:space="preserve">The paper develops a novel quantitative framework (CMCR) to compare feed conversion efficiency between cultured meat and conventional animal production, which is a structured system-level comparative assessment; it also draws on culture media chemical composition as the basis for its theoretical model.</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</si>
  <si>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</si>
  <si>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</si>
  <si>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</si>
  <si>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The paper investigates PEMF stimulation as a physical stimulation method applied to the cell growth environment to improve differentiation, fusion, and mechanical properties of engineered muscle constructs, which falls under bioprocess design; the use of 3D bio-artificial muscle constructs and characterisation of their structural and tensile properties also touches on scaffolding/tissue engineering.</t>
  </si>
  <si>
    <t xml:space="preserve">pub.1190538654</t>
  </si>
  <si>
    <t xml:space="preserve">LusoBioMaker: A low-cost 3D bioprinter with multi-extrusion and contour printing capabilities for thermo- and photocurable hydrogels towards complex tissue fabrication</t>
  </si>
  <si>
    <t xml:space="preserve">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</si>
  <si>
    <t xml:space="preserve">The paper's novel contribution is the development of a low-cost 3D bioprinter (LusoBioMaker) with multi-extrusion and photocuring capabilities for fabricating complex tissue structures using hydrogel bioinks, which falls squarely within scaffolding/bioprinting; the bioprinter hardware design and engineering innovations also constitute a bioprocess design contribution.</t>
  </si>
  <si>
    <t xml:space="preserve">pub.1187223645</t>
  </si>
  <si>
    <t xml:space="preserve">Cultured meat: Identifying trust profiles of German consumers using latent profile analysis</t>
  </si>
  <si>
    <t xml:space="preserve">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</si>
  <si>
    <t xml:space="preserve">The paper uses latent profile analysis of survey data to identify distinct consumer trust profiles and purchase intentions toward cultured meat in Germany, making consumer behaviour and acceptance its clear primary focus, with no strong secondary category fitting the novel contribution.</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</si>
  <si>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</si>
  <si>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</si>
  <si>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</si>
  <si>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The review covers alginate extraction and processing methods broadly, with cultivated meat mentioned only as a potential future application direction, making Scaffolding the closest relevant category given alginate's primary use as a scaffold biomaterial, but the paper's actual focus on extraction chemistry and sustainability makes it largely a cross-cutting review better suited to Other as secondary.</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</si>
  <si>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</si>
  <si>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</si>
  <si>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</si>
  <si>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The paper develops and validates a consumer perception scale (CPRI) measuring responsible innovation, with cultivated meat as one of several innovation contexts tested, making consumer behaviour and decision-making the primary focus rather than any specific cultivated meat technical domain.</t>
  </si>
  <si>
    <t xml:space="preserve">pub.1191203082</t>
  </si>
  <si>
    <t xml:space="preserve">Enhanced Media Optimize Bovine Myogenesis in 2D and 3D Models for Cultivated Meat Applications</t>
  </si>
  <si>
    <t xml:space="preserve">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</si>
  <si>
    <t xml:space="preserve">The paper's novel contribution is the formulation and optimisation of enhanced differentiation media using small molecules to improve bovine MPC myogenesis, with secondary application demonstrated in 3D tissue-engineered skeletal muscle constructs.</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</si>
  <si>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</si>
  <si>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</si>
  <si>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</si>
  <si>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This is a broad cross-cutting review article spanning multiple domains (technology, public health, consumer acceptance, economic viability, environmental impact, and legislation) without a single novel experimental or analytical contribution, making Other the primary category, with Impact assessments as secondary given the coverage of environmental and economic viability topics.</t>
  </si>
  <si>
    <t xml:space="preserve">pub.1195339063</t>
  </si>
  <si>
    <t xml:space="preserve">Is cultivated meat sustainable? – Research pathways to cleaner “clean meat”</t>
  </si>
  <si>
    <t xml:space="preserve">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</si>
  <si>
    <t xml:space="preserve">The paper primarily reviews and analyses existing LCAs of cultivated meat, identifies data gaps in environmental impact modelling, and calls for improved LCA methodology — making impact assessments the clear primary focus, with the broad cross-cutting review nature of the work warranting Other as secondary.</t>
  </si>
  <si>
    <t xml:space="preserve">pub.1185589034</t>
  </si>
  <si>
    <t xml:space="preserve">Animal Bodies and Futures: Rethinking Ethical Implications of Cultivated Meat and Fish</t>
  </si>
  <si>
    <t xml:space="preserve">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</si>
  <si>
    <t xml:space="preserve">This is a philosophical/ethical commentary piece examining animal welfare implications of cultivated meat production, which falls under the political, ethical, or philosophical implications category (Other); the secondary touch on impact assessments due to its structured analysis of animal welfare outcomes, though it remains qualitative and normative rather than quantitative.</t>
  </si>
  <si>
    <t xml:space="preserve">pub.1191558678</t>
  </si>
  <si>
    <t xml:space="preserve">Fetal bovine serum: how to leave it behind in the pursuit of more reliable science</t>
  </si>
  <si>
    <t xml:space="preserve">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</si>
  <si>
    <t xml:space="preserve">The paper's novel contribution is a comprehensive review of FBS replacements and serum-free/chemically defined media formulations across multiple applications, with cell culture media being the central focus, but its broad cross-cutting scope across stem cells, organoids, organ-on-a-chip, bioprinting, and cultivated meat makes Other the secondary classification.</t>
  </si>
  <si>
    <t xml:space="preserve">pub.1196650490</t>
  </si>
  <si>
    <t xml:space="preserve">Fabrication of aligned adipose tissues using the FLight method for cultured meat applications</t>
  </si>
  <si>
    <t xml:space="preserve">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</si>
  <si>
    <t xml:space="preserve">The paper's novel contribution is the development and characterisation of FLight-fabricated 3D scaffolds with aligned microchannels to direct adipose tissue architecture, which is core scaffolding research; the cultured meat structural (muscle-fat) reconstruction goal links secondarily to end product formulation.</t>
  </si>
  <si>
    <t xml:space="preserve">pub.1187475619</t>
  </si>
  <si>
    <t xml:space="preserve">Postharvest changes in bovine satellite cells in vitro resemble postmortem conversion of muscle to meat</t>
  </si>
  <si>
    <t xml:space="preserve">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</si>
  <si>
    <t xml:space="preserve">The paper investigates postharvest/post-harvest storage conditions and biochemical changes (glycogen, lactate, proteolysis, calpain activity) in cultivated muscle cells that relate to meat quality traits, making end product formulation (quality characterisation of the finished cultivated meat product) the primary focus, with downstream processing aspects of harvesting and storage linking to bioprocess design.</t>
  </si>
  <si>
    <t xml:space="preserve">pub.1185308431</t>
  </si>
  <si>
    <t xml:space="preserve">More than a feeling: Development of an EmoSemio questionnaire to evaluate emotions evoked by cell-cultivated meat label terms in Singapore and the USA</t>
  </si>
  <si>
    <t xml:space="preserve">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</si>
  <si>
    <t xml:space="preserve">The paper develops an emotional profiling questionnaire (EmoSemio) and applies it to study consumer emotional responses to cell-cultivated meat label terms across two countries, which is squarely within consumer behaviour, perceptions, and labelling research; the secondary is Other as the questionnaire development methodology doesn't cleanly fit another specific category.</t>
  </si>
  <si>
    <t xml:space="preserve">pub.1183886498</t>
  </si>
  <si>
    <t xml:space="preserve">Incubation of adipocytes with α-linolenic acid and non-protein-bound iron results in a higher accumulation of omega-3 fatty acids and iron and lower oxidized lipids compared to incubation with docosahexaenoic acid and protein-bound iron</t>
  </si>
  <si>
    <t xml:space="preserve">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</si>
  <si>
    <t xml:space="preserve">The study investigates targeted enrichment of iron and omega-3 fatty acids in cultured adipocytes to improve the nutritional profile of cultivated meat, which is primarily an end product formulation question, while the experimental approach involves incubating cells with different media components (iron sources, fatty acids), making cell culture media the secondary focus.</t>
  </si>
  <si>
    <t xml:space="preserve">pub.1190999785</t>
  </si>
  <si>
    <t xml:space="preserve">Discovery and optimization of a guanylhydrazone-based small molecule to replace bFGF for cell culture applications</t>
  </si>
  <si>
    <t xml:space="preserve">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</si>
  <si>
    <t xml:space="preserve">Cell line development</t>
  </si>
  <si>
    <t xml:space="preserve">The paper discovers and optimises a small molecule FGFR1 agonist to replace bFGF in cell culture media, directly contributing to serum-free/reduced-cost media formulation by identifying and validating an alternative growth factor substitute.</t>
  </si>
  <si>
    <t xml:space="preserve">pub.1193718363</t>
  </si>
  <si>
    <t xml:space="preserve">Cultured Meat Reformulation: Health Potential and Sustainable Food Challenges—Narrative Review</t>
  </si>
  <si>
    <t xml:space="preserve">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</si>
  <si>
    <t xml:space="preserve">Health &amp; nutrition</t>
  </si>
  <si>
    <t xml:space="preserve">This is a broad narrative review covering multiple aspects of cultured meat (nutritional composition, lipid profiles, consumer acceptance, safety, and sustainability challenges) without a single novel experimental or analytical contribution, making Other the primary category, with Health &amp; nutrition as secondary given the emphasis on fatty acid profiles and health outcomes.</t>
  </si>
  <si>
    <t xml:space="preserve">pub.1186089642</t>
  </si>
  <si>
    <t xml:space="preserve">Evaluation of Biocompatible Materials for Enhanced Mesenchymal Stem Cell Expansion: Collagen-Coated Alginate Microcarriers and PLGA Nanofibers</t>
  </si>
  <si>
    <t xml:space="preserve">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</si>
  <si>
    <t xml:space="preserve">The paper develops and characterises collagen-coated alginate microcarriers and PLGA nanofibers as novel growth substrates for MSC adherence and proliferation, which is core scaffolding/biomaterial work, with secondary relevance to bioprocess design given the focus on scalable MSC expansion.</t>
  </si>
  <si>
    <t xml:space="preserve">pub.1194018193</t>
  </si>
  <si>
    <t xml:space="preserve">Engineering functional scaffolds and fat phases for cultured meat</t>
  </si>
  <si>
    <t xml:space="preserve">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</si>
  <si>
    <t xml:space="preserve">The paper primarily reviews scaffold materials and fabrication techniques for cultured meat, with a secondary focus on fat phase integration to replicate meat structure, texture, and nutritional composition.</t>
  </si>
  <si>
    <t xml:space="preserve">pub.1187813025</t>
  </si>
  <si>
    <t xml:space="preserve">A unique spontaneously immortalised cell line from pig with enhanced adipogenic capacity</t>
  </si>
  <si>
    <t xml:space="preserve">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</si>
  <si>
    <t xml:space="preserve">The paper reports the development and characterisation of a spontaneously immortalised porcine mesenchymal stem cell line (FaTTy) with enhanced adipogenic capacity, which is a novel cell line development contribution; secondary relevance to end product formulation arises from the characterisation of fatty acid profiles and adipocyte maturation relevant to cultivated fat products.</t>
  </si>
  <si>
    <t xml:space="preserve">pub.1190066863</t>
  </si>
  <si>
    <t xml:space="preserve">Global developments in the regulation of cultivated meat: A comparative study of the EU, Singapore, US and Australia and New Zealand</t>
  </si>
  <si>
    <t xml:space="preserve">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</si>
  <si>
    <t xml:space="preserve">The paper's novel contribution is a comparative analysis of regulatory frameworks and approval pathways for cultivated meat across four jurisdictions, which fits Food safety &amp; quality; it also touches on impact assessments insofar as it examines environmental and socioeconomic considerations embedded in regulatory paradigms.</t>
  </si>
  <si>
    <t xml:space="preserve">pub.1195234200</t>
  </si>
  <si>
    <t xml:space="preserve">Could Cultured Meat Be a Sustainable and Safe Source of Protein?</t>
  </si>
  <si>
    <t xml:space="preserve">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</si>
  <si>
    <t xml:space="preserve">This is a broad mini-review covering multiple aspects of cultured meat (production technologies, environmental footprint, nutritional composition, and health effects) without a single novel experimental or analytical contribution, making Other the primary category, with Impact assessments as secondary given the notable discussion of sustainability and environmental claims.</t>
  </si>
  <si>
    <t xml:space="preserve">pub.1194012217</t>
  </si>
  <si>
    <t xml:space="preserve">Plant-based alginate-guar gum-konjac glucomannan scaffold with enhanced thermal stability and biocompatibility for cultured meat production</t>
  </si>
  <si>
    <t xml:space="preserve">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</si>
  <si>
    <t xml:space="preserve">The paper's novel contribution is the development and characterisation of a plant-based alginate-guar gum-konjac glucomannan scaffold with enhanced thermal stability and biocompatibility for cultured meat, with secondary relevance to end product formulation given the focus on cooking stability and meat-like mechanical properties.</t>
  </si>
  <si>
    <t xml:space="preserve">pub.1186250348</t>
  </si>
  <si>
    <t xml:space="preserve">A Systematic Literature Review of Cultured Meat Through the Conceptual Frameworks of the Entrepreneurial Ecosystem and Global Value Chain</t>
  </si>
  <si>
    <t xml:space="preserve">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</si>
  <si>
    <t xml:space="preserve">This is a systematic literature review applying conceptual frameworks (entrepreneurial ecosystem and global value chain) to synthesise existing CM research, which per the guidelines belongs in Other; the secondary focus on value chain governance and regulatory/market dynamics has some overlap with impact assessments but the qualitative framework approach excludes it from that category.</t>
  </si>
  <si>
    <t xml:space="preserve">pub.1188180860</t>
  </si>
  <si>
    <t xml:space="preserve">Bibliometric insights into the science of lab-grown meat as alternative protein</t>
  </si>
  <si>
    <t xml:space="preserve">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</si>
  <si>
    <t xml:space="preserve">This is a bibliometric analysis reviewing publication trends across the entire cultivated meat field, making it a broad cross-cutting review that does not focus on any single technical category; the secondary impact assessments category is assigned due to its discussion of regulatory and sustainability implications.</t>
  </si>
  <si>
    <t xml:space="preserve">pub.1194872857</t>
  </si>
  <si>
    <t xml:space="preserve">Cultured meat: advances in stem cell biology, tissue engineering, and bioprocess optimisation for scalable and sustainable production—a review</t>
  </si>
  <si>
    <t xml:space="preserve">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</si>
  <si>
    <t xml:space="preserve">This is a broad review article spanning multiple topics (cell line development, scaffolding, bioreactor design, media optimisation, consumer acceptance, and regulatory issues) without a single novel experimental or analytical contribution, making Other the primary category; bioprocess design is the most prominently featured technical domain alongside the others.</t>
  </si>
  <si>
    <t xml:space="preserve">pub.1195231577</t>
  </si>
  <si>
    <t xml:space="preserve">Cloning, expression and functional characterization of prepared bovine, salmon, and cod basic fibroblast growth factor-2</t>
  </si>
  <si>
    <t xml:space="preserve">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</si>
  <si>
    <t xml:space="preserve">The paper clones, expresses, and functionally validates recombinant FGF-2 variants as alternative growth factors to reduce serum-free media costs, which is squarely a cell culture media contribution; the secondary focus touches on cell proliferation signalling (MuSC) but the cell work is in service of media optimisation rather than cell line development per se, making 'Cell line development' the closest secondary category given the proliferation and signalling pathway characterisation.</t>
  </si>
  <si>
    <t xml:space="preserve">pub.1196653689</t>
  </si>
  <si>
    <t xml:space="preserve">Development of a sustainable strategy for cultured fat production based on serum-free 3D culture of bovine adipose stem cells</t>
  </si>
  <si>
    <t xml:space="preserve">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</si>
  <si>
    <t xml:space="preserve">The paper's primary novel contribution is a serum-free medium formulation for bovine adipose-derived stem cells, with secondary focus on 3D spheroid culture as a bioprocess strategy to enhance adipogenic differentiation.</t>
  </si>
  <si>
    <t xml:space="preserve">pub.1193262475</t>
  </si>
  <si>
    <t xml:space="preserve">How Do Microbial Safety Issues Associated With Meat Apply to Cell Cultivated Products?</t>
  </si>
  <si>
    <t xml:space="preserve">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</si>
  <si>
    <t xml:space="preserve">The paper's novel contribution is a systematic review and expert consultation on microbiological hazards, contamination sources, and mitigation measures for cell cultivated products, directly informing regulatory risk assessment frameworks — a food safety and regulatory analysis focus, with secondary relevance to impact assessments through its structured policy and regulatory gap analysis.</t>
  </si>
  <si>
    <t xml:space="preserve">pub.1195033972</t>
  </si>
  <si>
    <t xml:space="preserve">Paracrine effect of fibroblasts on the proliferation and differentiation of bovine satellite cells in vitro</t>
  </si>
  <si>
    <t xml:space="preserve">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</si>
  <si>
    <t xml:space="preserve">The paper investigates co-culture systems (fibroblasts + satellite cells in transwell plates) as a bioprocess strategy to improve myogenesis, with transcriptomic characterisation of cell behaviour in response to co-culture conditions rather than modification of the cells themselves.</t>
  </si>
  <si>
    <t xml:space="preserve">pub.1185448397</t>
  </si>
  <si>
    <t xml:space="preserve">Microalgae-enriched (bio)inks for 3D bioprinting of cultured seafood</t>
  </si>
  <si>
    <t xml:space="preserve">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</si>
  <si>
    <t xml:space="preserve">The paper's novel contribution is the development and characterisation of novel bioinks (κ-CAM and mFAT) for 3D bioprinting of cultured seafood structures, which falls squarely within scaffolding; the secondary focus is on end product formulation aspects including organoleptic properties, fat integration, and fabrication of a finished calamari product.</t>
  </si>
  <si>
    <t xml:space="preserve">pub.1185346504</t>
  </si>
  <si>
    <t xml:space="preserve">Effective altruism, technoscience and the making of philanthropic value</t>
  </si>
  <si>
    <t xml:space="preserve">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</si>
  <si>
    <t xml:space="preserve">This is a sociological/philosophical analysis of effective altruism as philanthropic practice, using cultured meat only as one of three case studies; it does not make a novel technical or scientific contribution to any specific alternative protein research category, though it touches on policy and societal impact dimensions.</t>
  </si>
  <si>
    <t xml:space="preserve">pub.1190903569</t>
  </si>
  <si>
    <t xml:space="preserve">Cell-based food: Driver and barriers to acceptance in professional kitchens</t>
  </si>
  <si>
    <t xml:space="preserve">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</si>
  <si>
    <t xml:space="preserve">This study investigates kitchen professionals' acceptance, drivers, and barriers to cell-based food adoption through a questionnaire survey, which is squarely consumer/market research focused on perceptions and decision-making of an influential professional group.</t>
  </si>
  <si>
    <t xml:space="preserve">pub.1191484558</t>
  </si>
  <si>
    <t xml:space="preserve">Computational modeling of fluid motion and mass transfer in a rocking bioreactor with application to cultivated meat production</t>
  </si>
  <si>
    <t xml:space="preserve">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</si>
  <si>
    <t xml:space="preserve">The paper develops a computational fluid dynamics framework to characterise and optimise mixing, oxygen transfer, and shear stress in rocking bioreactors, which is a direct bioprocess engineering contribution focused on bioreactor performance and scalability for cultivated meat production.</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</si>
  <si>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</si>
  <si>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</si>
  <si>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</si>
  <si>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This is a sociological/philosophical commentary piece analyzing the social scripts of cultured meat alongside other technologies using ethnography and discourse analysis, with no primary experimental or technical focus on any specific cultivated meat research category.</t>
  </si>
  <si>
    <t xml:space="preserve">pub.1190503848</t>
  </si>
  <si>
    <t xml:space="preserve">Co‐Cultivation With New Glucose‐Sparing Chlorella Algae Boosts Tissue Culture Efficiency by Reducing Cell Waste</t>
  </si>
  <si>
    <t xml:space="preserve">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</si>
  <si>
    <t xml:space="preserve">The paper develops a novel co-cultivation system using a glucose-sparing Chlorella strain to improve oxygenation, waste management, and culture longevity in mammalian cell culture, which is a bioprocess innovation; it also reduces serum requirements, touching on media optimisation.</t>
  </si>
  <si>
    <t xml:space="preserve">pub.1187400215</t>
  </si>
  <si>
    <t xml:space="preserve">Quantifying environmental impacts of cell banking through life cycle assessment</t>
  </si>
  <si>
    <t xml:space="preserve">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</si>
  <si>
    <t xml:space="preserve">The paper conducts a life cycle assessment (LCA) of cell banking processes, quantifying environmental impacts across energy, resource use, and emissions — a clear fit for Impact assessments; the secondary is Other as no other specific category is a meaningful secondary focus.</t>
  </si>
  <si>
    <t xml:space="preserve">pub.1184683334</t>
  </si>
  <si>
    <t xml:space="preserve">Nattokinase as a novel food-grade enzyme for long term cell subculture</t>
  </si>
  <si>
    <t xml:space="preserve">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</si>
  <si>
    <t xml:space="preserve">The paper develops and validates nattokinase as a food-grade cell detachment enzyme for subculture protocols, which is a bioprocess innovation; it also relates to reducing animal-derived inputs in cell culture, touching on cell culture media/reagent replacement themes.</t>
  </si>
  <si>
    <t xml:space="preserve">pub.1195438538</t>
  </si>
  <si>
    <t xml:space="preserve">Addressing hurdles in cultured meat by exploring reduced myogenesis after bovine myoblast expansion</t>
  </si>
  <si>
    <t xml:space="preserve">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</si>
  <si>
    <t xml:space="preserve">The paper systematically characterises and screens primary bovine myoblast cell lines for proliferation capacity, senescence, CD56 expression, and differentiation potential across population doublings — a deliberate selection and characterisation of unmodified cell lines — while the transcriptomic/proteomic analysis of fusion capacity informs scalable expansion strategies relevant to bioprocess design.</t>
  </si>
  <si>
    <t xml:space="preserve">pub.1191325321</t>
  </si>
  <si>
    <t xml:space="preserve">Can blockchain revolutionize meat production? Addressing transparency, trust, and compliance in conventional and cultured meat</t>
  </si>
  <si>
    <t xml:space="preserve">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</si>
  <si>
    <t xml:space="preserve">This is a scoping review of blockchain technology applications across conventional and cultured meat industries, covering multiple topics (traceability, trust, regulatory compliance, IoT integration) without a single novel experimental or analytical contribution; the closest specific category is food safety &amp; quality given the focus on regulatory compliance and product authenticity, but the broad review nature makes Other the primary classification.</t>
  </si>
  <si>
    <t xml:space="preserve">pub.1193006903</t>
  </si>
  <si>
    <t xml:space="preserve">An RNA sequencing dataset from a porcine immortalized pre-adipocyte cell line</t>
  </si>
  <si>
    <t xml:space="preserve">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</si>
  <si>
    <t xml:space="preserve">The paper describes and characterises a spontaneously immortalised porcine pre-adipocyte cell line (FaTTy) derived through serial passaging, with RNA sequencing used to investigate the mechanisms of immortalisation and its unique adipogenic phenotype, making cell line development the clear primary focus.</t>
  </si>
  <si>
    <t xml:space="preserve">pub.1191284489</t>
  </si>
  <si>
    <t xml:space="preserve">Driving Sustainable Consumption: Factors Influencing Consumer Acceptance of Cultured Meat</t>
  </si>
  <si>
    <t xml:space="preserve">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</si>
  <si>
    <t xml:space="preserve">The paper empirically investigates consumer acceptance and purchasing intentions toward cultured meat using the Theory of Planned Behaviour and structural equation modelling, which is squarely consumer behaviour research; the secondary sustainability/policy implications touch on impact assessments.</t>
  </si>
  <si>
    <t xml:space="preserve">pub.1188204445</t>
  </si>
  <si>
    <t xml:space="preserve">Low-cost food-grade alternatives for serum albumins in FBS-free cell culture media</t>
  </si>
  <si>
    <t xml:space="preserve">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</si>
  <si>
    <t xml:space="preserve">The paper directly formulates and optimises serum-free media by identifying and validating food-grade, low-cost alternatives to serum albumins across multiple cell lines, which is a core cell culture media contribution; secondary cell-line-specific differences in stabilizer response touch on cell line considerations.</t>
  </si>
  <si>
    <t xml:space="preserve">pub.1184711822</t>
  </si>
  <si>
    <t xml:space="preserve">The climate impact and land use of cultivated meat: Evaluating agricultural feedstock production</t>
  </si>
  <si>
    <t xml:space="preserve">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</si>
  <si>
    <t xml:space="preserve">The paper conducts a quantitative land use and climate impact assessment (LCA/TEA-adjacent linear programming model) of cultivated meat production, with the novel contribution being the evaluation of agricultural feedstock sourcing for cell culture media as the key variable driving environmental outcomes.</t>
  </si>
  <si>
    <t xml:space="preserve">pub.1195800428</t>
  </si>
  <si>
    <t xml:space="preserve">Exploring Consumer Choice for Beef-Based Cultured Meat: Evidence from a Choice Experiment in China</t>
  </si>
  <si>
    <t xml:space="preserve">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</si>
  <si>
    <t xml:space="preserve">The paper directly investigates Chinese consumers' willingness to pay and preferences for cultured meat using a discrete choice experiment, which is core consumer behaviour research; the secondary impact assessment category is weakly relevant given the policy implications discussed, but the paper is primarily focused on consumer decision-making and market segmentation.</t>
  </si>
  <si>
    <t xml:space="preserve">pub.1191309090</t>
  </si>
  <si>
    <t xml:space="preserve">Cultured meat and halal: A comprehensive analysis from jurisprudence, biology, and ethics</t>
  </si>
  <si>
    <t xml:space="preserve">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</si>
  <si>
    <t xml:space="preserve">The paper primarily analyses halal regulatory and jurisprudential frameworks as they apply to cultured meat, which falls under novel food regulatory analysis, while also addressing Muslim consumer perspectives and scepticism toward cultured meat acceptance.</t>
  </si>
  <si>
    <t xml:space="preserve">Should be Other. Religious beliefs are not regulatory or policy frameworks.</t>
  </si>
  <si>
    <t xml:space="preserve">pub.1188720931</t>
  </si>
  <si>
    <t xml:space="preserve">Generation of bovine iPSCs from fetal fibroblasts for in vitro myogenesis and cultured meat</t>
  </si>
  <si>
    <t xml:space="preserve">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</si>
  <si>
    <t xml:space="preserve">The paper's novel contribution is the generation and characterisation of bovine iPSC lines via reprogramming strategies and their directed differentiation toward myogenic lineages, which is core cell line development; the secondary focus on optimising differentiation protocols relates to bioprocess design.</t>
  </si>
  <si>
    <t xml:space="preserve">pub.1187346550</t>
  </si>
  <si>
    <t xml:space="preserve">Unfamiliar familiarity: A scoping review on the role of familiarity in consumer acceptance of cultivated meat</t>
  </si>
  <si>
    <t xml:space="preserve">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</si>
  <si>
    <t xml:space="preserve">This scoping review directly examines consumer familiarity as a psychological factor influencing acceptance of cultivated meat, making consumer behaviour and perceptions its primary focus; it is classified as Other secondarily because it is a broad review article synthesising literature without a specific technical or experimental contribution beyond the review itself.</t>
  </si>
  <si>
    <t xml:space="preserve">pub.1185338019</t>
  </si>
  <si>
    <t xml:space="preserve">A perspective on the regulation of cultivated meat in the European Union</t>
  </si>
  <si>
    <t xml:space="preserve">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</si>
  <si>
    <t xml:space="preserve">The paper primarily analyses the EU novel food regulatory framework and its adequacy for cultivated meat approval, which falls under food safety &amp; quality regulatory analysis; secondarily it touches on policy and regulatory impact considerations.</t>
  </si>
  <si>
    <t xml:space="preserve">pub.1190561629</t>
  </si>
  <si>
    <t xml:space="preserve">The extracellular matrix of beef: A characterization towards a 3D scaffold for cultured meat</t>
  </si>
  <si>
    <t xml:space="preserve">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</si>
  <si>
    <t xml:space="preserve">The paper characterizes the native bovine ECM mechanical and structural properties specifically to provide reference data for designing scaffolds for cultured meat, making scaffolding the clear primary focus; bioprocess design is secondary as decellularization protocols are optimized as part of the scaffold development pipeline.</t>
  </si>
  <si>
    <t xml:space="preserve">pub.1194139593</t>
  </si>
  <si>
    <t xml:space="preserve">Influence of pea protein on alginate gelation behaviour: Implications for plant-based inks in 3D printing</t>
  </si>
  <si>
    <t xml:space="preserve">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</si>
  <si>
    <t xml:space="preserve">The paper develops and characterises plant-based (pea protein–alginate) bioinks for 3D bioprinting scaffolds for cultured meat, directly investigating material properties and gelation behaviour relevant to scaffold formulation.</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</si>
  <si>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</si>
  <si>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</si>
  <si>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</si>
  <si>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This is a broad systematic literature review synthesizing promissory and counter-narratives across economic, environmental, and social sustainability dimensions of cultured meat, spanning multiple categories rather than focusing on a single novel contribution; the closest secondary fit is impact assessments given its structured analysis of environmental and socioeconomic impacts.</t>
  </si>
  <si>
    <t xml:space="preserve">I feel conflicted. It’s sustainability-focussed so I’m leaning impact assessments but it’s more of a scoping review than a direct assessment…</t>
  </si>
  <si>
    <t xml:space="preserve">pub.1195262622</t>
  </si>
  <si>
    <t xml:space="preserve">Starch‐Based Scaffolds for Cultivated Meat Production: Challenges and Perspectives</t>
  </si>
  <si>
    <t xml:space="preserve">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</si>
  <si>
    <t xml:space="preserve">This review focuses specifically on starch-based scaffold materials for cultivated meat, covering their physicochemical properties, processing routes, and performance for food-grade cell support, making Scaffolding the clear primary category; it is a broad review article spanning multiple subtopics (materials, processing, scalability, economics) without a single novel experimental contribution, warranting Other as secondary.</t>
  </si>
  <si>
    <t xml:space="preserve">pub.1195696748</t>
  </si>
  <si>
    <t xml:space="preserve">Guidelines for environmental life cycle assessment of cultivated meat</t>
  </si>
  <si>
    <t xml:space="preserve">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</si>
  <si>
    <t xml:space="preserve">The paper directly develops and provides technical guidelines for conducting life cycle assessments (LCAs) of cultivated meat systems, making environmental impact assessment methodology its primary and novel contribution; the consensus-building workshop format gives it a slight 'Other' secondary character, but it is fundamentally an LCA-focused methodological contribution.</t>
  </si>
  <si>
    <t xml:space="preserve">pub.1189830000</t>
  </si>
  <si>
    <t xml:space="preserve">Low concentration press cake protein isolates preserve biological activity during lyophilization and spray drying</t>
  </si>
  <si>
    <t xml:space="preserve">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</si>
  <si>
    <t xml:space="preserve">The paper directly investigates plant-derived press cake protein isolates as serum albumin substitutes in cell culture media, optimising their formulation and storage conditions (lyophilization, spray drying) to maintain biological activity for cultivated meat applications.</t>
  </si>
  <si>
    <t xml:space="preserve">pub.1185663045</t>
  </si>
  <si>
    <t xml:space="preserve">Development of a biomarker panel for cell characterization intended for cultivated meat</t>
  </si>
  <si>
    <t xml:space="preserve">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</si>
  <si>
    <t xml:space="preserve">The paper's novel contribution is the development of a biomarker panel (using ddPCR and immunofluorescence) to characterise and identify specific cell types within heterogeneous skeletal muscle cell populations, which directly supports cell selection and characterisation for cultivated meat — core to cell line development; bioprocess design is secondary as the work aims to optimise starter cell populations for large-scale production.</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</si>
  <si>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</si>
  <si>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</si>
  <si>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</si>
  <si>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The paper derives and characterises bovine embryonic stem cell lines, investigating chromosomal stability and aneuploidies over long-term culture — a direct investigation of cell line genomic integrity relevant to cell line development — with secondary implications for safety monitoring of these lines for cultured meat production.</t>
  </si>
  <si>
    <t xml:space="preserve">pub.1187867513</t>
  </si>
  <si>
    <t xml:space="preserve">Process intensification of cultivated meat production through microcarrier addition strategy optimisation</t>
  </si>
  <si>
    <t xml:space="preserve">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</si>
  <si>
    <t xml:space="preserve">The paper's novel contribution is optimising microcarrier addition strategies, bead-to-bead transfer parameters, and seeding conditions to intensify bovine satellite cell bioprocessing at scale, including bioreactor scale-up; serum-free medium use is a secondary context rather than the primary focus.</t>
  </si>
  <si>
    <t xml:space="preserve">pub.1193641914</t>
  </si>
  <si>
    <t xml:space="preserve">Integrative multi-omics modeling for cultivated meat production, quality, and safety</t>
  </si>
  <si>
    <t xml:space="preserve">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</si>
  <si>
    <t xml:space="preserve">The paper's novel TAM framework uses multi-omics interactome modeling to optimize cell culture conditions through targeted media metabolite interventions, with bioprocess efficiency improvement as a secondary focus.</t>
  </si>
  <si>
    <t xml:space="preserve">Should be bioprocess design.</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</si>
  <si>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</si>
  <si>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</si>
  <si>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</si>
  <si>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The paper's novel contribution is the development and characterisation of edible electrospun zein-gelatin fibres incorporating microalgae biomass as scaffolds for cultivated fish cells, with the secondary focus on assembling these into a cultivated fish fillet prototype.</t>
  </si>
  <si>
    <t xml:space="preserve">pub.1194016306</t>
  </si>
  <si>
    <t xml:space="preserve">Bioreactor parameters and systems for cultured meat production</t>
  </si>
  <si>
    <t xml:space="preserve">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</si>
  <si>
    <t xml:space="preserve">This review focuses primarily on bioreactor systems, process parameters, and scale-up strategies for cultured meat production, which is core bioprocess design; however, as a broad review covering multiple aspects (bioreactors, media, cells), the secondary category is Other.</t>
  </si>
  <si>
    <t xml:space="preserve">pub.1191684816</t>
  </si>
  <si>
    <t xml:space="preserve">Willingness to consume cultured meat: A meta-analysis</t>
  </si>
  <si>
    <t xml:space="preserve">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</si>
  <si>
    <t xml:space="preserve">The paper is a meta-analysis quantifying consumer willingness to consume cultured meat and identifying predictors of acceptance, which is squarely within consumer behaviour research; the structured quantitative synthesis across studies has some overlap with impact assessment methodology but the core focus is consumer perceptions and decision-making.</t>
  </si>
  <si>
    <t xml:space="preserve">n</t>
  </si>
  <si>
    <t xml:space="preserve">top2_correct</t>
  </si>
  <si>
    <t xml:space="preserve">primary_acc</t>
  </si>
  <si>
    <t xml:space="preserve">top2_acc</t>
  </si>
  <si>
    <t xml:space="preserve">89%</t>
  </si>
  <si>
    <t xml:space="preserve">100%</t>
  </si>
  <si>
    <t xml:space="preserve">83%</t>
  </si>
  <si>
    <t xml:space="preserve">91%</t>
  </si>
  <si>
    <t xml:space="preserve">metric</t>
  </si>
  <si>
    <t xml:space="preserve">value</t>
  </si>
  <si>
    <t xml:space="preserve">top1_accuracy</t>
  </si>
  <si>
    <t xml:space="preserve">96%</t>
  </si>
  <si>
    <t xml:space="preserve">top2_accuracy</t>
  </si>
  <si>
    <t xml:space="preserve">99%</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</si>
</sst>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4"/>
  <sheetViews>
    <sheetView showFormulas="false" showGridLines="true" showRowColHeaders="true" showZeros="true" rightToLeft="false" tabSelected="true" showOutlineSymbols="true" defaultGridColor="true" view="normal" topLeftCell="A61" colorId="64" zoomScale="100" zoomScaleNormal="100" zoomScalePageLayoutView="100" workbookViewId="0">
      <selection pane="topLeft" activeCell="F83" activeCellId="0" sqref="F83"/>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14</v>
      </c>
      <c r="G2" s="0" t="s">
        <v>15</v>
      </c>
      <c r="H2" s="0" t="s">
        <v>16</v>
      </c>
      <c r="I2" s="1" t="b">
        <f aca="false">TRUE()</f>
        <v>1</v>
      </c>
      <c r="J2" s="1" t="b">
        <f aca="false">TRUE()</f>
        <v>1</v>
      </c>
    </row>
    <row r="3" customFormat="false" ht="15" hidden="false" customHeight="false" outlineLevel="0" collapsed="false">
      <c r="A3" s="0" t="s">
        <v>17</v>
      </c>
      <c r="B3" s="0" t="s">
        <v>18</v>
      </c>
      <c r="C3" s="0" t="s">
        <v>19</v>
      </c>
      <c r="D3" s="0" t="s">
        <v>13</v>
      </c>
      <c r="E3" s="0" t="s">
        <v>20</v>
      </c>
      <c r="F3" s="0" t="s">
        <v>20</v>
      </c>
      <c r="G3" s="0" t="s">
        <v>21</v>
      </c>
      <c r="H3" s="0" t="s">
        <v>22</v>
      </c>
      <c r="I3" s="1" t="b">
        <f aca="false">TRUE()</f>
        <v>1</v>
      </c>
      <c r="J3" s="1" t="b">
        <f aca="false">TRUE()</f>
        <v>1</v>
      </c>
    </row>
    <row r="4" customFormat="false" ht="15" hidden="false" customHeight="false" outlineLevel="0" collapsed="false">
      <c r="A4" s="0" t="s">
        <v>23</v>
      </c>
      <c r="B4" s="0" t="s">
        <v>24</v>
      </c>
      <c r="C4" s="0" t="s">
        <v>25</v>
      </c>
      <c r="D4" s="0" t="s">
        <v>13</v>
      </c>
      <c r="E4" s="0" t="s">
        <v>26</v>
      </c>
      <c r="F4" s="0" t="s">
        <v>26</v>
      </c>
      <c r="G4" s="0" t="s">
        <v>27</v>
      </c>
      <c r="H4" s="0" t="s">
        <v>28</v>
      </c>
      <c r="I4" s="1" t="b">
        <f aca="false">TRUE()</f>
        <v>1</v>
      </c>
      <c r="J4" s="1" t="b">
        <f aca="false">TRUE()</f>
        <v>1</v>
      </c>
    </row>
    <row r="5" customFormat="false" ht="15" hidden="false" customHeight="false" outlineLevel="0" collapsed="false">
      <c r="A5" s="0" t="s">
        <v>29</v>
      </c>
      <c r="B5" s="0" t="s">
        <v>30</v>
      </c>
      <c r="C5" s="0" t="s">
        <v>31</v>
      </c>
      <c r="D5" s="0" t="s">
        <v>13</v>
      </c>
      <c r="E5" s="0" t="s">
        <v>14</v>
      </c>
      <c r="F5" s="0" t="s">
        <v>14</v>
      </c>
      <c r="G5" s="0" t="s">
        <v>20</v>
      </c>
      <c r="H5" s="0" t="s">
        <v>32</v>
      </c>
      <c r="I5" s="1" t="b">
        <f aca="false">TRUE()</f>
        <v>1</v>
      </c>
      <c r="J5" s="1" t="b">
        <f aca="false">TRUE()</f>
        <v>1</v>
      </c>
    </row>
    <row r="6" customFormat="false" ht="15" hidden="false" customHeight="false" outlineLevel="0" collapsed="false">
      <c r="A6" s="0" t="s">
        <v>33</v>
      </c>
      <c r="B6" s="0" t="s">
        <v>34</v>
      </c>
      <c r="C6" s="0" t="s">
        <v>35</v>
      </c>
      <c r="D6" s="0" t="s">
        <v>13</v>
      </c>
      <c r="E6" s="0" t="s">
        <v>26</v>
      </c>
      <c r="F6" s="0" t="s">
        <v>26</v>
      </c>
      <c r="G6" s="0" t="s">
        <v>36</v>
      </c>
      <c r="H6" s="0" t="s">
        <v>37</v>
      </c>
      <c r="I6" s="1" t="b">
        <f aca="false">TRUE()</f>
        <v>1</v>
      </c>
      <c r="J6" s="1" t="b">
        <f aca="false">TRUE()</f>
        <v>1</v>
      </c>
    </row>
    <row r="7" customFormat="false" ht="15" hidden="false" customHeight="false" outlineLevel="0" collapsed="false">
      <c r="A7" s="0" t="s">
        <v>38</v>
      </c>
      <c r="B7" s="0" t="s">
        <v>39</v>
      </c>
      <c r="C7" s="0" t="s">
        <v>40</v>
      </c>
      <c r="D7" s="0" t="s">
        <v>13</v>
      </c>
      <c r="E7" s="0" t="s">
        <v>41</v>
      </c>
      <c r="F7" s="0" t="s">
        <v>41</v>
      </c>
      <c r="G7" s="0" t="s">
        <v>21</v>
      </c>
      <c r="H7" s="0" t="s">
        <v>42</v>
      </c>
      <c r="I7" s="1" t="b">
        <f aca="false">TRUE()</f>
        <v>1</v>
      </c>
      <c r="J7" s="1" t="b">
        <f aca="false">TRUE()</f>
        <v>1</v>
      </c>
    </row>
    <row r="8" customFormat="false" ht="15" hidden="false" customHeight="false" outlineLevel="0" collapsed="false">
      <c r="A8" s="0" t="s">
        <v>43</v>
      </c>
      <c r="B8" s="0" t="s">
        <v>44</v>
      </c>
      <c r="C8" s="0" t="s">
        <v>45</v>
      </c>
      <c r="D8" s="0" t="s">
        <v>13</v>
      </c>
      <c r="E8" s="0" t="s">
        <v>20</v>
      </c>
      <c r="F8" s="0" t="s">
        <v>20</v>
      </c>
      <c r="G8" s="0" t="s">
        <v>14</v>
      </c>
      <c r="H8" s="0" t="s">
        <v>46</v>
      </c>
      <c r="I8" s="1" t="b">
        <f aca="false">TRUE()</f>
        <v>1</v>
      </c>
      <c r="J8" s="1" t="b">
        <f aca="false">TRUE()</f>
        <v>1</v>
      </c>
    </row>
    <row r="9" customFormat="false" ht="15" hidden="false" customHeight="false" outlineLevel="0" collapsed="false">
      <c r="A9" s="0" t="s">
        <v>47</v>
      </c>
      <c r="B9" s="0" t="s">
        <v>48</v>
      </c>
      <c r="C9" s="0" t="s">
        <v>49</v>
      </c>
      <c r="D9" s="0" t="s">
        <v>13</v>
      </c>
      <c r="E9" s="0" t="s">
        <v>14</v>
      </c>
      <c r="F9" s="0" t="s">
        <v>14</v>
      </c>
      <c r="G9" s="0" t="s">
        <v>20</v>
      </c>
      <c r="H9" s="0" t="s">
        <v>50</v>
      </c>
      <c r="I9" s="1" t="b">
        <f aca="false">TRUE()</f>
        <v>1</v>
      </c>
      <c r="J9" s="1" t="b">
        <f aca="false">TRUE()</f>
        <v>1</v>
      </c>
    </row>
    <row r="10" customFormat="false" ht="15" hidden="false" customHeight="false" outlineLevel="0" collapsed="false">
      <c r="A10" s="0" t="s">
        <v>51</v>
      </c>
      <c r="B10" s="0" t="s">
        <v>52</v>
      </c>
      <c r="C10" s="0" t="s">
        <v>53</v>
      </c>
      <c r="D10" s="0" t="s">
        <v>13</v>
      </c>
      <c r="E10" s="0" t="s">
        <v>26</v>
      </c>
      <c r="F10" s="0" t="s">
        <v>26</v>
      </c>
      <c r="G10" s="0" t="s">
        <v>36</v>
      </c>
      <c r="H10" s="0" t="s">
        <v>54</v>
      </c>
      <c r="I10" s="1" t="b">
        <f aca="false">TRUE()</f>
        <v>1</v>
      </c>
      <c r="J10" s="1" t="b">
        <f aca="false">TRUE()</f>
        <v>1</v>
      </c>
    </row>
    <row r="11" customFormat="false" ht="15" hidden="false" customHeight="false" outlineLevel="0" collapsed="false">
      <c r="A11" s="0" t="s">
        <v>55</v>
      </c>
      <c r="B11" s="0" t="s">
        <v>56</v>
      </c>
      <c r="C11" s="0" t="s">
        <v>57</v>
      </c>
      <c r="D11" s="0" t="s">
        <v>13</v>
      </c>
      <c r="E11" s="0" t="s">
        <v>14</v>
      </c>
      <c r="F11" s="0" t="s">
        <v>14</v>
      </c>
      <c r="G11" s="0" t="s">
        <v>36</v>
      </c>
      <c r="H11" s="0" t="s">
        <v>58</v>
      </c>
      <c r="I11" s="1" t="b">
        <f aca="false">TRUE()</f>
        <v>1</v>
      </c>
      <c r="J11" s="1" t="b">
        <f aca="false">TRUE()</f>
        <v>1</v>
      </c>
    </row>
    <row r="12" customFormat="false" ht="15" hidden="false" customHeight="false" outlineLevel="0" collapsed="false">
      <c r="A12" s="0" t="s">
        <v>59</v>
      </c>
      <c r="B12" s="0" t="s">
        <v>60</v>
      </c>
      <c r="C12" s="0" t="s">
        <v>61</v>
      </c>
      <c r="D12" s="0" t="s">
        <v>13</v>
      </c>
      <c r="E12" s="0" t="s">
        <v>26</v>
      </c>
      <c r="F12" s="0" t="s">
        <v>26</v>
      </c>
      <c r="G12" s="0" t="s">
        <v>36</v>
      </c>
      <c r="H12" s="0" t="s">
        <v>62</v>
      </c>
      <c r="I12" s="1" t="b">
        <f aca="false">TRUE()</f>
        <v>1</v>
      </c>
      <c r="J12" s="1" t="b">
        <f aca="false">TRUE()</f>
        <v>1</v>
      </c>
    </row>
    <row r="13" customFormat="false" ht="15" hidden="false" customHeight="false" outlineLevel="0" collapsed="false">
      <c r="A13" s="0" t="s">
        <v>63</v>
      </c>
      <c r="B13" s="0" t="s">
        <v>64</v>
      </c>
      <c r="C13" s="0" t="s">
        <v>65</v>
      </c>
      <c r="D13" s="0" t="s">
        <v>13</v>
      </c>
      <c r="E13" s="0" t="s">
        <v>21</v>
      </c>
      <c r="F13" s="0" t="s">
        <v>21</v>
      </c>
      <c r="G13" s="0" t="s">
        <v>14</v>
      </c>
      <c r="H13" s="0" t="s">
        <v>66</v>
      </c>
      <c r="I13" s="1" t="b">
        <f aca="false">TRUE()</f>
        <v>1</v>
      </c>
      <c r="J13" s="1" t="b">
        <f aca="false">TRUE()</f>
        <v>1</v>
      </c>
    </row>
    <row r="14" customFormat="false" ht="15" hidden="false" customHeight="false" outlineLevel="0" collapsed="false">
      <c r="A14" s="0" t="s">
        <v>67</v>
      </c>
      <c r="B14" s="0" t="s">
        <v>68</v>
      </c>
      <c r="C14" s="0" t="s">
        <v>69</v>
      </c>
      <c r="D14" s="0" t="s">
        <v>13</v>
      </c>
      <c r="E14" s="0" t="s">
        <v>36</v>
      </c>
      <c r="F14" s="0" t="s">
        <v>36</v>
      </c>
      <c r="G14" s="0" t="s">
        <v>41</v>
      </c>
      <c r="H14" s="0" t="s">
        <v>70</v>
      </c>
      <c r="I14" s="1" t="b">
        <f aca="false">TRUE()</f>
        <v>1</v>
      </c>
      <c r="J14" s="1" t="b">
        <f aca="false">TRUE()</f>
        <v>1</v>
      </c>
    </row>
    <row r="15" customFormat="false" ht="15" hidden="false" customHeight="false" outlineLevel="0" collapsed="false">
      <c r="A15" s="0" t="s">
        <v>71</v>
      </c>
      <c r="B15" s="0" t="s">
        <v>72</v>
      </c>
      <c r="C15" s="0" t="s">
        <v>73</v>
      </c>
      <c r="D15" s="0" t="s">
        <v>13</v>
      </c>
      <c r="E15" s="0" t="s">
        <v>41</v>
      </c>
      <c r="F15" s="0" t="s">
        <v>41</v>
      </c>
      <c r="G15" s="0" t="s">
        <v>36</v>
      </c>
      <c r="H15" s="0" t="s">
        <v>74</v>
      </c>
      <c r="I15" s="1" t="b">
        <f aca="false">TRUE()</f>
        <v>1</v>
      </c>
      <c r="J15" s="1" t="b">
        <f aca="false">TRUE()</f>
        <v>1</v>
      </c>
    </row>
    <row r="16" customFormat="false" ht="15" hidden="false" customHeight="false" outlineLevel="0" collapsed="false">
      <c r="A16" s="0" t="s">
        <v>75</v>
      </c>
      <c r="B16" s="0" t="s">
        <v>76</v>
      </c>
      <c r="C16" s="0" t="s">
        <v>77</v>
      </c>
      <c r="D16" s="0" t="s">
        <v>13</v>
      </c>
      <c r="E16" s="0" t="s">
        <v>36</v>
      </c>
      <c r="F16" s="0" t="s">
        <v>36</v>
      </c>
      <c r="G16" s="0" t="s">
        <v>41</v>
      </c>
      <c r="H16" s="0" t="s">
        <v>78</v>
      </c>
      <c r="I16" s="1" t="b">
        <f aca="false">TRUE()</f>
        <v>1</v>
      </c>
      <c r="J16" s="1" t="b">
        <f aca="false">TRUE()</f>
        <v>1</v>
      </c>
    </row>
    <row r="17" customFormat="false" ht="15" hidden="false" customHeight="false" outlineLevel="0" collapsed="false">
      <c r="A17" s="0" t="s">
        <v>79</v>
      </c>
      <c r="B17" s="0" t="s">
        <v>80</v>
      </c>
      <c r="C17" s="0" t="s">
        <v>81</v>
      </c>
      <c r="D17" s="0" t="s">
        <v>13</v>
      </c>
      <c r="E17" s="0" t="s">
        <v>21</v>
      </c>
      <c r="F17" s="0" t="s">
        <v>21</v>
      </c>
      <c r="G17" s="0" t="s">
        <v>36</v>
      </c>
      <c r="H17" s="0" t="s">
        <v>82</v>
      </c>
      <c r="I17" s="1" t="b">
        <f aca="false">TRUE()</f>
        <v>1</v>
      </c>
      <c r="J17" s="1" t="b">
        <f aca="false">TRUE()</f>
        <v>1</v>
      </c>
    </row>
    <row r="18" customFormat="false" ht="15" hidden="false" customHeight="false" outlineLevel="0" collapsed="false">
      <c r="A18" s="0" t="s">
        <v>83</v>
      </c>
      <c r="B18" s="0" t="s">
        <v>84</v>
      </c>
      <c r="C18" s="0" t="s">
        <v>85</v>
      </c>
      <c r="D18" s="0" t="s">
        <v>13</v>
      </c>
      <c r="E18" s="0" t="s">
        <v>14</v>
      </c>
      <c r="F18" s="0" t="s">
        <v>14</v>
      </c>
      <c r="G18" s="0" t="s">
        <v>15</v>
      </c>
      <c r="H18" s="0" t="s">
        <v>86</v>
      </c>
      <c r="I18" s="1" t="b">
        <f aca="false">TRUE()</f>
        <v>1</v>
      </c>
      <c r="J18" s="1" t="b">
        <f aca="false">TRUE()</f>
        <v>1</v>
      </c>
    </row>
    <row r="19" customFormat="false" ht="15" hidden="false" customHeight="false" outlineLevel="0" collapsed="false">
      <c r="A19" s="0" t="s">
        <v>87</v>
      </c>
      <c r="B19" s="0" t="s">
        <v>88</v>
      </c>
      <c r="C19" s="0" t="s">
        <v>89</v>
      </c>
      <c r="D19" s="0" t="s">
        <v>13</v>
      </c>
      <c r="E19" s="0" t="s">
        <v>15</v>
      </c>
      <c r="F19" s="0" t="s">
        <v>15</v>
      </c>
      <c r="G19" s="0" t="s">
        <v>20</v>
      </c>
      <c r="H19" s="0" t="s">
        <v>90</v>
      </c>
      <c r="I19" s="1" t="b">
        <f aca="false">TRUE()</f>
        <v>1</v>
      </c>
      <c r="J19" s="1" t="b">
        <f aca="false">TRUE()</f>
        <v>1</v>
      </c>
    </row>
    <row r="20" customFormat="false" ht="15" hidden="false" customHeight="false" outlineLevel="0" collapsed="false">
      <c r="A20" s="0" t="s">
        <v>91</v>
      </c>
      <c r="B20" s="0" t="s">
        <v>92</v>
      </c>
      <c r="C20" s="0" t="s">
        <v>93</v>
      </c>
      <c r="D20" s="0" t="s">
        <v>13</v>
      </c>
      <c r="E20" s="0" t="s">
        <v>26</v>
      </c>
      <c r="F20" s="0" t="s">
        <v>26</v>
      </c>
      <c r="G20" s="0" t="s">
        <v>36</v>
      </c>
      <c r="H20" s="0" t="s">
        <v>94</v>
      </c>
      <c r="I20" s="1" t="b">
        <f aca="false">TRUE()</f>
        <v>1</v>
      </c>
      <c r="J20" s="1" t="b">
        <f aca="false">TRUE()</f>
        <v>1</v>
      </c>
    </row>
    <row r="21" customFormat="false" ht="15" hidden="false" customHeight="false" outlineLevel="0" collapsed="false">
      <c r="A21" s="0" t="s">
        <v>95</v>
      </c>
      <c r="B21" s="0" t="s">
        <v>96</v>
      </c>
      <c r="C21" s="0" t="s">
        <v>97</v>
      </c>
      <c r="D21" s="0" t="s">
        <v>13</v>
      </c>
      <c r="E21" s="0" t="s">
        <v>15</v>
      </c>
      <c r="F21" s="0" t="s">
        <v>15</v>
      </c>
      <c r="G21" s="0" t="s">
        <v>21</v>
      </c>
      <c r="H21" s="0" t="s">
        <v>98</v>
      </c>
      <c r="I21" s="1" t="b">
        <f aca="false">TRUE()</f>
        <v>1</v>
      </c>
      <c r="J21" s="1" t="b">
        <f aca="false">TRUE()</f>
        <v>1</v>
      </c>
    </row>
    <row r="22" customFormat="false" ht="15" hidden="false" customHeight="false" outlineLevel="0" collapsed="false">
      <c r="A22" s="0" t="s">
        <v>99</v>
      </c>
      <c r="B22" s="0" t="s">
        <v>100</v>
      </c>
      <c r="C22" s="0" t="s">
        <v>101</v>
      </c>
      <c r="D22" s="0" t="s">
        <v>13</v>
      </c>
      <c r="E22" s="0" t="s">
        <v>21</v>
      </c>
      <c r="F22" s="0" t="s">
        <v>21</v>
      </c>
      <c r="G22" s="0" t="s">
        <v>102</v>
      </c>
      <c r="H22" s="0" t="s">
        <v>103</v>
      </c>
      <c r="I22" s="1" t="b">
        <f aca="false">TRUE()</f>
        <v>1</v>
      </c>
      <c r="J22" s="1" t="b">
        <f aca="false">TRUE()</f>
        <v>1</v>
      </c>
    </row>
    <row r="23" customFormat="false" ht="15" hidden="false" customHeight="false" outlineLevel="0" collapsed="false">
      <c r="A23" s="0" t="s">
        <v>104</v>
      </c>
      <c r="B23" s="0" t="s">
        <v>105</v>
      </c>
      <c r="C23" s="0" t="s">
        <v>106</v>
      </c>
      <c r="D23" s="0" t="s">
        <v>13</v>
      </c>
      <c r="E23" s="0" t="s">
        <v>36</v>
      </c>
      <c r="F23" s="0" t="s">
        <v>36</v>
      </c>
      <c r="G23" s="0" t="s">
        <v>107</v>
      </c>
      <c r="H23" s="0" t="s">
        <v>108</v>
      </c>
      <c r="I23" s="1" t="b">
        <f aca="false">TRUE()</f>
        <v>1</v>
      </c>
      <c r="J23" s="1" t="b">
        <f aca="false">TRUE()</f>
        <v>1</v>
      </c>
    </row>
    <row r="24" customFormat="false" ht="15" hidden="false" customHeight="false" outlineLevel="0" collapsed="false">
      <c r="A24" s="0" t="s">
        <v>109</v>
      </c>
      <c r="B24" s="0" t="s">
        <v>110</v>
      </c>
      <c r="C24" s="0" t="s">
        <v>111</v>
      </c>
      <c r="D24" s="0" t="s">
        <v>13</v>
      </c>
      <c r="E24" s="0" t="s">
        <v>14</v>
      </c>
      <c r="F24" s="0" t="s">
        <v>14</v>
      </c>
      <c r="G24" s="0" t="s">
        <v>20</v>
      </c>
      <c r="H24" s="0" t="s">
        <v>112</v>
      </c>
      <c r="I24" s="1" t="b">
        <f aca="false">TRUE()</f>
        <v>1</v>
      </c>
      <c r="J24" s="1" t="b">
        <f aca="false">TRUE()</f>
        <v>1</v>
      </c>
    </row>
    <row r="25" customFormat="false" ht="15" hidden="false" customHeight="false" outlineLevel="0" collapsed="false">
      <c r="A25" s="0" t="s">
        <v>113</v>
      </c>
      <c r="B25" s="0" t="s">
        <v>114</v>
      </c>
      <c r="C25" s="0" t="s">
        <v>115</v>
      </c>
      <c r="D25" s="0" t="s">
        <v>13</v>
      </c>
      <c r="E25" s="0" t="s">
        <v>14</v>
      </c>
      <c r="F25" s="0" t="s">
        <v>14</v>
      </c>
      <c r="G25" s="0" t="s">
        <v>15</v>
      </c>
      <c r="H25" s="0" t="s">
        <v>116</v>
      </c>
      <c r="I25" s="1" t="b">
        <f aca="false">TRUE()</f>
        <v>1</v>
      </c>
      <c r="J25" s="1" t="b">
        <f aca="false">TRUE()</f>
        <v>1</v>
      </c>
    </row>
    <row r="26" customFormat="false" ht="15" hidden="false" customHeight="false" outlineLevel="0" collapsed="false">
      <c r="A26" s="0" t="s">
        <v>117</v>
      </c>
      <c r="B26" s="0" t="s">
        <v>118</v>
      </c>
      <c r="C26" s="0" t="s">
        <v>119</v>
      </c>
      <c r="D26" s="0" t="s">
        <v>13</v>
      </c>
      <c r="E26" s="0" t="s">
        <v>102</v>
      </c>
      <c r="F26" s="0" t="s">
        <v>102</v>
      </c>
      <c r="G26" s="0" t="s">
        <v>15</v>
      </c>
      <c r="H26" s="0" t="s">
        <v>120</v>
      </c>
      <c r="I26" s="1" t="b">
        <f aca="false">TRUE()</f>
        <v>1</v>
      </c>
      <c r="J26" s="1" t="b">
        <f aca="false">TRUE()</f>
        <v>1</v>
      </c>
    </row>
    <row r="27" customFormat="false" ht="15" hidden="false" customHeight="false" outlineLevel="0" collapsed="false">
      <c r="A27" s="0" t="s">
        <v>121</v>
      </c>
      <c r="B27" s="0" t="s">
        <v>122</v>
      </c>
      <c r="C27" s="0" t="s">
        <v>123</v>
      </c>
      <c r="D27" s="0" t="s">
        <v>13</v>
      </c>
      <c r="E27" s="0" t="s">
        <v>27</v>
      </c>
      <c r="F27" s="0" t="s">
        <v>27</v>
      </c>
      <c r="G27" s="0" t="s">
        <v>41</v>
      </c>
      <c r="H27" s="0" t="s">
        <v>124</v>
      </c>
      <c r="I27" s="1" t="b">
        <f aca="false">TRUE()</f>
        <v>1</v>
      </c>
      <c r="J27" s="1" t="b">
        <f aca="false">TRUE()</f>
        <v>1</v>
      </c>
    </row>
    <row r="28" customFormat="false" ht="15" hidden="false" customHeight="false" outlineLevel="0" collapsed="false">
      <c r="A28" s="0" t="s">
        <v>125</v>
      </c>
      <c r="B28" s="0" t="s">
        <v>126</v>
      </c>
      <c r="C28" s="0" t="s">
        <v>127</v>
      </c>
      <c r="D28" s="0" t="s">
        <v>13</v>
      </c>
      <c r="E28" s="0" t="s">
        <v>36</v>
      </c>
      <c r="F28" s="0" t="s">
        <v>36</v>
      </c>
      <c r="G28" s="0" t="s">
        <v>41</v>
      </c>
      <c r="H28" s="0" t="s">
        <v>128</v>
      </c>
      <c r="I28" s="1" t="b">
        <f aca="false">TRUE()</f>
        <v>1</v>
      </c>
      <c r="J28" s="1" t="b">
        <f aca="false">TRUE()</f>
        <v>1</v>
      </c>
    </row>
    <row r="29" customFormat="false" ht="15" hidden="false" customHeight="false" outlineLevel="0" collapsed="false">
      <c r="A29" s="0" t="s">
        <v>129</v>
      </c>
      <c r="B29" s="0" t="s">
        <v>130</v>
      </c>
      <c r="C29" s="0" t="s">
        <v>131</v>
      </c>
      <c r="D29" s="0" t="s">
        <v>13</v>
      </c>
      <c r="E29" s="0" t="s">
        <v>14</v>
      </c>
      <c r="F29" s="0" t="s">
        <v>14</v>
      </c>
      <c r="G29" s="0" t="s">
        <v>15</v>
      </c>
      <c r="H29" s="0" t="s">
        <v>132</v>
      </c>
      <c r="I29" s="1" t="b">
        <f aca="false">TRUE()</f>
        <v>1</v>
      </c>
      <c r="J29" s="1" t="b">
        <f aca="false">TRUE()</f>
        <v>1</v>
      </c>
    </row>
    <row r="30" customFormat="false" ht="15" hidden="false" customHeight="false" outlineLevel="0" collapsed="false">
      <c r="A30" s="0" t="s">
        <v>133</v>
      </c>
      <c r="B30" s="0" t="s">
        <v>134</v>
      </c>
      <c r="C30" s="0" t="s">
        <v>135</v>
      </c>
      <c r="D30" s="0" t="s">
        <v>13</v>
      </c>
      <c r="E30" s="0" t="s">
        <v>36</v>
      </c>
      <c r="F30" s="0" t="s">
        <v>36</v>
      </c>
      <c r="G30" s="0" t="s">
        <v>41</v>
      </c>
      <c r="H30" s="0" t="s">
        <v>136</v>
      </c>
      <c r="I30" s="1" t="b">
        <f aca="false">TRUE()</f>
        <v>1</v>
      </c>
      <c r="J30" s="1" t="b">
        <f aca="false">TRUE()</f>
        <v>1</v>
      </c>
    </row>
    <row r="31" customFormat="false" ht="15" hidden="false" customHeight="false" outlineLevel="0" collapsed="false">
      <c r="A31" s="0" t="s">
        <v>137</v>
      </c>
      <c r="B31" s="0" t="s">
        <v>138</v>
      </c>
      <c r="C31" s="0" t="s">
        <v>139</v>
      </c>
      <c r="D31" s="0" t="s">
        <v>13</v>
      </c>
      <c r="E31" s="0" t="s">
        <v>36</v>
      </c>
      <c r="F31" s="0" t="s">
        <v>36</v>
      </c>
      <c r="G31" s="0" t="s">
        <v>41</v>
      </c>
      <c r="H31" s="0" t="s">
        <v>140</v>
      </c>
      <c r="I31" s="1" t="b">
        <f aca="false">TRUE()</f>
        <v>1</v>
      </c>
      <c r="J31" s="1" t="b">
        <f aca="false">TRUE()</f>
        <v>1</v>
      </c>
    </row>
    <row r="32" customFormat="false" ht="15" hidden="false" customHeight="false" outlineLevel="0" collapsed="false">
      <c r="A32" s="0" t="s">
        <v>141</v>
      </c>
      <c r="B32" s="0" t="s">
        <v>142</v>
      </c>
      <c r="C32" s="0" t="s">
        <v>143</v>
      </c>
      <c r="D32" s="0" t="s">
        <v>13</v>
      </c>
      <c r="E32" s="0" t="s">
        <v>36</v>
      </c>
      <c r="F32" s="0" t="s">
        <v>36</v>
      </c>
      <c r="G32" s="0" t="s">
        <v>20</v>
      </c>
      <c r="H32" s="0" t="s">
        <v>144</v>
      </c>
      <c r="I32" s="1" t="b">
        <f aca="false">TRUE()</f>
        <v>1</v>
      </c>
      <c r="J32" s="1" t="b">
        <f aca="false">TRUE()</f>
        <v>1</v>
      </c>
    </row>
    <row r="33" customFormat="false" ht="15" hidden="false" customHeight="false" outlineLevel="0" collapsed="false">
      <c r="A33" s="0" t="s">
        <v>145</v>
      </c>
      <c r="B33" s="0" t="s">
        <v>146</v>
      </c>
      <c r="C33" s="0" t="s">
        <v>147</v>
      </c>
      <c r="D33" s="0" t="s">
        <v>13</v>
      </c>
      <c r="E33" s="0" t="s">
        <v>21</v>
      </c>
      <c r="F33" s="0" t="s">
        <v>21</v>
      </c>
      <c r="G33" s="0" t="s">
        <v>102</v>
      </c>
      <c r="H33" s="0" t="s">
        <v>148</v>
      </c>
      <c r="I33" s="1" t="b">
        <f aca="false">TRUE()</f>
        <v>1</v>
      </c>
      <c r="J33" s="1" t="b">
        <f aca="false">TRUE()</f>
        <v>1</v>
      </c>
    </row>
    <row r="34" customFormat="false" ht="15" hidden="false" customHeight="false" outlineLevel="0" collapsed="false">
      <c r="A34" s="0" t="s">
        <v>149</v>
      </c>
      <c r="B34" s="0" t="s">
        <v>150</v>
      </c>
      <c r="C34" s="0" t="s">
        <v>151</v>
      </c>
      <c r="D34" s="0" t="s">
        <v>13</v>
      </c>
      <c r="E34" s="0" t="s">
        <v>21</v>
      </c>
      <c r="F34" s="0" t="s">
        <v>21</v>
      </c>
      <c r="G34" s="0" t="s">
        <v>20</v>
      </c>
      <c r="H34" s="0" t="s">
        <v>152</v>
      </c>
      <c r="I34" s="1" t="b">
        <f aca="false">TRUE()</f>
        <v>1</v>
      </c>
      <c r="J34" s="1" t="b">
        <f aca="false">TRUE()</f>
        <v>1</v>
      </c>
    </row>
    <row r="35" customFormat="false" ht="15" hidden="false" customHeight="false" outlineLevel="0" collapsed="false">
      <c r="A35" s="0" t="s">
        <v>153</v>
      </c>
      <c r="B35" s="0" t="s">
        <v>154</v>
      </c>
      <c r="C35" s="0" t="s">
        <v>155</v>
      </c>
      <c r="D35" s="0" t="s">
        <v>13</v>
      </c>
      <c r="E35" s="0" t="s">
        <v>27</v>
      </c>
      <c r="F35" s="0" t="s">
        <v>27</v>
      </c>
      <c r="G35" s="0" t="s">
        <v>41</v>
      </c>
      <c r="H35" s="0" t="s">
        <v>156</v>
      </c>
      <c r="I35" s="1" t="b">
        <f aca="false">TRUE()</f>
        <v>1</v>
      </c>
      <c r="J35" s="1" t="b">
        <f aca="false">TRUE()</f>
        <v>1</v>
      </c>
    </row>
    <row r="36" customFormat="false" ht="15" hidden="false" customHeight="false" outlineLevel="0" collapsed="false">
      <c r="A36" s="0" t="s">
        <v>157</v>
      </c>
      <c r="B36" s="0" t="s">
        <v>158</v>
      </c>
      <c r="C36" s="0" t="s">
        <v>159</v>
      </c>
      <c r="D36" s="0" t="s">
        <v>13</v>
      </c>
      <c r="E36" s="0" t="s">
        <v>20</v>
      </c>
      <c r="F36" s="0" t="s">
        <v>20</v>
      </c>
      <c r="G36" s="0" t="s">
        <v>102</v>
      </c>
      <c r="H36" s="0" t="s">
        <v>160</v>
      </c>
      <c r="I36" s="1" t="b">
        <f aca="false">TRUE()</f>
        <v>1</v>
      </c>
      <c r="J36" s="1" t="b">
        <f aca="false">TRUE()</f>
        <v>1</v>
      </c>
    </row>
    <row r="37" customFormat="false" ht="15" hidden="false" customHeight="false" outlineLevel="0" collapsed="false">
      <c r="A37" s="0" t="s">
        <v>161</v>
      </c>
      <c r="B37" s="0" t="s">
        <v>162</v>
      </c>
      <c r="C37" s="0" t="s">
        <v>163</v>
      </c>
      <c r="D37" s="0" t="s">
        <v>13</v>
      </c>
      <c r="E37" s="0" t="s">
        <v>14</v>
      </c>
      <c r="F37" s="0" t="s">
        <v>14</v>
      </c>
      <c r="G37" s="0" t="s">
        <v>15</v>
      </c>
      <c r="H37" s="0" t="s">
        <v>164</v>
      </c>
      <c r="I37" s="1" t="b">
        <f aca="false">TRUE()</f>
        <v>1</v>
      </c>
      <c r="J37" s="1" t="b">
        <f aca="false">TRUE()</f>
        <v>1</v>
      </c>
    </row>
    <row r="38" customFormat="false" ht="15" hidden="false" customHeight="false" outlineLevel="0" collapsed="false">
      <c r="A38" s="0" t="s">
        <v>165</v>
      </c>
      <c r="B38" s="0" t="s">
        <v>166</v>
      </c>
      <c r="C38" s="0" t="s">
        <v>167</v>
      </c>
      <c r="D38" s="0" t="s">
        <v>13</v>
      </c>
      <c r="E38" s="0" t="s">
        <v>36</v>
      </c>
      <c r="F38" s="0" t="s">
        <v>36</v>
      </c>
      <c r="G38" s="0" t="s">
        <v>41</v>
      </c>
      <c r="H38" s="0" t="s">
        <v>168</v>
      </c>
      <c r="I38" s="1" t="b">
        <f aca="false">TRUE()</f>
        <v>1</v>
      </c>
      <c r="J38" s="1" t="b">
        <f aca="false">TRUE()</f>
        <v>1</v>
      </c>
    </row>
    <row r="39" customFormat="false" ht="15" hidden="false" customHeight="false" outlineLevel="0" collapsed="false">
      <c r="A39" s="0" t="s">
        <v>169</v>
      </c>
      <c r="B39" s="0" t="s">
        <v>170</v>
      </c>
      <c r="C39" s="0" t="s">
        <v>171</v>
      </c>
      <c r="D39" s="0" t="s">
        <v>13</v>
      </c>
      <c r="E39" s="0" t="s">
        <v>26</v>
      </c>
      <c r="F39" s="0" t="s">
        <v>26</v>
      </c>
      <c r="G39" s="0" t="s">
        <v>36</v>
      </c>
      <c r="H39" s="0" t="s">
        <v>172</v>
      </c>
      <c r="I39" s="1" t="b">
        <f aca="false">TRUE()</f>
        <v>1</v>
      </c>
      <c r="J39" s="1" t="b">
        <f aca="false">TRUE()</f>
        <v>1</v>
      </c>
    </row>
    <row r="40" customFormat="false" ht="15" hidden="false" customHeight="false" outlineLevel="0" collapsed="false">
      <c r="A40" s="0" t="s">
        <v>173</v>
      </c>
      <c r="B40" s="0" t="s">
        <v>174</v>
      </c>
      <c r="C40" s="0" t="s">
        <v>175</v>
      </c>
      <c r="D40" s="0" t="s">
        <v>13</v>
      </c>
      <c r="E40" s="0" t="s">
        <v>20</v>
      </c>
      <c r="F40" s="0" t="s">
        <v>20</v>
      </c>
      <c r="G40" s="0" t="s">
        <v>36</v>
      </c>
      <c r="H40" s="0" t="s">
        <v>176</v>
      </c>
      <c r="I40" s="1" t="b">
        <f aca="false">TRUE()</f>
        <v>1</v>
      </c>
      <c r="J40" s="1" t="b">
        <f aca="false">TRUE()</f>
        <v>1</v>
      </c>
    </row>
    <row r="41" customFormat="false" ht="15" hidden="false" customHeight="false" outlineLevel="0" collapsed="false">
      <c r="A41" s="0" t="s">
        <v>177</v>
      </c>
      <c r="B41" s="0" t="s">
        <v>178</v>
      </c>
      <c r="C41" s="0" t="s">
        <v>179</v>
      </c>
      <c r="D41" s="0" t="s">
        <v>13</v>
      </c>
      <c r="E41" s="0" t="s">
        <v>36</v>
      </c>
      <c r="F41" s="0" t="s">
        <v>36</v>
      </c>
      <c r="G41" s="0" t="s">
        <v>41</v>
      </c>
      <c r="H41" s="0" t="s">
        <v>180</v>
      </c>
      <c r="I41" s="1" t="b">
        <f aca="false">TRUE()</f>
        <v>1</v>
      </c>
      <c r="J41" s="1" t="b">
        <f aca="false">TRUE()</f>
        <v>1</v>
      </c>
    </row>
    <row r="42" customFormat="false" ht="15" hidden="false" customHeight="false" outlineLevel="0" collapsed="false">
      <c r="A42" s="0" t="s">
        <v>181</v>
      </c>
      <c r="B42" s="0" t="s">
        <v>182</v>
      </c>
      <c r="C42" s="0" t="s">
        <v>183</v>
      </c>
      <c r="D42" s="0" t="s">
        <v>13</v>
      </c>
      <c r="E42" s="0" t="s">
        <v>20</v>
      </c>
      <c r="F42" s="0" t="s">
        <v>20</v>
      </c>
      <c r="G42" s="0" t="s">
        <v>21</v>
      </c>
      <c r="H42" s="0" t="s">
        <v>184</v>
      </c>
      <c r="I42" s="1" t="b">
        <f aca="false">TRUE()</f>
        <v>1</v>
      </c>
      <c r="J42" s="1" t="b">
        <f aca="false">TRUE()</f>
        <v>1</v>
      </c>
    </row>
    <row r="43" customFormat="false" ht="15" hidden="false" customHeight="false" outlineLevel="0" collapsed="false">
      <c r="A43" s="0" t="s">
        <v>185</v>
      </c>
      <c r="B43" s="0" t="s">
        <v>186</v>
      </c>
      <c r="C43" s="0" t="s">
        <v>187</v>
      </c>
      <c r="D43" s="0" t="s">
        <v>13</v>
      </c>
      <c r="E43" s="0" t="s">
        <v>41</v>
      </c>
      <c r="F43" s="0" t="s">
        <v>41</v>
      </c>
      <c r="G43" s="0" t="s">
        <v>36</v>
      </c>
      <c r="H43" s="0" t="s">
        <v>188</v>
      </c>
      <c r="I43" s="1" t="b">
        <f aca="false">TRUE()</f>
        <v>1</v>
      </c>
      <c r="J43" s="1" t="b">
        <f aca="false">TRUE()</f>
        <v>1</v>
      </c>
    </row>
    <row r="44" customFormat="false" ht="15" hidden="false" customHeight="false" outlineLevel="0" collapsed="false">
      <c r="A44" s="0" t="s">
        <v>189</v>
      </c>
      <c r="B44" s="0" t="s">
        <v>190</v>
      </c>
      <c r="C44" s="0" t="s">
        <v>191</v>
      </c>
      <c r="D44" s="0" t="s">
        <v>13</v>
      </c>
      <c r="E44" s="0" t="s">
        <v>20</v>
      </c>
      <c r="F44" s="0" t="s">
        <v>20</v>
      </c>
      <c r="G44" s="0" t="s">
        <v>21</v>
      </c>
      <c r="H44" s="0" t="s">
        <v>192</v>
      </c>
      <c r="I44" s="1" t="b">
        <f aca="false">TRUE()</f>
        <v>1</v>
      </c>
      <c r="J44" s="1" t="b">
        <f aca="false">TRUE()</f>
        <v>1</v>
      </c>
    </row>
    <row r="45" customFormat="false" ht="15" hidden="false" customHeight="false" outlineLevel="0" collapsed="false">
      <c r="A45" s="0" t="s">
        <v>193</v>
      </c>
      <c r="B45" s="0" t="s">
        <v>194</v>
      </c>
      <c r="C45" s="0" t="s">
        <v>195</v>
      </c>
      <c r="D45" s="0" t="s">
        <v>13</v>
      </c>
      <c r="E45" s="0" t="s">
        <v>102</v>
      </c>
      <c r="F45" s="0" t="s">
        <v>102</v>
      </c>
      <c r="G45" s="0" t="s">
        <v>20</v>
      </c>
      <c r="H45" s="0" t="s">
        <v>196</v>
      </c>
      <c r="I45" s="1" t="b">
        <f aca="false">TRUE()</f>
        <v>1</v>
      </c>
      <c r="J45" s="1" t="b">
        <f aca="false">TRUE()</f>
        <v>1</v>
      </c>
    </row>
    <row r="46" customFormat="false" ht="15" hidden="false" customHeight="false" outlineLevel="0" collapsed="false">
      <c r="A46" s="0" t="s">
        <v>197</v>
      </c>
      <c r="B46" s="0" t="s">
        <v>198</v>
      </c>
      <c r="C46" s="0" t="s">
        <v>199</v>
      </c>
      <c r="D46" s="0" t="s">
        <v>13</v>
      </c>
      <c r="E46" s="0" t="s">
        <v>36</v>
      </c>
      <c r="F46" s="0" t="s">
        <v>36</v>
      </c>
      <c r="G46" s="0" t="s">
        <v>27</v>
      </c>
      <c r="H46" s="0" t="s">
        <v>200</v>
      </c>
      <c r="I46" s="1" t="b">
        <f aca="false">TRUE()</f>
        <v>1</v>
      </c>
      <c r="J46" s="1" t="b">
        <f aca="false">TRUE()</f>
        <v>1</v>
      </c>
    </row>
    <row r="47" customFormat="false" ht="15" hidden="false" customHeight="false" outlineLevel="0" collapsed="false">
      <c r="A47" s="0" t="s">
        <v>201</v>
      </c>
      <c r="B47" s="0" t="s">
        <v>202</v>
      </c>
      <c r="C47" s="0" t="s">
        <v>203</v>
      </c>
      <c r="D47" s="0" t="s">
        <v>13</v>
      </c>
      <c r="E47" s="0" t="s">
        <v>102</v>
      </c>
      <c r="F47" s="0" t="s">
        <v>102</v>
      </c>
      <c r="G47" s="0" t="s">
        <v>36</v>
      </c>
      <c r="H47" s="0" t="s">
        <v>204</v>
      </c>
      <c r="I47" s="1" t="b">
        <f aca="false">TRUE()</f>
        <v>1</v>
      </c>
      <c r="J47" s="1" t="b">
        <f aca="false">TRUE()</f>
        <v>1</v>
      </c>
    </row>
    <row r="48" customFormat="false" ht="15" hidden="false" customHeight="false" outlineLevel="0" collapsed="false">
      <c r="A48" s="0" t="s">
        <v>205</v>
      </c>
      <c r="B48" s="0" t="s">
        <v>206</v>
      </c>
      <c r="C48" s="0" t="s">
        <v>207</v>
      </c>
      <c r="D48" s="0" t="s">
        <v>13</v>
      </c>
      <c r="E48" s="0" t="s">
        <v>26</v>
      </c>
      <c r="F48" s="0" t="s">
        <v>26</v>
      </c>
      <c r="G48" s="0" t="s">
        <v>41</v>
      </c>
      <c r="H48" s="0" t="s">
        <v>208</v>
      </c>
      <c r="I48" s="1" t="b">
        <f aca="false">TRUE()</f>
        <v>1</v>
      </c>
      <c r="J48" s="1" t="b">
        <f aca="false">TRUE()</f>
        <v>1</v>
      </c>
    </row>
    <row r="49" customFormat="false" ht="15" hidden="false" customHeight="false" outlineLevel="0" collapsed="false">
      <c r="A49" s="0" t="s">
        <v>209</v>
      </c>
      <c r="B49" s="0" t="s">
        <v>210</v>
      </c>
      <c r="C49" s="0" t="s">
        <v>211</v>
      </c>
      <c r="D49" s="0" t="s">
        <v>13</v>
      </c>
      <c r="E49" s="0" t="s">
        <v>21</v>
      </c>
      <c r="F49" s="0" t="s">
        <v>21</v>
      </c>
      <c r="G49" s="0" t="s">
        <v>102</v>
      </c>
      <c r="H49" s="0" t="s">
        <v>212</v>
      </c>
      <c r="I49" s="1" t="b">
        <f aca="false">TRUE()</f>
        <v>1</v>
      </c>
      <c r="J49" s="1" t="b">
        <f aca="false">TRUE()</f>
        <v>1</v>
      </c>
    </row>
    <row r="50" customFormat="false" ht="15" hidden="false" customHeight="false" outlineLevel="0" collapsed="false">
      <c r="A50" s="0" t="s">
        <v>213</v>
      </c>
      <c r="B50" s="0" t="s">
        <v>214</v>
      </c>
      <c r="C50" s="0" t="s">
        <v>215</v>
      </c>
      <c r="D50" s="0" t="s">
        <v>13</v>
      </c>
      <c r="E50" s="0" t="s">
        <v>41</v>
      </c>
      <c r="F50" s="0" t="s">
        <v>41</v>
      </c>
      <c r="G50" s="0" t="s">
        <v>21</v>
      </c>
      <c r="H50" s="0" t="s">
        <v>216</v>
      </c>
      <c r="I50" s="1" t="b">
        <f aca="false">TRUE()</f>
        <v>1</v>
      </c>
      <c r="J50" s="1" t="b">
        <f aca="false">TRUE()</f>
        <v>1</v>
      </c>
    </row>
    <row r="51" customFormat="false" ht="15" hidden="false" customHeight="false" outlineLevel="0" collapsed="false">
      <c r="A51" s="0" t="s">
        <v>217</v>
      </c>
      <c r="B51" s="0" t="s">
        <v>218</v>
      </c>
      <c r="C51" s="0" t="s">
        <v>219</v>
      </c>
      <c r="D51" s="0" t="s">
        <v>13</v>
      </c>
      <c r="E51" s="0" t="s">
        <v>26</v>
      </c>
      <c r="F51" s="0" t="s">
        <v>26</v>
      </c>
      <c r="G51" s="0" t="s">
        <v>41</v>
      </c>
      <c r="H51" s="0" t="s">
        <v>220</v>
      </c>
      <c r="I51" s="1" t="b">
        <f aca="false">TRUE()</f>
        <v>1</v>
      </c>
      <c r="J51" s="1" t="b">
        <f aca="false">TRUE()</f>
        <v>1</v>
      </c>
    </row>
    <row r="52" customFormat="false" ht="15" hidden="false" customHeight="false" outlineLevel="0" collapsed="false">
      <c r="A52" s="0" t="s">
        <v>221</v>
      </c>
      <c r="B52" s="0" t="s">
        <v>222</v>
      </c>
      <c r="C52" s="0" t="s">
        <v>223</v>
      </c>
      <c r="D52" s="0" t="s">
        <v>13</v>
      </c>
      <c r="E52" s="0" t="s">
        <v>36</v>
      </c>
      <c r="F52" s="0" t="s">
        <v>27</v>
      </c>
      <c r="G52" s="0" t="s">
        <v>26</v>
      </c>
      <c r="H52" s="0" t="s">
        <v>224</v>
      </c>
      <c r="I52" s="2" t="b">
        <f aca="false">FALSE()</f>
        <v>0</v>
      </c>
      <c r="J52" s="1" t="b">
        <f aca="false">FALSE()</f>
        <v>0</v>
      </c>
      <c r="M52" s="0" t="s">
        <v>225</v>
      </c>
    </row>
    <row r="53" customFormat="false" ht="45.1" hidden="false" customHeight="false" outlineLevel="0" collapsed="false">
      <c r="A53" s="0" t="s">
        <v>226</v>
      </c>
      <c r="B53" s="0" t="s">
        <v>227</v>
      </c>
      <c r="C53" s="3" t="s">
        <v>228</v>
      </c>
      <c r="D53" s="0" t="s">
        <v>13</v>
      </c>
      <c r="E53" s="0" t="s">
        <v>102</v>
      </c>
      <c r="F53" s="0" t="s">
        <v>102</v>
      </c>
      <c r="G53" s="0" t="s">
        <v>20</v>
      </c>
      <c r="H53" s="0" t="s">
        <v>229</v>
      </c>
      <c r="I53" s="1" t="b">
        <f aca="false">TRUE()</f>
        <v>1</v>
      </c>
      <c r="J53" s="1" t="b">
        <f aca="false">TRUE()</f>
        <v>1</v>
      </c>
    </row>
    <row r="54" customFormat="false" ht="15" hidden="false" customHeight="false" outlineLevel="0" collapsed="false">
      <c r="A54" s="0" t="s">
        <v>230</v>
      </c>
      <c r="B54" s="0" t="s">
        <v>231</v>
      </c>
      <c r="C54" s="0" t="s">
        <v>232</v>
      </c>
      <c r="D54" s="0" t="s">
        <v>13</v>
      </c>
      <c r="E54" s="0" t="s">
        <v>26</v>
      </c>
      <c r="F54" s="0" t="s">
        <v>26</v>
      </c>
      <c r="G54" s="0" t="s">
        <v>36</v>
      </c>
      <c r="H54" s="0" t="s">
        <v>233</v>
      </c>
      <c r="I54" s="1" t="b">
        <f aca="false">TRUE()</f>
        <v>1</v>
      </c>
      <c r="J54" s="1" t="b">
        <f aca="false">TRUE()</f>
        <v>1</v>
      </c>
    </row>
    <row r="55" customFormat="false" ht="15" hidden="false" customHeight="false" outlineLevel="0" collapsed="false">
      <c r="A55" s="0" t="s">
        <v>234</v>
      </c>
      <c r="B55" s="0" t="s">
        <v>235</v>
      </c>
      <c r="C55" s="0" t="s">
        <v>236</v>
      </c>
      <c r="D55" s="0" t="s">
        <v>13</v>
      </c>
      <c r="E55" s="0" t="s">
        <v>27</v>
      </c>
      <c r="F55" s="0" t="s">
        <v>27</v>
      </c>
      <c r="G55" s="0" t="s">
        <v>41</v>
      </c>
      <c r="H55" s="0" t="s">
        <v>237</v>
      </c>
      <c r="I55" s="1" t="b">
        <f aca="false">TRUE()</f>
        <v>1</v>
      </c>
      <c r="J55" s="1" t="b">
        <f aca="false">TRUE()</f>
        <v>1</v>
      </c>
    </row>
    <row r="56" customFormat="false" ht="15" hidden="false" customHeight="false" outlineLevel="0" collapsed="false">
      <c r="A56" s="0" t="s">
        <v>238</v>
      </c>
      <c r="B56" s="0" t="s">
        <v>239</v>
      </c>
      <c r="C56" s="0" t="s">
        <v>240</v>
      </c>
      <c r="D56" s="0" t="s">
        <v>13</v>
      </c>
      <c r="E56" s="0" t="s">
        <v>14</v>
      </c>
      <c r="F56" s="0" t="s">
        <v>14</v>
      </c>
      <c r="G56" s="0" t="s">
        <v>20</v>
      </c>
      <c r="H56" s="0" t="s">
        <v>241</v>
      </c>
      <c r="I56" s="1" t="b">
        <f aca="false">TRUE()</f>
        <v>1</v>
      </c>
      <c r="J56" s="1" t="b">
        <f aca="false">TRUE()</f>
        <v>1</v>
      </c>
    </row>
    <row r="57" customFormat="false" ht="15" hidden="false" customHeight="false" outlineLevel="0" collapsed="false">
      <c r="A57" s="0" t="s">
        <v>242</v>
      </c>
      <c r="B57" s="0" t="s">
        <v>243</v>
      </c>
      <c r="C57" s="0" t="s">
        <v>244</v>
      </c>
      <c r="D57" s="0" t="s">
        <v>13</v>
      </c>
      <c r="E57" s="0" t="s">
        <v>14</v>
      </c>
      <c r="F57" s="0" t="s">
        <v>14</v>
      </c>
      <c r="G57" s="0" t="s">
        <v>15</v>
      </c>
      <c r="H57" s="0" t="s">
        <v>245</v>
      </c>
      <c r="I57" s="1" t="b">
        <f aca="false">TRUE()</f>
        <v>1</v>
      </c>
      <c r="J57" s="1" t="b">
        <f aca="false">TRUE()</f>
        <v>1</v>
      </c>
    </row>
    <row r="58" customFormat="false" ht="15" hidden="false" customHeight="false" outlineLevel="0" collapsed="false">
      <c r="A58" s="0" t="s">
        <v>246</v>
      </c>
      <c r="B58" s="0" t="s">
        <v>247</v>
      </c>
      <c r="C58" s="0" t="s">
        <v>248</v>
      </c>
      <c r="D58" s="0" t="s">
        <v>13</v>
      </c>
      <c r="E58" s="0" t="s">
        <v>41</v>
      </c>
      <c r="F58" s="0" t="s">
        <v>36</v>
      </c>
      <c r="G58" s="0" t="s">
        <v>41</v>
      </c>
      <c r="H58" s="0" t="s">
        <v>249</v>
      </c>
      <c r="I58" s="2" t="b">
        <f aca="false">FALSE()</f>
        <v>0</v>
      </c>
      <c r="J58" s="1" t="b">
        <f aca="false">TRUE()</f>
        <v>1</v>
      </c>
      <c r="M58" s="0" t="s">
        <v>250</v>
      </c>
    </row>
    <row r="59" customFormat="false" ht="15" hidden="false" customHeight="false" outlineLevel="0" collapsed="false">
      <c r="A59" s="0" t="s">
        <v>251</v>
      </c>
      <c r="B59" s="0" t="s">
        <v>252</v>
      </c>
      <c r="C59" s="0" t="s">
        <v>253</v>
      </c>
      <c r="D59" s="0" t="s">
        <v>13</v>
      </c>
      <c r="E59" s="0" t="s">
        <v>14</v>
      </c>
      <c r="F59" s="0" t="s">
        <v>14</v>
      </c>
      <c r="G59" s="0" t="s">
        <v>36</v>
      </c>
      <c r="H59" s="0" t="s">
        <v>254</v>
      </c>
      <c r="I59" s="1" t="b">
        <f aca="false">TRUE()</f>
        <v>1</v>
      </c>
      <c r="J59" s="1" t="b">
        <f aca="false">TRUE()</f>
        <v>1</v>
      </c>
    </row>
    <row r="60" customFormat="false" ht="15" hidden="false" customHeight="false" outlineLevel="0" collapsed="false">
      <c r="A60" s="0" t="s">
        <v>255</v>
      </c>
      <c r="B60" s="0" t="s">
        <v>256</v>
      </c>
      <c r="C60" s="0" t="s">
        <v>257</v>
      </c>
      <c r="D60" s="0" t="s">
        <v>13</v>
      </c>
      <c r="E60" s="0" t="s">
        <v>41</v>
      </c>
      <c r="F60" s="0" t="s">
        <v>41</v>
      </c>
      <c r="G60" s="0" t="s">
        <v>36</v>
      </c>
      <c r="H60" s="0" t="s">
        <v>258</v>
      </c>
      <c r="I60" s="1" t="b">
        <f aca="false">TRUE()</f>
        <v>1</v>
      </c>
      <c r="J60" s="1" t="b">
        <f aca="false">TRUE()</f>
        <v>1</v>
      </c>
    </row>
    <row r="61" customFormat="false" ht="15" hidden="false" customHeight="false" outlineLevel="0" collapsed="false">
      <c r="A61" s="0" t="s">
        <v>259</v>
      </c>
      <c r="B61" s="0" t="s">
        <v>260</v>
      </c>
      <c r="C61" s="0" t="s">
        <v>261</v>
      </c>
      <c r="D61" s="0" t="s">
        <v>13</v>
      </c>
      <c r="E61" s="0" t="s">
        <v>21</v>
      </c>
      <c r="F61" s="0" t="s">
        <v>21</v>
      </c>
      <c r="G61" s="0" t="s">
        <v>36</v>
      </c>
      <c r="H61" s="0" t="s">
        <v>262</v>
      </c>
      <c r="I61" s="1" t="b">
        <f aca="false">TRUE()</f>
        <v>1</v>
      </c>
      <c r="J61" s="1" t="b">
        <f aca="false">TRUE()</f>
        <v>1</v>
      </c>
    </row>
    <row r="62" customFormat="false" ht="15" hidden="false" customHeight="false" outlineLevel="0" collapsed="false">
      <c r="A62" s="0" t="s">
        <v>263</v>
      </c>
      <c r="B62" s="0" t="s">
        <v>264</v>
      </c>
      <c r="C62" s="0" t="s">
        <v>265</v>
      </c>
      <c r="D62" s="0" t="s">
        <v>13</v>
      </c>
      <c r="E62" s="0" t="s">
        <v>102</v>
      </c>
      <c r="F62" s="0" t="s">
        <v>102</v>
      </c>
      <c r="G62" s="0" t="s">
        <v>20</v>
      </c>
      <c r="H62" s="0" t="s">
        <v>266</v>
      </c>
      <c r="I62" s="1" t="b">
        <f aca="false">TRUE()</f>
        <v>1</v>
      </c>
      <c r="J62" s="1" t="b">
        <f aca="false">TRUE()</f>
        <v>1</v>
      </c>
    </row>
    <row r="63" customFormat="false" ht="15" hidden="false" customHeight="false" outlineLevel="0" collapsed="false">
      <c r="A63" s="0" t="s">
        <v>267</v>
      </c>
      <c r="B63" s="0" t="s">
        <v>268</v>
      </c>
      <c r="C63" s="0" t="s">
        <v>269</v>
      </c>
      <c r="D63" s="0" t="s">
        <v>13</v>
      </c>
      <c r="E63" s="0" t="s">
        <v>102</v>
      </c>
      <c r="F63" s="0" t="s">
        <v>102</v>
      </c>
      <c r="G63" s="0" t="s">
        <v>27</v>
      </c>
      <c r="H63" s="0" t="s">
        <v>270</v>
      </c>
      <c r="I63" s="1" t="b">
        <f aca="false">TRUE()</f>
        <v>1</v>
      </c>
      <c r="J63" s="1" t="b">
        <f aca="false">TRUE()</f>
        <v>1</v>
      </c>
    </row>
    <row r="64" customFormat="false" ht="15" hidden="false" customHeight="false" outlineLevel="0" collapsed="false">
      <c r="A64" s="0" t="s">
        <v>271</v>
      </c>
      <c r="B64" s="0" t="s">
        <v>272</v>
      </c>
      <c r="C64" s="0" t="s">
        <v>273</v>
      </c>
      <c r="D64" s="0" t="s">
        <v>13</v>
      </c>
      <c r="E64" s="0" t="s">
        <v>20</v>
      </c>
      <c r="F64" s="0" t="s">
        <v>20</v>
      </c>
      <c r="G64" s="0" t="s">
        <v>21</v>
      </c>
      <c r="H64" s="0" t="s">
        <v>274</v>
      </c>
      <c r="I64" s="1" t="b">
        <f aca="false">TRUE()</f>
        <v>1</v>
      </c>
      <c r="J64" s="1" t="b">
        <f aca="false">TRUE()</f>
        <v>1</v>
      </c>
    </row>
    <row r="65" customFormat="false" ht="15" hidden="false" customHeight="false" outlineLevel="0" collapsed="false">
      <c r="A65" s="0" t="s">
        <v>275</v>
      </c>
      <c r="B65" s="0" t="s">
        <v>276</v>
      </c>
      <c r="C65" s="0" t="s">
        <v>277</v>
      </c>
      <c r="D65" s="0" t="s">
        <v>13</v>
      </c>
      <c r="E65" s="0" t="s">
        <v>20</v>
      </c>
      <c r="F65" s="0" t="s">
        <v>21</v>
      </c>
      <c r="G65" s="0" t="s">
        <v>20</v>
      </c>
      <c r="H65" s="0" t="s">
        <v>278</v>
      </c>
      <c r="I65" s="2" t="b">
        <f aca="false">FALSE()</f>
        <v>0</v>
      </c>
      <c r="J65" s="1" t="b">
        <f aca="false">TRUE()</f>
        <v>1</v>
      </c>
      <c r="M65" s="0" t="s">
        <v>279</v>
      </c>
    </row>
    <row r="66" customFormat="false" ht="15" hidden="false" customHeight="false" outlineLevel="0" collapsed="false">
      <c r="A66" s="0" t="s">
        <v>280</v>
      </c>
      <c r="B66" s="0" t="s">
        <v>281</v>
      </c>
      <c r="C66" s="0" t="s">
        <v>282</v>
      </c>
      <c r="D66" s="0" t="s">
        <v>13</v>
      </c>
      <c r="E66" s="0" t="s">
        <v>14</v>
      </c>
      <c r="F66" s="0" t="s">
        <v>14</v>
      </c>
      <c r="G66" s="0" t="s">
        <v>15</v>
      </c>
      <c r="H66" s="0" t="s">
        <v>283</v>
      </c>
      <c r="I66" s="1" t="b">
        <f aca="false">TRUE()</f>
        <v>1</v>
      </c>
      <c r="J66" s="1" t="b">
        <f aca="false">TRUE()</f>
        <v>1</v>
      </c>
    </row>
    <row r="67" customFormat="false" ht="15" hidden="false" customHeight="false" outlineLevel="0" collapsed="false">
      <c r="A67" s="0" t="s">
        <v>284</v>
      </c>
      <c r="B67" s="0" t="s">
        <v>285</v>
      </c>
      <c r="C67" s="0" t="s">
        <v>286</v>
      </c>
      <c r="D67" s="0" t="s">
        <v>13</v>
      </c>
      <c r="E67" s="0" t="s">
        <v>20</v>
      </c>
      <c r="F67" s="0" t="s">
        <v>20</v>
      </c>
      <c r="G67" s="0" t="s">
        <v>36</v>
      </c>
      <c r="H67" s="0" t="s">
        <v>287</v>
      </c>
      <c r="I67" s="1" t="b">
        <f aca="false">TRUE()</f>
        <v>1</v>
      </c>
      <c r="J67" s="1" t="b">
        <f aca="false">TRUE()</f>
        <v>1</v>
      </c>
    </row>
    <row r="68" customFormat="false" ht="15" hidden="false" customHeight="false" outlineLevel="0" collapsed="false">
      <c r="A68" s="0" t="s">
        <v>288</v>
      </c>
      <c r="B68" s="0" t="s">
        <v>289</v>
      </c>
      <c r="C68" s="0" t="s">
        <v>290</v>
      </c>
      <c r="D68" s="0" t="s">
        <v>13</v>
      </c>
      <c r="E68" s="0" t="s">
        <v>26</v>
      </c>
      <c r="F68" s="0" t="s">
        <v>26</v>
      </c>
      <c r="G68" s="0" t="s">
        <v>41</v>
      </c>
      <c r="H68" s="0" t="s">
        <v>291</v>
      </c>
      <c r="I68" s="1" t="b">
        <f aca="false">TRUE()</f>
        <v>1</v>
      </c>
      <c r="J68" s="1" t="b">
        <f aca="false">TRUE()</f>
        <v>1</v>
      </c>
    </row>
    <row r="72" customFormat="false" ht="15" hidden="false" customHeight="false" outlineLevel="0" collapsed="false">
      <c r="B72" s="0" t="s">
        <v>222</v>
      </c>
      <c r="C72" s="0" t="s">
        <v>223</v>
      </c>
      <c r="D72" s="0" t="s">
        <v>13</v>
      </c>
      <c r="E72" s="0" t="s">
        <v>36</v>
      </c>
      <c r="F72" s="0" t="s">
        <v>27</v>
      </c>
      <c r="G72" s="0" t="s">
        <v>26</v>
      </c>
      <c r="H72" s="0" t="s">
        <v>224</v>
      </c>
      <c r="I72" s="2" t="b">
        <v>0</v>
      </c>
      <c r="J72" s="1" t="b">
        <v>0</v>
      </c>
      <c r="M72" s="0" t="s">
        <v>225</v>
      </c>
    </row>
    <row r="73" customFormat="false" ht="15" hidden="false" customHeight="false" outlineLevel="0" collapsed="false">
      <c r="B73" s="0" t="s">
        <v>247</v>
      </c>
      <c r="C73" s="0" t="s">
        <v>248</v>
      </c>
      <c r="D73" s="0" t="s">
        <v>13</v>
      </c>
      <c r="E73" s="0" t="s">
        <v>41</v>
      </c>
      <c r="F73" s="0" t="s">
        <v>36</v>
      </c>
      <c r="G73" s="0" t="s">
        <v>41</v>
      </c>
      <c r="H73" s="0" t="s">
        <v>249</v>
      </c>
      <c r="I73" s="2" t="b">
        <v>0</v>
      </c>
      <c r="J73" s="1" t="b">
        <v>1</v>
      </c>
      <c r="M73" s="0" t="s">
        <v>250</v>
      </c>
    </row>
    <row r="74" customFormat="false" ht="15" hidden="false" customHeight="false" outlineLevel="0" collapsed="false">
      <c r="B74" s="0" t="s">
        <v>276</v>
      </c>
      <c r="C74" s="0" t="s">
        <v>277</v>
      </c>
      <c r="D74" s="0" t="s">
        <v>13</v>
      </c>
      <c r="E74" s="0" t="s">
        <v>20</v>
      </c>
      <c r="F74" s="0" t="s">
        <v>21</v>
      </c>
      <c r="G74" s="0" t="s">
        <v>20</v>
      </c>
      <c r="H74" s="0" t="s">
        <v>278</v>
      </c>
      <c r="I74" s="2" t="b">
        <v>0</v>
      </c>
      <c r="J74" s="1" t="b">
        <v>1</v>
      </c>
      <c r="M74" s="0"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292</v>
      </c>
      <c r="C1" s="0" t="s">
        <v>8</v>
      </c>
      <c r="D1" s="0" t="s">
        <v>293</v>
      </c>
      <c r="E1" s="0" t="s">
        <v>294</v>
      </c>
      <c r="F1" s="0" t="s">
        <v>295</v>
      </c>
    </row>
    <row r="2" customFormat="false" ht="15" hidden="false" customHeight="false" outlineLevel="0" collapsed="false">
      <c r="A2" s="0" t="s">
        <v>20</v>
      </c>
      <c r="B2" s="0" t="n">
        <v>9</v>
      </c>
      <c r="C2" s="0" t="n">
        <v>8</v>
      </c>
      <c r="D2" s="0" t="n">
        <v>9</v>
      </c>
      <c r="E2" s="0" t="s">
        <v>296</v>
      </c>
      <c r="F2" s="0" t="s">
        <v>297</v>
      </c>
    </row>
    <row r="3" customFormat="false" ht="15" hidden="false" customHeight="false" outlineLevel="0" collapsed="false">
      <c r="A3" s="0" t="s">
        <v>21</v>
      </c>
      <c r="B3" s="0" t="n">
        <v>7</v>
      </c>
      <c r="C3" s="0" t="n">
        <v>7</v>
      </c>
      <c r="D3" s="0" t="n">
        <v>7</v>
      </c>
      <c r="E3" s="0" t="s">
        <v>297</v>
      </c>
      <c r="F3" s="0" t="s">
        <v>297</v>
      </c>
    </row>
    <row r="4" customFormat="false" ht="15" hidden="false" customHeight="false" outlineLevel="0" collapsed="false">
      <c r="A4" s="0" t="s">
        <v>102</v>
      </c>
      <c r="B4" s="0" t="n">
        <v>6</v>
      </c>
      <c r="C4" s="0" t="n">
        <v>6</v>
      </c>
      <c r="D4" s="0" t="n">
        <v>6</v>
      </c>
      <c r="E4" s="0" t="s">
        <v>297</v>
      </c>
      <c r="F4" s="0" t="s">
        <v>297</v>
      </c>
    </row>
    <row r="5" customFormat="false" ht="15" hidden="false" customHeight="false" outlineLevel="0" collapsed="false">
      <c r="A5" s="0" t="s">
        <v>26</v>
      </c>
      <c r="B5" s="0" t="n">
        <v>10</v>
      </c>
      <c r="C5" s="0" t="n">
        <v>10</v>
      </c>
      <c r="D5" s="0" t="n">
        <v>10</v>
      </c>
      <c r="E5" s="0" t="s">
        <v>297</v>
      </c>
      <c r="F5" s="0" t="s">
        <v>297</v>
      </c>
    </row>
    <row r="6" customFormat="false" ht="15" hidden="false" customHeight="false" outlineLevel="0" collapsed="false">
      <c r="A6" s="0" t="s">
        <v>15</v>
      </c>
      <c r="B6" s="0" t="n">
        <v>2</v>
      </c>
      <c r="C6" s="0" t="n">
        <v>2</v>
      </c>
      <c r="D6" s="0" t="n">
        <v>2</v>
      </c>
      <c r="E6" s="0" t="s">
        <v>297</v>
      </c>
      <c r="F6" s="0" t="s">
        <v>297</v>
      </c>
    </row>
    <row r="7" customFormat="false" ht="15" hidden="false" customHeight="false" outlineLevel="0" collapsed="false">
      <c r="A7" s="0" t="s">
        <v>27</v>
      </c>
      <c r="B7" s="0" t="n">
        <v>3</v>
      </c>
      <c r="C7" s="0" t="n">
        <v>3</v>
      </c>
      <c r="D7" s="0" t="n">
        <v>3</v>
      </c>
      <c r="E7" s="0" t="s">
        <v>297</v>
      </c>
      <c r="F7" s="0" t="s">
        <v>297</v>
      </c>
    </row>
    <row r="8" customFormat="false" ht="15" hidden="false" customHeight="false" outlineLevel="0" collapsed="false">
      <c r="A8" s="0" t="s">
        <v>41</v>
      </c>
      <c r="B8" s="0" t="n">
        <v>6</v>
      </c>
      <c r="C8" s="0" t="n">
        <v>5</v>
      </c>
      <c r="D8" s="0" t="n">
        <v>6</v>
      </c>
      <c r="E8" s="0" t="s">
        <v>298</v>
      </c>
      <c r="F8" s="0" t="s">
        <v>297</v>
      </c>
    </row>
    <row r="9" customFormat="false" ht="15" hidden="false" customHeight="false" outlineLevel="0" collapsed="false">
      <c r="A9" s="0" t="s">
        <v>36</v>
      </c>
      <c r="B9" s="0" t="n">
        <v>11</v>
      </c>
      <c r="C9" s="0" t="n">
        <v>10</v>
      </c>
      <c r="D9" s="0" t="n">
        <v>10</v>
      </c>
      <c r="E9" s="0" t="s">
        <v>299</v>
      </c>
      <c r="F9" s="0" t="s">
        <v>299</v>
      </c>
    </row>
    <row r="10" customFormat="false" ht="15" hidden="false" customHeight="false" outlineLevel="0" collapsed="false">
      <c r="A10" s="0" t="s">
        <v>14</v>
      </c>
      <c r="B10" s="0" t="n">
        <v>13</v>
      </c>
      <c r="C10" s="0" t="n">
        <v>13</v>
      </c>
      <c r="D10" s="0" t="n">
        <v>13</v>
      </c>
      <c r="E10" s="0" t="s">
        <v>297</v>
      </c>
      <c r="F10" s="0"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300</v>
      </c>
      <c r="B1" s="0" t="s">
        <v>301</v>
      </c>
      <c r="C1" s="0" t="s">
        <v>292</v>
      </c>
    </row>
    <row r="2" customFormat="false" ht="15" hidden="false" customHeight="false" outlineLevel="0" collapsed="false">
      <c r="A2" s="0" t="s">
        <v>302</v>
      </c>
      <c r="B2" s="0" t="s">
        <v>303</v>
      </c>
      <c r="C2" s="0" t="n">
        <v>67</v>
      </c>
    </row>
    <row r="3" customFormat="false" ht="15" hidden="false" customHeight="false" outlineLevel="0" collapsed="false">
      <c r="A3" s="0" t="s">
        <v>304</v>
      </c>
      <c r="B3" s="0" t="s">
        <v>305</v>
      </c>
      <c r="C3" s="0" t="n">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45</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2026-06-26T08:58:01Z</dcterms:created>
  <dc:creator>openpyxl</dc:creator>
  <dc:description/>
  <dc:language>en-GB</dc:language>
  <cp:lastModifiedBy/>
  <dcterms:modified xsi:type="dcterms:W3CDTF">2026-06-26T10:54:39Z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