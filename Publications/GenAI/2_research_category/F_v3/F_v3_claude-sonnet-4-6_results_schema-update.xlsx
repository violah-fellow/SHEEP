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<sst xmlns="http://schemas.openxmlformats.org/spreadsheetml/2006/main" count="277" uniqueCount="147">
  <si>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</si>
  <si>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</si>
  <si>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</si>
  <si>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</si>
  <si>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</si>
  <si>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</si>
  <si>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</si>
  <si>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</si>
  <si>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</si>
  <si>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</si>
  <si>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</si>
  <si>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</si>
  <si>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</si>
  <si>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</si>
  <si>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F</t>
  </si>
  <si>
    <t xml:space="preserve">Bioprocess design</t>
  </si>
  <si>
    <t xml:space="preserve">Other</t>
  </si>
  <si>
    <t xml:space="preserve">Feedstocks</t>
  </si>
  <si>
    <t xml:space="preserve">This paper develops an AI/LLM framework tool to support sustainable protein research rather than directly conducting experimental or analytical work in any specific protein research category; the secondary focus on waste carbon/side-streams as feedstocks for microbial protein production is contextual motivation rather than the primary experimental contribution.</t>
  </si>
  <si>
    <t xml:space="preserve">Other is fine. I think it truly is more Other anyway.</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</si>
  <si>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</si>
  <si>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</si>
  <si>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</si>
  <si>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Ingredient optimisation</t>
  </si>
  <si>
    <t xml:space="preserve">The study's primary novelty is using liquid digestate (a waste stream) as an alternative cultivation medium for microalgae, comparing biomass composition and quality outcomes against standard media; secondary focus is on characterising the resulting biomass's nutritional and functional properties (protein, fatty acids, pigments, antioxidants, cytotoxicity) as potential food/feed ingredients.</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</si>
  <si>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</si>
  <si>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</si>
  <si>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</si>
  <si>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Strain development</t>
  </si>
  <si>
    <t xml:space="preserve">The study optimises fermentation conditions (SSF vs SmF) to produce M. purpureus biomass and then characterises the resulting ingredient's protein content, amino acid profile, antioxidant activity, and functional properties (emulsification, gelling, foaming), making ingredient-level characterisation the primary focus with bioprocess optimisation as a secondary contribution.</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</si>
  <si>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</si>
  <si>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</si>
  <si>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</si>
  <si>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Target molecule selection</t>
  </si>
  <si>
    <t xml:space="preserve">The paper's primary contribution is the recombinant expression and characterisation of a cold-active transglutaminase in E. coli, which is a precision fermentation target molecule; the secondary focus is the application of this enzyme to modify and improve the functional properties of pea protein hydrolysates as an ingredient.</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</si>
  <si>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</si>
  <si>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</si>
  <si>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</si>
  <si>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</si>
  <si>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This is a roundtable discussion/workshop report covering policy, dietary guidelines, and broad considerations around fungal protein, spanning health, sustainability, and consumer communication without a single primary experimental or analytical focus.</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</si>
  <si>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</si>
  <si>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</si>
  <si>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</si>
  <si>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is a broad review article covering multiple aspects of SSF (microbial strains, substrate selection, fermentation conditions, nutritional and sensory outcomes) rather than presenting primary experimental work focused on a single research category.</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</si>
  <si>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</si>
  <si>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</si>
  <si>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</si>
  <si>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paper's primary focus is measuring protein digestibility and indispensable amino acid scores as nutritional quality endpoints using the INFOGEST in vitro digestion model, with digestibility and bioaccessibility as the central research questions rather than ingredient functionalisation or product development.</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</si>
  <si>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</si>
  <si>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</si>
  <si>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</si>
  <si>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study's primary novelty is the use of winery and distillery by-products (grape marc, wine lees, vinasse) as alternative feedstocks for cultivating edible filamentous fungi, while the nutritional characterisation (protein digestibility, amino acid profile, mineral accessibility) of the resulting biomass represents ingredient-level quality assessment.</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</si>
  <si>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</si>
  <si>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</si>
  <si>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</si>
  <si>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paper investigates using industrial flue gas CO2 as a carbon feedstock for microalgal biomass production, optimising growth conditions for a specific microalga strain to capture emissions and generate protein-rich biomass, making novel feedstock use the primary focus with strain performance evaluation as secondary.</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</si>
  <si>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</si>
  <si>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</si>
  <si>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</si>
  <si>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 directly engineers E. coli to express and phosphorylate recombinant αs1-casein using bacterial kinases and phosphomimetic substitutions, then characterises the resulting molecule's functional properties — a clear case of precision fermentation target molecule engineering and characterisation, with strain engineering as a supporting contribution.</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</si>
  <si>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</si>
  <si>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</si>
  <si>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</si>
  <si>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paper directly investigates enzymatic hydrolysis of fungal mycelium to improve its taste and functional properties as an ingredient, while also using potato pulp waste as a novel fermentation substrate for mycelium cultivation.</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</si>
  <si>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</si>
  <si>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</si>
  <si>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</si>
  <si>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The paper presents a roadmap for engineering hydrogen-oxidising bacteria as cell factories for precision fermentation of recombinant proteins (using secreted milk protein as a case study), making target molecule production the primary focus, with bioprocess and bioreactor design as a key secondary theme.</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</si>
  <si>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</si>
  <si>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</si>
  <si>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</si>
  <si>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paper screens promoter systems and engineers diploid strains in Pichia pastoris to express and produce recombinant napin, then characterises the resulting molecule's structure and functional properties as a food ingredient, fitting Target Molecule Selection; the strain engineering efforts (promoter choice, ploidy) to improve yield also constitute Strain Development.</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</si>
  <si>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</si>
  <si>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</si>
  <si>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</si>
  <si>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study's primary experimental focus is on digestibility and nutrient bioaccessibility of Chlorella vulgaris using an in vitro digestion model, with digestibility as the central research question and physiological relevance as the core aim, while secondarily characterising the ingredient's structural and biochemical properties during digestion.</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</si>
  <si>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</si>
  <si>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</si>
  <si>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</si>
  <si>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investigates how carbon/nitrogen limitation and biological nitrogen fixation alter the biomass composition and growth kinetics of purple non-sulphur bacteria, which is primarily about steering microbial cell properties and nutritional profile — fitting Strain Development; the use of H2/CO2 as feedstocks and nitrogen fixation as an alternative nitrogen source also places this within Feedstocks as a secondary focus.</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</si>
  <si>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</si>
  <si>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</si>
  <si>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</si>
  <si>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Impact assessments</t>
  </si>
  <si>
    <t xml:space="preserve">The paper develops a quantitative diet optimization model to assess the environmental (GHGE) and nutritional impacts of incorporating mycoprotein into Finnish diets, making structured impact assessment its primary contribution, with nutritional adequacy as a key secondary analytical dimension.</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</si>
  <si>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</si>
  <si>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</si>
  <si>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</si>
  <si>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Food safety &amp; quality</t>
  </si>
  <si>
    <t xml:space="preserve">The paper primarily assesses the mycotoxin-free safety profile of an A. oryzae strain lineage through characterisation of deleted biosynthetic gene clusters and regulatory qualification, while secondarily describing the strain engineering (chromosomal deletions, gene cluster inactivations) that achieved this safety profile.</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</si>
  <si>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</si>
  <si>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</si>
  <si>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</si>
  <si>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study's primary focus is measuring in-vitro protein digestibility of mycoprotein under physiologically relevant older adult gastrointestinal conditions, with digestibility and nutritional bioaccessibility as the central research question, making Health &amp; Nutrition the primary category; secondary characterisation of mycoprotein's amino acid profile and digestibility properties also touches on Ingredient Optimisation.</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</si>
  <si>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</si>
  <si>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</si>
  <si>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</si>
  <si>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paper's primary experimental focus is measuring physiological outcomes of yeast-based protein digestion — digestibility, amino acid bioaccessibility, colonic fermentation, microbial composition, and SCFA production — making digestibility and nutritional bioaccessibility the central research questions with physiological relevance as the endpoint, placing it in Health &amp; Nutrition; secondary characterisation of the ingredient's nutritional profile also touches on Ingredient Optimisation.</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</si>
  <si>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</si>
  <si>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</si>
  <si>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</si>
  <si>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primary experimental focus is in vitro protein digestibility, amino acid bioaccessibility, DIAAS protein quality scoring, and gut microbiome modulation — all physiological/nutritional outcome measures — making Health &amp; Nutrition the lead category, while the ingredient-level characterisation of bioprocessed brewer's spent yeast also fits Ingredient Optimisation.</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</si>
  <si>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</si>
  <si>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</si>
  <si>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</si>
  <si>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paper directly investigates modifications to culture media and a novel yeast immobilization method to improve the lipid content of filamentous fungal biomass as an ingredient, characterising biomass productivity, lipid, and protein content — this is ingredient-level optimisation of a single-cell/mycoprotein ingredient, with secondary relevance to strain/organism selection (A. oryzae vs A. brunnescens, pellet vs biofilm morphologies).</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</si>
  <si>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</si>
  <si>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</si>
  <si>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</si>
  <si>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paper's primary novelty is using sulfide-rich biogas (a waste stream) as a feedstock for microbial protein production, while the hollow fiber membrane bioreactor design and gas loading rate optimisation represent secondary bioprocess engineering contributions.</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</si>
  <si>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</si>
  <si>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</si>
  <si>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</si>
  <si>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The paper conducts a structured policy/regulatory content analysis of European documents governing microbial biomass value chains, which qualifies as a systematic assessment of policy and regulatory impacts; food safety and regulatory compliance are the secondary focus in identifying gaps and hurdles.</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</si>
  <si>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</si>
  <si>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</si>
  <si>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</si>
  <si>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This review is narrowly and exclusively focused on recombinant egg protein production via precision fermentation, covering expression hosts, protein titers, and functionality of specific target molecules (ovalbumin, ovomucoid, etc.), with secondary emphasis on bioprocess challenges including upstream, bioproduction, and downstream processing.</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</si>
  <si>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</si>
  <si>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</si>
  <si>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</si>
  <si>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This is a qualitative risk/hazard assessment (HAZSCAN) of a hypothetical future cell factory, focused on occupational, product, and environmental safety of the manufacturing facility and its operations rather than on food safety of the product itself or any specific technical research category; the closest secondary relevance is Feedstocks given the emphasis on side streams as raw materials and risks from raw material quality and availability.</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</si>
  <si>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</si>
  <si>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</si>
  <si>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</si>
  <si>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paper's primary novelty is the use of mine water as an alternative, low-cost feedstock for Spirulina cultivation, with biochemical composition (protein, lipid, carbohydrate) of the resulting biomass as the key outcome metric.</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</si>
  <si>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</si>
  <si>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</si>
  <si>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</si>
  <si>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covering multiple applications of fungal fermentation across diverse substrates and product types (mycoproteins, enzymes, biochemicals, biomaterials), spanning feedstocks, bioprocess design, strain development, and safety, making it too cross-cutting for any single specific category; Feedstocks is the closest secondary fit given the emphasis on valorising industrial side streams and waste substrates.</t>
  </si>
  <si>
    <t xml:space="preserve">n</t>
  </si>
  <si>
    <t xml:space="preserve">top2_correct</t>
  </si>
  <si>
    <t xml:space="preserve">primary_acc</t>
  </si>
  <si>
    <t xml:space="preserve">top2_acc</t>
  </si>
  <si>
    <t xml:space="preserve">0%</t>
  </si>
  <si>
    <t xml:space="preserve">50%</t>
  </si>
  <si>
    <t xml:space="preserve">100%</t>
  </si>
  <si>
    <t xml:space="preserve">62%</t>
  </si>
  <si>
    <t xml:space="preserve">88%</t>
  </si>
  <si>
    <t xml:space="preserve">67%</t>
  </si>
  <si>
    <t xml:space="preserve">33%</t>
  </si>
  <si>
    <t xml:space="preserve">metric</t>
  </si>
  <si>
    <t xml:space="preserve">value</t>
  </si>
  <si>
    <t xml:space="preserve">top1_accuracy</t>
  </si>
  <si>
    <t xml:space="preserve">52%</t>
  </si>
  <si>
    <t xml:space="preserve">top2_accuracy</t>
  </si>
  <si>
    <t xml:space="preserve">78%</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</si>
</sst>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FFFF00"/>
        <bgColor rgb="FFFFFF00"/>
      </patternFill>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9" activeCellId="0" sqref="H9"/>
    </sheetView>
  </sheetViews>
  <sheetFormatPr defaultColWidth="8.34375" defaultRowHeight="15" customHeight="false" zeroHeight="false" outlineLevelRow="0" outlineLevelCol="0"/>
  <cols>
    <col collapsed="false" customWidth="true" hidden="false" outlineLevel="0" max="12" min="12" style="0" width="19.79"/>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L1" s="0" t="s">
        <v>10</v>
      </c>
    </row>
    <row r="2" customFormat="false" ht="15" hidden="false" customHeight="false" outlineLevel="0" collapsed="false">
      <c r="A2" s="0" t="s">
        <v>11</v>
      </c>
      <c r="B2" s="0" t="s">
        <v>12</v>
      </c>
      <c r="C2" s="0" t="s">
        <v>13</v>
      </c>
      <c r="D2" s="0" t="s">
        <v>14</v>
      </c>
      <c r="E2" s="0" t="s">
        <v>15</v>
      </c>
      <c r="F2" s="0" t="s">
        <v>16</v>
      </c>
      <c r="G2" s="0" t="s">
        <v>17</v>
      </c>
      <c r="H2" s="0" t="s">
        <v>18</v>
      </c>
      <c r="I2" s="1" t="b">
        <f aca="false">FALSE()</f>
        <v>0</v>
      </c>
      <c r="J2" s="2" t="b">
        <f aca="false">FALSE()</f>
        <v>0</v>
      </c>
      <c r="L2" s="3" t="s">
        <v>16</v>
      </c>
      <c r="M2" s="0" t="s">
        <v>19</v>
      </c>
    </row>
    <row r="3" customFormat="false" ht="15" hidden="false" customHeight="false" outlineLevel="0" collapsed="false">
      <c r="A3" s="0" t="s">
        <v>20</v>
      </c>
      <c r="B3" s="0" t="s">
        <v>21</v>
      </c>
      <c r="C3" s="0" t="s">
        <v>22</v>
      </c>
      <c r="D3" s="0" t="s">
        <v>14</v>
      </c>
      <c r="E3" s="0" t="s">
        <v>23</v>
      </c>
      <c r="F3" s="0" t="s">
        <v>17</v>
      </c>
      <c r="G3" s="0" t="s">
        <v>23</v>
      </c>
      <c r="H3" s="0" t="s">
        <v>24</v>
      </c>
      <c r="I3" s="4" t="b">
        <f aca="false">FALSE()</f>
        <v>0</v>
      </c>
      <c r="J3" s="2" t="b">
        <f aca="false">TRUE()</f>
        <v>1</v>
      </c>
      <c r="L3" s="5" t="s">
        <v>17</v>
      </c>
    </row>
    <row r="4" customFormat="false" ht="15" hidden="false" customHeight="false" outlineLevel="0" collapsed="false">
      <c r="A4" s="0" t="s">
        <v>25</v>
      </c>
      <c r="B4" s="0" t="s">
        <v>26</v>
      </c>
      <c r="C4" s="0" t="s">
        <v>27</v>
      </c>
      <c r="D4" s="0" t="s">
        <v>14</v>
      </c>
      <c r="E4" s="0" t="s">
        <v>28</v>
      </c>
      <c r="F4" s="0" t="s">
        <v>23</v>
      </c>
      <c r="G4" s="0" t="s">
        <v>15</v>
      </c>
      <c r="H4" s="0" t="s">
        <v>29</v>
      </c>
      <c r="I4" s="4" t="b">
        <f aca="false">FALSE()</f>
        <v>0</v>
      </c>
      <c r="J4" s="2" t="b">
        <f aca="false">FALSE()</f>
        <v>0</v>
      </c>
      <c r="L4" s="5" t="s">
        <v>23</v>
      </c>
    </row>
    <row r="5" customFormat="false" ht="15" hidden="false" customHeight="false" outlineLevel="0" collapsed="false">
      <c r="A5" s="0" t="s">
        <v>30</v>
      </c>
      <c r="B5" s="0" t="s">
        <v>31</v>
      </c>
      <c r="C5" s="0" t="s">
        <v>32</v>
      </c>
      <c r="D5" s="0" t="s">
        <v>14</v>
      </c>
      <c r="E5" s="0" t="s">
        <v>33</v>
      </c>
      <c r="F5" s="0" t="s">
        <v>33</v>
      </c>
      <c r="G5" s="0" t="s">
        <v>23</v>
      </c>
      <c r="H5" s="0" t="s">
        <v>34</v>
      </c>
      <c r="I5" s="4" t="b">
        <f aca="false">TRUE()</f>
        <v>1</v>
      </c>
      <c r="J5" s="2" t="b">
        <f aca="false">TRUE()</f>
        <v>1</v>
      </c>
    </row>
    <row r="6" customFormat="false" ht="15" hidden="false" customHeight="false" outlineLevel="0" collapsed="false">
      <c r="A6" s="0" t="s">
        <v>35</v>
      </c>
      <c r="B6" s="0" t="s">
        <v>36</v>
      </c>
      <c r="C6" s="0" t="s">
        <v>37</v>
      </c>
      <c r="D6" s="0" t="s">
        <v>14</v>
      </c>
      <c r="E6" s="0" t="s">
        <v>38</v>
      </c>
      <c r="F6" s="0" t="s">
        <v>16</v>
      </c>
      <c r="G6" s="0" t="s">
        <v>38</v>
      </c>
      <c r="H6" s="0" t="s">
        <v>39</v>
      </c>
      <c r="I6" s="4" t="b">
        <f aca="false">FALSE()</f>
        <v>0</v>
      </c>
      <c r="J6" s="2" t="b">
        <f aca="false">TRUE()</f>
        <v>1</v>
      </c>
      <c r="L6" s="0" t="s">
        <v>16</v>
      </c>
    </row>
    <row r="7" customFormat="false" ht="15" hidden="false" customHeight="false" outlineLevel="0" collapsed="false">
      <c r="A7" s="0" t="s">
        <v>40</v>
      </c>
      <c r="B7" s="0" t="s">
        <v>41</v>
      </c>
      <c r="C7" s="0" t="s">
        <v>42</v>
      </c>
      <c r="D7" s="0" t="s">
        <v>14</v>
      </c>
      <c r="E7" s="0" t="s">
        <v>16</v>
      </c>
      <c r="F7" s="0" t="s">
        <v>16</v>
      </c>
      <c r="G7" s="0" t="s">
        <v>23</v>
      </c>
      <c r="H7" s="0" t="s">
        <v>43</v>
      </c>
      <c r="I7" s="4" t="b">
        <f aca="false">TRUE()</f>
        <v>1</v>
      </c>
      <c r="J7" s="2" t="b">
        <f aca="false">TRUE()</f>
        <v>1</v>
      </c>
    </row>
    <row r="8" customFormat="false" ht="15" hidden="false" customHeight="false" outlineLevel="0" collapsed="false">
      <c r="A8" s="0" t="s">
        <v>44</v>
      </c>
      <c r="B8" s="0" t="s">
        <v>45</v>
      </c>
      <c r="C8" s="0" t="s">
        <v>46</v>
      </c>
      <c r="D8" s="0" t="s">
        <v>14</v>
      </c>
      <c r="E8" s="0" t="s">
        <v>38</v>
      </c>
      <c r="F8" s="0" t="s">
        <v>38</v>
      </c>
      <c r="G8" s="0" t="s">
        <v>23</v>
      </c>
      <c r="H8" s="0" t="s">
        <v>47</v>
      </c>
      <c r="I8" s="4" t="b">
        <f aca="false">TRUE()</f>
        <v>1</v>
      </c>
      <c r="J8" s="2" t="b">
        <f aca="false">TRUE()</f>
        <v>1</v>
      </c>
      <c r="L8" s="5"/>
    </row>
    <row r="9" customFormat="false" ht="15" hidden="false" customHeight="false" outlineLevel="0" collapsed="false">
      <c r="A9" s="0" t="s">
        <v>48</v>
      </c>
      <c r="B9" s="0" t="s">
        <v>49</v>
      </c>
      <c r="C9" s="0" t="s">
        <v>50</v>
      </c>
      <c r="D9" s="0" t="s">
        <v>14</v>
      </c>
      <c r="E9" s="0" t="s">
        <v>38</v>
      </c>
      <c r="F9" s="0" t="s">
        <v>17</v>
      </c>
      <c r="G9" s="0" t="s">
        <v>23</v>
      </c>
      <c r="H9" s="0" t="s">
        <v>51</v>
      </c>
      <c r="I9" s="4" t="b">
        <f aca="false">FALSE()</f>
        <v>0</v>
      </c>
      <c r="J9" s="2" t="b">
        <f aca="false">FALSE()</f>
        <v>0</v>
      </c>
      <c r="L9" s="0" t="s">
        <v>17</v>
      </c>
    </row>
    <row r="10" customFormat="false" ht="15" hidden="false" customHeight="false" outlineLevel="0" collapsed="false">
      <c r="A10" s="0" t="s">
        <v>52</v>
      </c>
      <c r="B10" s="0" t="s">
        <v>53</v>
      </c>
      <c r="C10" s="0" t="s">
        <v>54</v>
      </c>
      <c r="D10" s="0" t="s">
        <v>14</v>
      </c>
      <c r="E10" s="0" t="s">
        <v>17</v>
      </c>
      <c r="F10" s="0" t="s">
        <v>17</v>
      </c>
      <c r="G10" s="0" t="s">
        <v>28</v>
      </c>
      <c r="H10" s="0" t="s">
        <v>55</v>
      </c>
      <c r="I10" s="4" t="b">
        <f aca="false">TRUE()</f>
        <v>1</v>
      </c>
      <c r="J10" s="2" t="b">
        <f aca="false">TRUE()</f>
        <v>1</v>
      </c>
    </row>
    <row r="11" customFormat="false" ht="15" hidden="false" customHeight="false" outlineLevel="0" collapsed="false">
      <c r="A11" s="0" t="s">
        <v>56</v>
      </c>
      <c r="B11" s="0" t="s">
        <v>57</v>
      </c>
      <c r="C11" s="0" t="s">
        <v>58</v>
      </c>
      <c r="D11" s="0" t="s">
        <v>14</v>
      </c>
      <c r="E11" s="0" t="s">
        <v>33</v>
      </c>
      <c r="F11" s="0" t="s">
        <v>33</v>
      </c>
      <c r="G11" s="0" t="s">
        <v>28</v>
      </c>
      <c r="H11" s="0" t="s">
        <v>59</v>
      </c>
      <c r="I11" s="4" t="b">
        <f aca="false">TRUE()</f>
        <v>1</v>
      </c>
      <c r="J11" s="2" t="b">
        <f aca="false">TRUE()</f>
        <v>1</v>
      </c>
    </row>
    <row r="12" customFormat="false" ht="15" hidden="false" customHeight="false" outlineLevel="0" collapsed="false">
      <c r="A12" s="0" t="s">
        <v>60</v>
      </c>
      <c r="B12" s="0" t="s">
        <v>61</v>
      </c>
      <c r="C12" s="0" t="s">
        <v>62</v>
      </c>
      <c r="D12" s="0" t="s">
        <v>14</v>
      </c>
      <c r="E12" s="0" t="s">
        <v>17</v>
      </c>
      <c r="F12" s="0" t="s">
        <v>23</v>
      </c>
      <c r="G12" s="0" t="s">
        <v>17</v>
      </c>
      <c r="H12" s="0" t="s">
        <v>63</v>
      </c>
      <c r="I12" s="4" t="b">
        <f aca="false">FALSE()</f>
        <v>0</v>
      </c>
      <c r="J12" s="2" t="b">
        <f aca="false">TRUE()</f>
        <v>1</v>
      </c>
      <c r="L12" s="5" t="s">
        <v>23</v>
      </c>
    </row>
    <row r="13" customFormat="false" ht="15" hidden="false" customHeight="false" outlineLevel="0" collapsed="false">
      <c r="A13" s="0" t="s">
        <v>64</v>
      </c>
      <c r="B13" s="0" t="s">
        <v>65</v>
      </c>
      <c r="C13" s="0" t="s">
        <v>66</v>
      </c>
      <c r="D13" s="0" t="s">
        <v>14</v>
      </c>
      <c r="E13" s="0" t="s">
        <v>16</v>
      </c>
      <c r="F13" s="0" t="s">
        <v>33</v>
      </c>
      <c r="G13" s="0" t="s">
        <v>15</v>
      </c>
      <c r="H13" s="0" t="s">
        <v>67</v>
      </c>
      <c r="I13" s="6" t="b">
        <f aca="false">FALSE()</f>
        <v>0</v>
      </c>
      <c r="J13" s="2" t="b">
        <f aca="false">FALSE()</f>
        <v>0</v>
      </c>
    </row>
    <row r="14" customFormat="false" ht="15" hidden="false" customHeight="false" outlineLevel="0" collapsed="false">
      <c r="A14" s="0" t="s">
        <v>68</v>
      </c>
      <c r="B14" s="0" t="s">
        <v>69</v>
      </c>
      <c r="C14" s="0" t="s">
        <v>70</v>
      </c>
      <c r="D14" s="0" t="s">
        <v>14</v>
      </c>
      <c r="E14" s="0" t="s">
        <v>33</v>
      </c>
      <c r="F14" s="0" t="s">
        <v>33</v>
      </c>
      <c r="G14" s="0" t="s">
        <v>28</v>
      </c>
      <c r="H14" s="0" t="s">
        <v>71</v>
      </c>
      <c r="I14" s="4" t="b">
        <f aca="false">TRUE()</f>
        <v>1</v>
      </c>
      <c r="J14" s="2" t="b">
        <f aca="false">TRUE()</f>
        <v>1</v>
      </c>
    </row>
    <row r="15" customFormat="false" ht="15" hidden="false" customHeight="false" outlineLevel="0" collapsed="false">
      <c r="A15" s="0" t="s">
        <v>72</v>
      </c>
      <c r="B15" s="0" t="s">
        <v>73</v>
      </c>
      <c r="C15" s="0" t="s">
        <v>74</v>
      </c>
      <c r="D15" s="0" t="s">
        <v>14</v>
      </c>
      <c r="E15" s="0" t="s">
        <v>38</v>
      </c>
      <c r="F15" s="0" t="s">
        <v>38</v>
      </c>
      <c r="G15" s="0" t="s">
        <v>23</v>
      </c>
      <c r="H15" s="0" t="s">
        <v>75</v>
      </c>
      <c r="I15" s="4" t="b">
        <f aca="false">TRUE()</f>
        <v>1</v>
      </c>
      <c r="J15" s="2" t="b">
        <f aca="false">TRUE()</f>
        <v>1</v>
      </c>
    </row>
    <row r="16" customFormat="false" ht="15" hidden="false" customHeight="false" outlineLevel="0" collapsed="false">
      <c r="A16" s="0" t="s">
        <v>76</v>
      </c>
      <c r="B16" s="0" t="s">
        <v>77</v>
      </c>
      <c r="C16" s="0" t="s">
        <v>78</v>
      </c>
      <c r="D16" s="0" t="s">
        <v>14</v>
      </c>
      <c r="E16" s="0" t="s">
        <v>28</v>
      </c>
      <c r="F16" s="0" t="s">
        <v>28</v>
      </c>
      <c r="G16" s="0" t="s">
        <v>17</v>
      </c>
      <c r="H16" s="0" t="s">
        <v>79</v>
      </c>
      <c r="I16" s="6" t="b">
        <f aca="false">TRUE()</f>
        <v>1</v>
      </c>
      <c r="J16" s="2" t="b">
        <f aca="false">TRUE()</f>
        <v>1</v>
      </c>
      <c r="L16" s="5" t="s">
        <v>23</v>
      </c>
    </row>
    <row r="17" customFormat="false" ht="56" hidden="false" customHeight="false" outlineLevel="0" collapsed="false">
      <c r="A17" s="0" t="s">
        <v>80</v>
      </c>
      <c r="B17" s="0" t="s">
        <v>81</v>
      </c>
      <c r="C17" s="7" t="s">
        <v>82</v>
      </c>
      <c r="D17" s="0" t="s">
        <v>14</v>
      </c>
      <c r="E17" s="0" t="s">
        <v>38</v>
      </c>
      <c r="F17" s="0" t="s">
        <v>83</v>
      </c>
      <c r="G17" s="0" t="s">
        <v>38</v>
      </c>
      <c r="H17" s="0" t="s">
        <v>84</v>
      </c>
      <c r="I17" s="4" t="b">
        <f aca="false">FALSE()</f>
        <v>0</v>
      </c>
      <c r="J17" s="2" t="b">
        <f aca="false">TRUE()</f>
        <v>1</v>
      </c>
      <c r="L17" s="0" t="s">
        <v>83</v>
      </c>
    </row>
    <row r="18" customFormat="false" ht="15" hidden="false" customHeight="false" outlineLevel="0" collapsed="false">
      <c r="A18" s="0" t="s">
        <v>85</v>
      </c>
      <c r="B18" s="0" t="s">
        <v>86</v>
      </c>
      <c r="C18" s="0" t="s">
        <v>87</v>
      </c>
      <c r="D18" s="0" t="s">
        <v>14</v>
      </c>
      <c r="E18" s="0" t="s">
        <v>28</v>
      </c>
      <c r="F18" s="0" t="s">
        <v>88</v>
      </c>
      <c r="G18" s="0" t="s">
        <v>28</v>
      </c>
      <c r="H18" s="0" t="s">
        <v>89</v>
      </c>
      <c r="I18" s="6" t="b">
        <f aca="false">FALSE()</f>
        <v>0</v>
      </c>
      <c r="J18" s="2" t="b">
        <f aca="false">TRUE()</f>
        <v>1</v>
      </c>
    </row>
    <row r="19" customFormat="false" ht="15" hidden="false" customHeight="false" outlineLevel="0" collapsed="false">
      <c r="A19" s="0" t="s">
        <v>90</v>
      </c>
      <c r="B19" s="0" t="s">
        <v>91</v>
      </c>
      <c r="C19" s="0" t="s">
        <v>92</v>
      </c>
      <c r="D19" s="0" t="s">
        <v>14</v>
      </c>
      <c r="E19" s="0" t="s">
        <v>38</v>
      </c>
      <c r="F19" s="0" t="s">
        <v>38</v>
      </c>
      <c r="G19" s="0" t="s">
        <v>23</v>
      </c>
      <c r="H19" s="0" t="s">
        <v>93</v>
      </c>
      <c r="I19" s="4" t="b">
        <f aca="false">TRUE()</f>
        <v>1</v>
      </c>
      <c r="J19" s="2" t="b">
        <f aca="false">TRUE()</f>
        <v>1</v>
      </c>
    </row>
    <row r="20" customFormat="false" ht="15" hidden="false" customHeight="false" outlineLevel="0" collapsed="false">
      <c r="A20" s="0" t="s">
        <v>94</v>
      </c>
      <c r="B20" s="0" t="s">
        <v>95</v>
      </c>
      <c r="C20" s="0" t="s">
        <v>96</v>
      </c>
      <c r="D20" s="0" t="s">
        <v>14</v>
      </c>
      <c r="E20" s="0" t="s">
        <v>38</v>
      </c>
      <c r="F20" s="0" t="s">
        <v>38</v>
      </c>
      <c r="G20" s="0" t="s">
        <v>23</v>
      </c>
      <c r="H20" s="0" t="s">
        <v>97</v>
      </c>
      <c r="I20" s="4" t="b">
        <f aca="false">TRUE()</f>
        <v>1</v>
      </c>
      <c r="J20" s="2" t="b">
        <f aca="false">TRUE()</f>
        <v>1</v>
      </c>
    </row>
    <row r="21" customFormat="false" ht="15" hidden="false" customHeight="false" outlineLevel="0" collapsed="false">
      <c r="A21" s="0" t="s">
        <v>98</v>
      </c>
      <c r="B21" s="0" t="s">
        <v>99</v>
      </c>
      <c r="C21" s="0" t="s">
        <v>100</v>
      </c>
      <c r="D21" s="0" t="s">
        <v>14</v>
      </c>
      <c r="E21" s="0" t="s">
        <v>38</v>
      </c>
      <c r="F21" s="0" t="s">
        <v>38</v>
      </c>
      <c r="G21" s="0" t="s">
        <v>23</v>
      </c>
      <c r="H21" s="0" t="s">
        <v>101</v>
      </c>
      <c r="I21" s="4" t="b">
        <f aca="false">TRUE()</f>
        <v>1</v>
      </c>
      <c r="J21" s="2" t="b">
        <f aca="false">TRUE()</f>
        <v>1</v>
      </c>
    </row>
    <row r="22" customFormat="false" ht="15" hidden="false" customHeight="false" outlineLevel="0" collapsed="false">
      <c r="A22" s="0" t="s">
        <v>102</v>
      </c>
      <c r="B22" s="0" t="s">
        <v>103</v>
      </c>
      <c r="C22" s="0" t="s">
        <v>104</v>
      </c>
      <c r="D22" s="0" t="s">
        <v>14</v>
      </c>
      <c r="E22" s="0" t="s">
        <v>15</v>
      </c>
      <c r="F22" s="0" t="s">
        <v>23</v>
      </c>
      <c r="G22" s="0" t="s">
        <v>28</v>
      </c>
      <c r="H22" s="0" t="s">
        <v>105</v>
      </c>
      <c r="I22" s="4" t="b">
        <f aca="false">FALSE()</f>
        <v>0</v>
      </c>
      <c r="J22" s="2" t="b">
        <f aca="false">FALSE()</f>
        <v>0</v>
      </c>
      <c r="L22" s="8" t="s">
        <v>23</v>
      </c>
    </row>
    <row r="23" customFormat="false" ht="15" hidden="false" customHeight="false" outlineLevel="0" collapsed="false">
      <c r="A23" s="0" t="s">
        <v>106</v>
      </c>
      <c r="B23" s="0" t="s">
        <v>107</v>
      </c>
      <c r="C23" s="0" t="s">
        <v>108</v>
      </c>
      <c r="D23" s="0" t="s">
        <v>14</v>
      </c>
      <c r="E23" s="0" t="s">
        <v>17</v>
      </c>
      <c r="F23" s="0" t="s">
        <v>17</v>
      </c>
      <c r="G23" s="0" t="s">
        <v>15</v>
      </c>
      <c r="H23" s="0" t="s">
        <v>109</v>
      </c>
      <c r="I23" s="4" t="b">
        <f aca="false">TRUE()</f>
        <v>1</v>
      </c>
      <c r="J23" s="2" t="b">
        <f aca="false">TRUE()</f>
        <v>1</v>
      </c>
      <c r="L23" s="5"/>
    </row>
    <row r="24" customFormat="false" ht="15" hidden="false" customHeight="false" outlineLevel="0" collapsed="false">
      <c r="A24" s="0" t="s">
        <v>110</v>
      </c>
      <c r="B24" s="0" t="s">
        <v>111</v>
      </c>
      <c r="C24" s="0" t="s">
        <v>112</v>
      </c>
      <c r="D24" s="0" t="s">
        <v>14</v>
      </c>
      <c r="E24" s="0" t="s">
        <v>88</v>
      </c>
      <c r="F24" s="0" t="s">
        <v>83</v>
      </c>
      <c r="G24" s="0" t="s">
        <v>88</v>
      </c>
      <c r="H24" s="0" t="s">
        <v>113</v>
      </c>
      <c r="I24" s="4" t="b">
        <f aca="false">FALSE()</f>
        <v>0</v>
      </c>
      <c r="J24" s="2" t="b">
        <f aca="false">TRUE()</f>
        <v>1</v>
      </c>
      <c r="L24" s="5" t="s">
        <v>83</v>
      </c>
    </row>
    <row r="25" customFormat="false" ht="15" hidden="false" customHeight="false" outlineLevel="0" collapsed="false">
      <c r="A25" s="0" t="s">
        <v>114</v>
      </c>
      <c r="B25" s="0" t="s">
        <v>115</v>
      </c>
      <c r="C25" s="0" t="s">
        <v>116</v>
      </c>
      <c r="D25" s="0" t="s">
        <v>14</v>
      </c>
      <c r="E25" s="0" t="s">
        <v>33</v>
      </c>
      <c r="F25" s="0" t="s">
        <v>33</v>
      </c>
      <c r="G25" s="0" t="s">
        <v>15</v>
      </c>
      <c r="H25" s="0" t="s">
        <v>117</v>
      </c>
      <c r="I25" s="4" t="b">
        <f aca="false">TRUE()</f>
        <v>1</v>
      </c>
      <c r="J25" s="2" t="b">
        <f aca="false">TRUE()</f>
        <v>1</v>
      </c>
    </row>
    <row r="26" customFormat="false" ht="15" hidden="false" customHeight="false" outlineLevel="0" collapsed="false">
      <c r="A26" s="0" t="s">
        <v>118</v>
      </c>
      <c r="B26" s="0" t="s">
        <v>119</v>
      </c>
      <c r="C26" s="0" t="s">
        <v>120</v>
      </c>
      <c r="D26" s="0" t="s">
        <v>14</v>
      </c>
      <c r="E26" s="0" t="s">
        <v>16</v>
      </c>
      <c r="F26" s="0" t="s">
        <v>16</v>
      </c>
      <c r="G26" s="0" t="s">
        <v>17</v>
      </c>
      <c r="H26" s="0" t="s">
        <v>121</v>
      </c>
      <c r="I26" s="4" t="b">
        <f aca="false">TRUE()</f>
        <v>1</v>
      </c>
      <c r="J26" s="2" t="b">
        <f aca="false">TRUE()</f>
        <v>1</v>
      </c>
    </row>
    <row r="27" customFormat="false" ht="15" hidden="false" customHeight="false" outlineLevel="0" collapsed="false">
      <c r="A27" s="0" t="s">
        <v>122</v>
      </c>
      <c r="B27" s="0" t="s">
        <v>123</v>
      </c>
      <c r="C27" s="0" t="s">
        <v>124</v>
      </c>
      <c r="D27" s="0" t="s">
        <v>14</v>
      </c>
      <c r="E27" s="0" t="s">
        <v>15</v>
      </c>
      <c r="F27" s="0" t="s">
        <v>17</v>
      </c>
      <c r="G27" s="0" t="s">
        <v>23</v>
      </c>
      <c r="H27" s="0" t="s">
        <v>125</v>
      </c>
      <c r="I27" s="4" t="b">
        <f aca="false">FALSE()</f>
        <v>0</v>
      </c>
      <c r="J27" s="2" t="b">
        <f aca="false">FALSE()</f>
        <v>0</v>
      </c>
      <c r="L27" s="5" t="s">
        <v>17</v>
      </c>
    </row>
    <row r="28" customFormat="false" ht="15" hidden="false" customHeight="false" outlineLevel="0" collapsed="false">
      <c r="A28" s="0" t="s">
        <v>126</v>
      </c>
      <c r="B28" s="0" t="s">
        <v>127</v>
      </c>
      <c r="C28" s="0" t="s">
        <v>128</v>
      </c>
      <c r="D28" s="0" t="s">
        <v>14</v>
      </c>
      <c r="E28" s="0" t="s">
        <v>17</v>
      </c>
      <c r="F28" s="0" t="s">
        <v>16</v>
      </c>
      <c r="G28" s="0" t="s">
        <v>17</v>
      </c>
      <c r="H28" s="0" t="s">
        <v>129</v>
      </c>
      <c r="I28" s="4" t="b">
        <f aca="false">FALSE()</f>
        <v>0</v>
      </c>
      <c r="J28" s="2" t="b">
        <f aca="false">TRUE()</f>
        <v>1</v>
      </c>
      <c r="L28" s="5"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130</v>
      </c>
      <c r="C1" s="0" t="s">
        <v>8</v>
      </c>
      <c r="D1" s="0" t="s">
        <v>131</v>
      </c>
      <c r="E1" s="0" t="s">
        <v>132</v>
      </c>
      <c r="F1" s="0" t="s">
        <v>133</v>
      </c>
    </row>
    <row r="2" customFormat="false" ht="15" hidden="false" customHeight="false" outlineLevel="0" collapsed="false">
      <c r="A2" s="0" t="s">
        <v>15</v>
      </c>
      <c r="B2" s="0" t="n">
        <v>3</v>
      </c>
      <c r="C2" s="0" t="n">
        <v>0</v>
      </c>
      <c r="D2" s="0" t="n">
        <v>0</v>
      </c>
      <c r="E2" s="0" t="s">
        <v>134</v>
      </c>
      <c r="F2" s="0" t="s">
        <v>134</v>
      </c>
    </row>
    <row r="3" customFormat="false" ht="15" hidden="false" customHeight="false" outlineLevel="0" collapsed="false">
      <c r="A3" s="0" t="s">
        <v>17</v>
      </c>
      <c r="B3" s="0" t="n">
        <v>4</v>
      </c>
      <c r="C3" s="0" t="n">
        <v>2</v>
      </c>
      <c r="D3" s="0" t="n">
        <v>4</v>
      </c>
      <c r="E3" s="0" t="s">
        <v>135</v>
      </c>
      <c r="F3" s="0" t="s">
        <v>136</v>
      </c>
    </row>
    <row r="4" customFormat="false" ht="15" hidden="false" customHeight="false" outlineLevel="0" collapsed="false">
      <c r="A4" s="0" t="s">
        <v>88</v>
      </c>
      <c r="B4" s="0" t="n">
        <v>1</v>
      </c>
      <c r="C4" s="0" t="n">
        <v>0</v>
      </c>
      <c r="D4" s="0" t="n">
        <v>1</v>
      </c>
      <c r="E4" s="0" t="s">
        <v>134</v>
      </c>
      <c r="F4" s="0" t="s">
        <v>136</v>
      </c>
    </row>
    <row r="5" customFormat="false" ht="15" hidden="false" customHeight="false" outlineLevel="0" collapsed="false">
      <c r="A5" s="0" t="s">
        <v>38</v>
      </c>
      <c r="B5" s="0" t="n">
        <v>8</v>
      </c>
      <c r="C5" s="0" t="n">
        <v>5</v>
      </c>
      <c r="D5" s="0" t="n">
        <v>7</v>
      </c>
      <c r="E5" s="0" t="s">
        <v>137</v>
      </c>
      <c r="F5" s="0" t="s">
        <v>138</v>
      </c>
    </row>
    <row r="6" customFormat="false" ht="15" hidden="false" customHeight="false" outlineLevel="0" collapsed="false">
      <c r="A6" s="0" t="s">
        <v>23</v>
      </c>
      <c r="B6" s="0" t="n">
        <v>1</v>
      </c>
      <c r="C6" s="0" t="n">
        <v>0</v>
      </c>
      <c r="D6" s="0" t="n">
        <v>1</v>
      </c>
      <c r="E6" s="0" t="s">
        <v>134</v>
      </c>
      <c r="F6" s="0" t="s">
        <v>136</v>
      </c>
    </row>
    <row r="7" customFormat="false" ht="15" hidden="false" customHeight="false" outlineLevel="0" collapsed="false">
      <c r="A7" s="0" t="s">
        <v>16</v>
      </c>
      <c r="B7" s="0" t="n">
        <v>3</v>
      </c>
      <c r="C7" s="0" t="n">
        <v>2</v>
      </c>
      <c r="D7" s="0" t="n">
        <v>2</v>
      </c>
      <c r="E7" s="0" t="s">
        <v>139</v>
      </c>
      <c r="F7" s="0" t="s">
        <v>139</v>
      </c>
    </row>
    <row r="8" customFormat="false" ht="15" hidden="false" customHeight="false" outlineLevel="0" collapsed="false">
      <c r="A8" s="0" t="s">
        <v>28</v>
      </c>
      <c r="B8" s="0" t="n">
        <v>3</v>
      </c>
      <c r="C8" s="0" t="n">
        <v>1</v>
      </c>
      <c r="D8" s="0" t="n">
        <v>2</v>
      </c>
      <c r="E8" s="0" t="s">
        <v>140</v>
      </c>
      <c r="F8" s="0" t="s">
        <v>139</v>
      </c>
    </row>
    <row r="9" customFormat="false" ht="15" hidden="false" customHeight="false" outlineLevel="0" collapsed="false">
      <c r="A9" s="0" t="s">
        <v>33</v>
      </c>
      <c r="B9" s="0" t="n">
        <v>4</v>
      </c>
      <c r="C9" s="0" t="n">
        <v>4</v>
      </c>
      <c r="D9" s="0" t="n">
        <v>4</v>
      </c>
      <c r="E9" s="0" t="s">
        <v>136</v>
      </c>
      <c r="F9" s="0"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141</v>
      </c>
      <c r="B1" s="0" t="s">
        <v>142</v>
      </c>
      <c r="C1" s="0" t="s">
        <v>130</v>
      </c>
    </row>
    <row r="2" customFormat="false" ht="15" hidden="false" customHeight="false" outlineLevel="0" collapsed="false">
      <c r="A2" s="0" t="s">
        <v>143</v>
      </c>
      <c r="B2" s="0" t="s">
        <v>144</v>
      </c>
      <c r="C2" s="0" t="n">
        <v>27</v>
      </c>
    </row>
    <row r="3" customFormat="false" ht="15" hidden="false" customHeight="false" outlineLevel="0" collapsed="false">
      <c r="A3" s="0" t="s">
        <v>145</v>
      </c>
      <c r="B3" s="0" t="s">
        <v>146</v>
      </c>
      <c r="C3" s="0" t="n">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2026-06-25T10:48:09Z</dcterms:created>
  <dc:creator>openpyxl</dc:creator>
  <dc:description/>
  <dc:language>en-GB</dc:language>
  <cp:lastModifiedBy/>
  <dcterms:modified xsi:type="dcterms:W3CDTF">2026-06-25T12:16:19Z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