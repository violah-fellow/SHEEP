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<sst xmlns="http://schemas.openxmlformats.org/spreadsheetml/2006/main" count="266" uniqueCount="150">
  <si>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</si>
  <si>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</si>
  <si>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</si>
  <si>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</si>
  <si>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</si>
  <si>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</si>
  <si>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</si>
  <si>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</si>
  <si>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</si>
  <si>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</si>
  <si>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</si>
  <si>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v2 Category Notes</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</si>
  <si>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</si>
  <si>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</si>
  <si>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</si>
  <si>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PB</t>
  </si>
  <si>
    <t xml:space="preserve">Ingredient optimisation</t>
  </si>
  <si>
    <t xml:space="preserve">Food safety &amp; quality</t>
  </si>
  <si>
    <t xml:space="preserve">The study primarily assesses mutagenicity and genotoxicity of Xuta kernels and evaluates antinutritional factor reduction via hydrothermal treatment, which are food safety assessments; secondarily, it characterises ingredient-level properties (trypsin inhibitors, phytic acid, lectins) relevant to ingredient optimisation.</t>
  </si>
  <si>
    <t xml:space="preserve">I agree with LLM. Primarily a food safety assessment.</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</si>
  <si>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</si>
  <si>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</si>
  <si>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</si>
  <si>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Health &amp; nutrition</t>
  </si>
  <si>
    <t xml:space="preserve">Consumer &amp; market research</t>
  </si>
  <si>
    <t xml:space="preserve">This qualitative study explores consumer perceptions and lived experiences of meat alternatives among Dutch vegetarians using a holistic health model, making it primarily consumer behaviour research with secondary relevance to health outcomes.</t>
  </si>
  <si>
    <t xml:space="preserve">I agree with LLM. There is no assessment of health &amp; nutrition, only how consumers perceive the healthiness of meat alternatives and how it affects their daily lives.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</si>
  <si>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</si>
  <si>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</si>
  <si>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</si>
  <si>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End product formulation</t>
  </si>
  <si>
    <t xml:space="preserve">The study primarily investigates consumer acceptance, sensory drivers of liking, and emotional responses across age groups for plant-based fish analogues, which is core consumer research, while the evaluation of multiple finished plant-based product formulations with different protein bases (wheat, rice) provides a secondary end product formulation dimension.</t>
  </si>
  <si>
    <t xml:space="preserve">I agree with LLM. While this research may inform end product formulation decisions, it is entirely consumer research.</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</si>
  <si>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</si>
  <si>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</si>
  <si>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</si>
  <si>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Other</t>
  </si>
  <si>
    <t xml:space="preserve">This is a practitioner-facing workshop case study focused on culinary creativity and recipe development with existing plant-based ingredients, fitting the 'Other' catch-all, with secondary relevance to consumer/market research due to the sensory evaluations, questionnaires, and insights into attitudes toward vegetarian dishes.</t>
  </si>
  <si>
    <t xml:space="preserve">Corrected!</t>
  </si>
  <si>
    <t xml:space="preserve">Weird one. All three labels are defensible, but I have updated end product to exclude recipe development and updated other to include case studies and other more unusual types of publication.</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</si>
  <si>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</si>
  <si>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</si>
  <si>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</si>
  <si>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Impact assessments</t>
  </si>
  <si>
    <t xml:space="preserve">The paper conducts a structured critical analysis of the plant-based dairy alternatives market against Sustainable Development Goals, assessing system-level sustainability, nutritional, and economic viability impacts, with secondary relevance to consumer acceptance and market development.</t>
  </si>
  <si>
    <t xml:space="preserve">Should be Other. Policy focussed but not significant enough to be impact assessment.</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</si>
  <si>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</si>
  <si>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</si>
  <si>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</si>
  <si>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This paper develops a rheological methodology for optimizing cleaning processes in plant-based food production lines, which is primarily a manufacturing/cleaning operations topic not covered by the specific alternative protein research categories, though it has secondary relevance to food safety through ensuring hygienic production.</t>
  </si>
  <si>
    <t xml:space="preserve">Should be other. Prompt updated to promote Other selection and improve wording and examples for generic cleaning and equipment maintenance.</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</si>
  <si>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</si>
  <si>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</si>
  <si>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</si>
  <si>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This review focuses on fermented plant-based dairy alternatives as finished products, covering their formulation challenges (rheological, sensory, nutritional properties) and consumer perception/acceptability, making End Product Formulation primary and Consumer &amp; Market Research secondary.</t>
  </si>
  <si>
    <t xml:space="preserve">REVIEW</t>
  </si>
  <si>
    <t xml:space="preserve">Broad review. Should be Other</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</si>
  <si>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</si>
  <si>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</si>
  <si>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</si>
  <si>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The paper analyzes historical advertising strategies for plant-based meat substitutes using multimodal/semiotic analysis, directly addressing marketing and consumer-facing messaging, with broader commentary on food culture and eating knowledge that fits the 'Other' perspective/opinion category as secondary.</t>
  </si>
  <si>
    <t xml:space="preserve">I agree with LLM. Looks at historic advertising to inform marketing, so comes under consumer &amp; market research.</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</si>
  <si>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</si>
  <si>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</si>
  <si>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</si>
  <si>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The study's primary endpoints are physiological/chemical safety outcomes—(glyc)oxidation products and advanced glycation endproducts measured through simulated gastrointestinal digestion—making Health &amp; Nutrition the primary category, while the formulation of pork and HME pea balls with carbohydrates and herbs as a finished product is secondary.</t>
  </si>
  <si>
    <t xml:space="preserve">Should be Health. Prompt updated to make any publication reporting health-relevant outcomes be health &amp; nutrition, leaving end product formulation to be focused on functional, sensory, and nutritional qualities only, but not measured health impacts (in vitro or in vivo).</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</si>
  <si>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</si>
  <si>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</si>
  <si>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</si>
  <si>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Texturization methods</t>
  </si>
  <si>
    <t xml:space="preserve">The study characterises functional and nutritional properties of fava bean ingredient fractions (flour, starch, protein concentrates) processed by extrusion at varying energy levels, focusing on ingredient-level properties rather than a finished product, with extrusion as the processing method under investigation.</t>
  </si>
  <si>
    <t xml:space="preserve">I agree with LLM. Extrusion is being used to modify plant protein ingredients (like water solubility, emulsifying properities), not to modify textural or structural endpoints (like bite, chewiness).</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</si>
  <si>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</si>
  <si>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</si>
  <si>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</si>
  <si>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The study focuses on improving fractionation and extraction processing of lipid and protein fractions from plant-based milk cake byproducts, characterising the resulting ingredient properties; the valorisation/biorefinery framing has minor sustainability/impact dimensions but the core contribution is ingredient-level processing optimisation.</t>
  </si>
  <si>
    <t xml:space="preserve">Borderline. I am leaning ingredient optimisation because it researches a method for extracting plant-based food ingredients. I think it was labelled Other as the most obvious link to AP is waste valorisation, but this is more contextual / provides a sustainability reason for the research rather than actually what the research itself does.</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</si>
  <si>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</si>
  <si>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</si>
  <si>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</si>
  <si>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The study investigates high-moisture extrusion (HME) process conditions as a manufacturing method to create meat analogue extrudates, while also characterising the resulting protein quality (digestibility, amino acid scores) and physical properties of the extruded ingredients.</t>
  </si>
  <si>
    <t xml:space="preserve">Spent a while thinking about this and in vitro digestibility should definitely be ingredient optimisation, not health &amp; nutrition, and past labels are inconsistent between the two.</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</si>
  <si>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</si>
  <si>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</si>
  <si>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</si>
  <si>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The study's primary endpoint is mineral bioavailability measured via Caco-2 cell uptake (a physiological outcome), while the secondary focus involves fortification of a finished plant-based meat product and its nutritional characterisation.</t>
  </si>
  <si>
    <t xml:space="preserve">I agree with LLM. End product formulation specifically includes ‘nutritional assessment and fortification’. However, health &amp; nutrition should be second because cell-based mineral uptake is a physiological endpoint.</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</si>
  <si>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</si>
  <si>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</si>
  <si>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</si>
  <si>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The study conducts a structured stakeholder-led assessment of plant-based protein chain resilience, sustainability, and risk perceptions across the agri-food system, while also employing consumer/stakeholder survey and segmentation methods characteristic of consumer and market research.</t>
  </si>
  <si>
    <t xml:space="preserve">Should be impact but my impact definition was limited to quantitative or structured assessments and I think the stakeholder focus drew it to consumer research. Have edited impact definition to also mention supply chain resilience and food security as impacts.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</si>
  <si>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</si>
  <si>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</si>
  <si>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</si>
  <si>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focuses on mushroom incorporation into meat analogue finished products, examining their physical, organoleptic, amino acid, and fibre properties, making End Product Formulation primary, while the evaluation of mushroom species and processing techniques as ingredients supports Ingredient Optimisation as secondary.</t>
  </si>
  <si>
    <t xml:space="preserve">Should be end product. Sonnet got it right. Not sure I can do much else to the prompt.</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</si>
  <si>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</si>
  <si>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</si>
  <si>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</si>
  <si>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Strain development</t>
  </si>
  <si>
    <t xml:space="preserve">The study primarily assesses biocontrol of Listeria monocytogenes in plant-based sausage analogs using LAB strains, which is a food safety application, while the screening and selection of LAB strains for fermentation processing aligns with strain development.</t>
  </si>
  <si>
    <t xml:space="preserve">Should be food safety first, then strain development. Sonnet got this right.</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</si>
  <si>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</si>
  <si>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</si>
  <si>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</si>
  <si>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The study primarily investigates fermentation as a processing method to improve the functional (foaming) and sensory (aroma) properties of aquafaba as an ingredient, with secondary application in a finished vegan chocolate mousse product.</t>
  </si>
  <si>
    <t xml:space="preserve">I agree with Sonnet. Ingredient optimisation primary – core contribution is improving aquafaba as an ingredient through fermentation. End product formulation is secondary as it is demonstrative and not the primary subject of the study.</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</si>
  <si>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</si>
  <si>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</si>
  <si>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</si>
  <si>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The paper primarily assesses the environmental (GHG emissions) and health implications of transitioning from meat and refined wheat flour to plant-based foods, combining impact assessment with health and nutrition considerations.</t>
  </si>
  <si>
    <t xml:space="preserve">Other is probably correct. It’s a more generalist / opinion publication arguing for a dietary change in response to sustainability concerns, but doesn’t seem to do a systematic review of literature or data. More of an opinion piece.</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</si>
  <si>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</si>
  <si>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</si>
  <si>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</si>
  <si>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The paper focuses on formulating dairy alternative products using protein blends to improve nutritional profile and sensory characteristics, with a secondary emphasis on health and sustainability outcomes of plant-based diets.</t>
  </si>
  <si>
    <t xml:space="preserve">Sonnet was correct. Boundary definition is clear enough, just need to use Sonnet,</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</si>
  <si>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</si>
  <si>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</si>
  <si>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</si>
  <si>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This broad review covers plant-based meat analogue formulation, techno-functional properties, nutritional equivalency, and product fabrication as its core focus, but also spans consumer acceptance, sustainability, supply chain, and market adoption, making it a wide-scope review that warrants 'Other' as a secondary category.</t>
  </si>
  <si>
    <t xml:space="preserve">Should be Other. Sonnet at least got it as secondary. Prompt v3 and v4 have already been updated to give more clarity over Other and need testing.</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</si>
  <si>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</si>
  <si>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</si>
  <si>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</si>
  <si>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The study systematically surveys and compares nutritional profiles, cost, and environmental impact of commercially available plant-based milk alternatives versus dairy milk in UK supermarkets, combining market-level product analysis with nutritional and health-relevant conclusions.</t>
  </si>
  <si>
    <t xml:space="preserve">Agree with LLM. Comparison and characterisation of finished plant-based milks against dairy milks to inform product formulation. It’s not consumer research because there are no perceptions, behaviours, or purchasing intent. It could be health &amp; nutrition given the nutrition focus but that is a fine secondary.</t>
  </si>
  <si>
    <t xml:space="preserve">Green colour given when primary_LLM matches</t>
  </si>
  <si>
    <t xml:space="preserve">Haiku was correct</t>
  </si>
  <si>
    <t xml:space="preserve">(1) the corrected label (supersedes) or (2) the original label</t>
  </si>
  <si>
    <t xml:space="preserve">Haiku v2 was incorrect</t>
  </si>
  <si>
    <t xml:space="preserve">where there is no corrected label.</t>
  </si>
  <si>
    <t xml:space="preserve">Down from 12 incorrect to 5 incorrect</t>
  </si>
  <si>
    <t xml:space="preserve">n</t>
  </si>
  <si>
    <t xml:space="preserve">top2_correct</t>
  </si>
  <si>
    <t xml:space="preserve">primary_acc</t>
  </si>
  <si>
    <t xml:space="preserve">top2_acc</t>
  </si>
  <si>
    <t xml:space="preserve">100%</t>
  </si>
  <si>
    <t xml:space="preserve">50%</t>
  </si>
  <si>
    <t xml:space="preserve">75%</t>
  </si>
  <si>
    <t xml:space="preserve">0%</t>
  </si>
  <si>
    <t xml:space="preserve">25%</t>
  </si>
  <si>
    <t xml:space="preserve">metric</t>
  </si>
  <si>
    <t xml:space="preserve">value</t>
  </si>
  <si>
    <t xml:space="preserve">top1_accuracy</t>
  </si>
  <si>
    <t xml:space="preserve">43%</t>
  </si>
  <si>
    <t xml:space="preserve">top2_accuracy</t>
  </si>
  <si>
    <t xml:space="preserve">76%</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</si>
</sst>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7" activeCellId="0" sqref="G7"/>
    </sheetView>
  </sheetViews>
  <sheetFormatPr defaultColWidth="8.34375" defaultRowHeight="15" customHeight="false" zeroHeight="false" outlineLevelRow="0" outlineLevelCol="0"/>
  <cols>
    <col collapsed="false" customWidth="true" hidden="false" outlineLevel="0" max="12" min="12" style="0" width="24.33"/>
    <col collapsed="false" customWidth="true" hidden="false" outlineLevel="0" max="13" min="13" style="0" width="9.7"/>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c r="Q1" s="0" t="s">
        <v>11</v>
      </c>
    </row>
    <row r="2" customFormat="false" ht="15" hidden="false" customHeight="false" outlineLevel="0" collapsed="false">
      <c r="A2" s="0" t="s">
        <v>12</v>
      </c>
      <c r="B2" s="0" t="s">
        <v>13</v>
      </c>
      <c r="C2" s="0" t="s">
        <v>14</v>
      </c>
      <c r="D2" s="0" t="s">
        <v>15</v>
      </c>
      <c r="E2" s="0" t="s">
        <v>16</v>
      </c>
      <c r="F2" s="1" t="s">
        <v>17</v>
      </c>
      <c r="G2" s="0" t="s">
        <v>16</v>
      </c>
      <c r="H2" s="0" t="s">
        <v>18</v>
      </c>
      <c r="I2" s="2" t="b">
        <f aca="false">FALSE()</f>
        <v>0</v>
      </c>
      <c r="J2" s="2" t="b">
        <f aca="false">TRUE()</f>
        <v>1</v>
      </c>
      <c r="L2" s="1" t="s">
        <v>17</v>
      </c>
      <c r="Q2" s="0" t="s">
        <v>19</v>
      </c>
    </row>
    <row r="3" customFormat="false" ht="15" hidden="false" customHeight="false" outlineLevel="0" collapsed="false">
      <c r="A3" s="0" t="s">
        <v>20</v>
      </c>
      <c r="B3" s="0" t="s">
        <v>21</v>
      </c>
      <c r="C3" s="0" t="s">
        <v>22</v>
      </c>
      <c r="D3" s="0" t="s">
        <v>15</v>
      </c>
      <c r="E3" s="0" t="s">
        <v>23</v>
      </c>
      <c r="F3" s="1" t="s">
        <v>24</v>
      </c>
      <c r="G3" s="0" t="s">
        <v>23</v>
      </c>
      <c r="H3" s="0" t="s">
        <v>25</v>
      </c>
      <c r="I3" s="2" t="b">
        <f aca="false">FALSE()</f>
        <v>0</v>
      </c>
      <c r="J3" s="2" t="b">
        <f aca="false">TRUE()</f>
        <v>1</v>
      </c>
      <c r="L3" s="1" t="s">
        <v>24</v>
      </c>
      <c r="Q3" s="0" t="s">
        <v>26</v>
      </c>
    </row>
    <row r="4" customFormat="false" ht="15" hidden="false" customHeight="false" outlineLevel="0" collapsed="false">
      <c r="A4" s="0" t="s">
        <v>27</v>
      </c>
      <c r="B4" s="0" t="s">
        <v>28</v>
      </c>
      <c r="C4" s="0" t="s">
        <v>29</v>
      </c>
      <c r="D4" s="0" t="s">
        <v>15</v>
      </c>
      <c r="E4" s="0" t="s">
        <v>30</v>
      </c>
      <c r="F4" s="1" t="s">
        <v>24</v>
      </c>
      <c r="G4" s="0" t="s">
        <v>30</v>
      </c>
      <c r="H4" s="0" t="s">
        <v>31</v>
      </c>
      <c r="I4" s="2" t="b">
        <f aca="false">FALSE()</f>
        <v>0</v>
      </c>
      <c r="J4" s="2" t="b">
        <f aca="false">TRUE()</f>
        <v>1</v>
      </c>
      <c r="L4" s="1" t="s">
        <v>24</v>
      </c>
      <c r="Q4" s="0" t="s">
        <v>32</v>
      </c>
    </row>
    <row r="5" customFormat="false" ht="15" hidden="false" customHeight="false" outlineLevel="0" collapsed="false">
      <c r="A5" s="0" t="s">
        <v>33</v>
      </c>
      <c r="B5" s="0" t="s">
        <v>34</v>
      </c>
      <c r="C5" s="0" t="s">
        <v>35</v>
      </c>
      <c r="D5" s="0" t="s">
        <v>15</v>
      </c>
      <c r="E5" s="0" t="s">
        <v>36</v>
      </c>
      <c r="F5" s="1" t="s">
        <v>36</v>
      </c>
      <c r="G5" s="0" t="s">
        <v>24</v>
      </c>
      <c r="H5" s="0" t="s">
        <v>37</v>
      </c>
      <c r="I5" s="2" t="b">
        <f aca="false">TRUE()</f>
        <v>1</v>
      </c>
      <c r="J5" s="2" t="b">
        <f aca="false">TRUE()</f>
        <v>1</v>
      </c>
      <c r="L5" s="3"/>
      <c r="M5" s="0" t="s">
        <v>38</v>
      </c>
      <c r="Q5" s="0" t="s">
        <v>39</v>
      </c>
    </row>
    <row r="6" customFormat="false" ht="15" hidden="false" customHeight="false" outlineLevel="0" collapsed="false">
      <c r="A6" s="0" t="s">
        <v>40</v>
      </c>
      <c r="B6" s="0" t="s">
        <v>41</v>
      </c>
      <c r="C6" s="0" t="s">
        <v>42</v>
      </c>
      <c r="D6" s="0" t="s">
        <v>15</v>
      </c>
      <c r="E6" s="0" t="s">
        <v>36</v>
      </c>
      <c r="F6" s="3" t="s">
        <v>43</v>
      </c>
      <c r="G6" s="0" t="s">
        <v>24</v>
      </c>
      <c r="H6" s="0" t="s">
        <v>44</v>
      </c>
      <c r="I6" s="2" t="b">
        <f aca="false">FALSE()</f>
        <v>0</v>
      </c>
      <c r="J6" s="2" t="b">
        <f aca="false">FALSE()</f>
        <v>0</v>
      </c>
      <c r="L6" s="3"/>
      <c r="Q6" s="0" t="s">
        <v>45</v>
      </c>
    </row>
    <row r="7" customFormat="false" ht="23.3" hidden="false" customHeight="false" outlineLevel="0" collapsed="false">
      <c r="A7" s="0" t="s">
        <v>46</v>
      </c>
      <c r="B7" s="0" t="s">
        <v>47</v>
      </c>
      <c r="C7" s="4" t="s">
        <v>48</v>
      </c>
      <c r="D7" s="0" t="s">
        <v>15</v>
      </c>
      <c r="E7" s="0" t="s">
        <v>36</v>
      </c>
      <c r="F7" s="1" t="s">
        <v>36</v>
      </c>
      <c r="G7" s="0" t="s">
        <v>17</v>
      </c>
      <c r="H7" s="0" t="s">
        <v>49</v>
      </c>
      <c r="I7" s="2" t="b">
        <f aca="false">TRUE()</f>
        <v>1</v>
      </c>
      <c r="J7" s="2" t="b">
        <f aca="false">TRUE()</f>
        <v>1</v>
      </c>
      <c r="L7" s="3"/>
      <c r="M7" s="0" t="s">
        <v>38</v>
      </c>
      <c r="Q7" s="0" t="s">
        <v>50</v>
      </c>
    </row>
    <row r="8" customFormat="false" ht="15" hidden="false" customHeight="false" outlineLevel="0" collapsed="false">
      <c r="A8" s="0" t="s">
        <v>51</v>
      </c>
      <c r="B8" s="0" t="s">
        <v>52</v>
      </c>
      <c r="C8" s="0" t="s">
        <v>53</v>
      </c>
      <c r="D8" s="0" t="s">
        <v>15</v>
      </c>
      <c r="E8" s="0" t="s">
        <v>36</v>
      </c>
      <c r="F8" s="3" t="s">
        <v>30</v>
      </c>
      <c r="G8" s="0" t="s">
        <v>24</v>
      </c>
      <c r="H8" s="0" t="s">
        <v>54</v>
      </c>
      <c r="I8" s="2" t="b">
        <f aca="false">FALSE()</f>
        <v>0</v>
      </c>
      <c r="J8" s="2" t="b">
        <f aca="false">FALSE()</f>
        <v>0</v>
      </c>
      <c r="L8" s="3"/>
      <c r="M8" s="0" t="s">
        <v>55</v>
      </c>
      <c r="Q8" s="0" t="s">
        <v>56</v>
      </c>
    </row>
    <row r="9" customFormat="false" ht="15" hidden="false" customHeight="false" outlineLevel="0" collapsed="false">
      <c r="A9" s="0" t="s">
        <v>57</v>
      </c>
      <c r="B9" s="0" t="s">
        <v>58</v>
      </c>
      <c r="C9" s="0" t="s">
        <v>59</v>
      </c>
      <c r="D9" s="0" t="s">
        <v>15</v>
      </c>
      <c r="E9" s="0" t="s">
        <v>36</v>
      </c>
      <c r="F9" s="1" t="s">
        <v>24</v>
      </c>
      <c r="G9" s="0" t="s">
        <v>36</v>
      </c>
      <c r="H9" s="0" t="s">
        <v>60</v>
      </c>
      <c r="I9" s="2" t="b">
        <f aca="false">FALSE()</f>
        <v>0</v>
      </c>
      <c r="J9" s="2" t="b">
        <f aca="false">TRUE()</f>
        <v>1</v>
      </c>
      <c r="L9" s="1" t="s">
        <v>24</v>
      </c>
      <c r="Q9" s="0" t="s">
        <v>61</v>
      </c>
    </row>
    <row r="10" customFormat="false" ht="15" hidden="false" customHeight="false" outlineLevel="0" collapsed="false">
      <c r="A10" s="0" t="s">
        <v>62</v>
      </c>
      <c r="B10" s="0" t="s">
        <v>63</v>
      </c>
      <c r="C10" s="0" t="s">
        <v>64</v>
      </c>
      <c r="D10" s="0" t="s">
        <v>15</v>
      </c>
      <c r="E10" s="0" t="s">
        <v>23</v>
      </c>
      <c r="F10" s="1" t="s">
        <v>23</v>
      </c>
      <c r="G10" s="0" t="s">
        <v>30</v>
      </c>
      <c r="H10" s="0" t="s">
        <v>65</v>
      </c>
      <c r="I10" s="2" t="b">
        <f aca="false">TRUE()</f>
        <v>1</v>
      </c>
      <c r="J10" s="2" t="b">
        <f aca="false">TRUE()</f>
        <v>1</v>
      </c>
      <c r="L10" s="3"/>
      <c r="M10" s="0" t="s">
        <v>38</v>
      </c>
      <c r="Q10" s="0" t="s">
        <v>66</v>
      </c>
    </row>
    <row r="11" customFormat="false" ht="15" hidden="false" customHeight="false" outlineLevel="0" collapsed="false">
      <c r="A11" s="0" t="s">
        <v>67</v>
      </c>
      <c r="B11" s="0" t="s">
        <v>68</v>
      </c>
      <c r="C11" s="0" t="s">
        <v>69</v>
      </c>
      <c r="D11" s="0" t="s">
        <v>15</v>
      </c>
      <c r="E11" s="0" t="s">
        <v>70</v>
      </c>
      <c r="F11" s="1" t="s">
        <v>16</v>
      </c>
      <c r="G11" s="0" t="s">
        <v>70</v>
      </c>
      <c r="H11" s="0" t="s">
        <v>71</v>
      </c>
      <c r="I11" s="2" t="b">
        <f aca="false">FALSE()</f>
        <v>0</v>
      </c>
      <c r="J11" s="2" t="b">
        <f aca="false">TRUE()</f>
        <v>1</v>
      </c>
      <c r="L11" s="1" t="s">
        <v>16</v>
      </c>
      <c r="Q11" s="0" t="s">
        <v>72</v>
      </c>
    </row>
    <row r="12" customFormat="false" ht="15" hidden="false" customHeight="false" outlineLevel="0" collapsed="false">
      <c r="A12" s="0" t="s">
        <v>73</v>
      </c>
      <c r="B12" s="0" t="s">
        <v>74</v>
      </c>
      <c r="C12" s="0" t="s">
        <v>75</v>
      </c>
      <c r="D12" s="0" t="s">
        <v>15</v>
      </c>
      <c r="E12" s="0" t="s">
        <v>36</v>
      </c>
      <c r="F12" s="1" t="s">
        <v>16</v>
      </c>
      <c r="G12" s="0" t="s">
        <v>43</v>
      </c>
      <c r="H12" s="0" t="s">
        <v>76</v>
      </c>
      <c r="I12" s="2" t="b">
        <f aca="false">FALSE()</f>
        <v>0</v>
      </c>
      <c r="J12" s="2" t="b">
        <f aca="false">FALSE()</f>
        <v>0</v>
      </c>
      <c r="L12" s="1" t="s">
        <v>16</v>
      </c>
      <c r="Q12" s="0" t="s">
        <v>77</v>
      </c>
    </row>
    <row r="13" customFormat="false" ht="15" hidden="false" customHeight="false" outlineLevel="0" collapsed="false">
      <c r="A13" s="0" t="s">
        <v>78</v>
      </c>
      <c r="B13" s="0" t="s">
        <v>79</v>
      </c>
      <c r="C13" s="0" t="s">
        <v>80</v>
      </c>
      <c r="D13" s="0" t="s">
        <v>15</v>
      </c>
      <c r="E13" s="0" t="s">
        <v>23</v>
      </c>
      <c r="F13" s="3" t="s">
        <v>70</v>
      </c>
      <c r="G13" s="0" t="s">
        <v>16</v>
      </c>
      <c r="H13" s="0" t="s">
        <v>81</v>
      </c>
      <c r="I13" s="2" t="b">
        <f aca="false">FALSE()</f>
        <v>0</v>
      </c>
      <c r="J13" s="2" t="b">
        <f aca="false">FALSE()</f>
        <v>0</v>
      </c>
      <c r="L13" s="3" t="s">
        <v>16</v>
      </c>
      <c r="M13" s="0" t="s">
        <v>55</v>
      </c>
      <c r="Q13" s="0" t="s">
        <v>82</v>
      </c>
    </row>
    <row r="14" customFormat="false" ht="15" hidden="false" customHeight="false" outlineLevel="0" collapsed="false">
      <c r="A14" s="0" t="s">
        <v>83</v>
      </c>
      <c r="B14" s="0" t="s">
        <v>84</v>
      </c>
      <c r="C14" s="0" t="s">
        <v>85</v>
      </c>
      <c r="D14" s="0" t="s">
        <v>15</v>
      </c>
      <c r="E14" s="0" t="s">
        <v>23</v>
      </c>
      <c r="F14" s="3" t="s">
        <v>23</v>
      </c>
      <c r="G14" s="0" t="s">
        <v>30</v>
      </c>
      <c r="H14" s="0" t="s">
        <v>86</v>
      </c>
      <c r="I14" s="2" t="b">
        <f aca="false">TRUE()</f>
        <v>1</v>
      </c>
      <c r="J14" s="2" t="b">
        <f aca="false">TRUE()</f>
        <v>1</v>
      </c>
      <c r="L14" s="1" t="s">
        <v>30</v>
      </c>
      <c r="Q14" s="0" t="s">
        <v>87</v>
      </c>
    </row>
    <row r="15" customFormat="false" ht="15" hidden="false" customHeight="false" outlineLevel="0" collapsed="false">
      <c r="A15" s="0" t="s">
        <v>88</v>
      </c>
      <c r="B15" s="0" t="s">
        <v>89</v>
      </c>
      <c r="C15" s="0" t="s">
        <v>90</v>
      </c>
      <c r="D15" s="0" t="s">
        <v>15</v>
      </c>
      <c r="E15" s="0" t="s">
        <v>43</v>
      </c>
      <c r="F15" s="1" t="s">
        <v>43</v>
      </c>
      <c r="G15" s="0" t="s">
        <v>24</v>
      </c>
      <c r="H15" s="0" t="s">
        <v>91</v>
      </c>
      <c r="I15" s="2" t="b">
        <f aca="false">TRUE()</f>
        <v>1</v>
      </c>
      <c r="J15" s="2" t="b">
        <f aca="false">TRUE()</f>
        <v>1</v>
      </c>
      <c r="L15" s="3"/>
      <c r="M15" s="0" t="s">
        <v>38</v>
      </c>
      <c r="Q15" s="0" t="s">
        <v>92</v>
      </c>
    </row>
    <row r="16" customFormat="false" ht="15" hidden="false" customHeight="false" outlineLevel="0" collapsed="false">
      <c r="A16" s="0" t="s">
        <v>93</v>
      </c>
      <c r="B16" s="0" t="s">
        <v>94</v>
      </c>
      <c r="C16" s="0" t="s">
        <v>95</v>
      </c>
      <c r="D16" s="0" t="s">
        <v>15</v>
      </c>
      <c r="E16" s="0" t="s">
        <v>30</v>
      </c>
      <c r="F16" s="1" t="s">
        <v>30</v>
      </c>
      <c r="G16" s="0" t="s">
        <v>16</v>
      </c>
      <c r="H16" s="0" t="s">
        <v>96</v>
      </c>
      <c r="I16" s="2" t="b">
        <f aca="false">TRUE()</f>
        <v>1</v>
      </c>
      <c r="J16" s="2" t="b">
        <f aca="false">TRUE()</f>
        <v>1</v>
      </c>
      <c r="L16" s="3"/>
      <c r="M16" s="0" t="s">
        <v>38</v>
      </c>
      <c r="Q16" s="0" t="s">
        <v>97</v>
      </c>
    </row>
    <row r="17" customFormat="false" ht="15" hidden="false" customHeight="false" outlineLevel="0" collapsed="false">
      <c r="A17" s="0" t="s">
        <v>98</v>
      </c>
      <c r="B17" s="0" t="s">
        <v>99</v>
      </c>
      <c r="C17" s="0" t="s">
        <v>100</v>
      </c>
      <c r="D17" s="0" t="s">
        <v>15</v>
      </c>
      <c r="E17" s="0" t="s">
        <v>17</v>
      </c>
      <c r="F17" s="1" t="s">
        <v>17</v>
      </c>
      <c r="G17" s="0" t="s">
        <v>101</v>
      </c>
      <c r="H17" s="0" t="s">
        <v>102</v>
      </c>
      <c r="I17" s="2" t="b">
        <f aca="false">TRUE()</f>
        <v>1</v>
      </c>
      <c r="J17" s="2" t="b">
        <f aca="false">TRUE()</f>
        <v>1</v>
      </c>
      <c r="L17" s="3"/>
      <c r="M17" s="0" t="s">
        <v>38</v>
      </c>
      <c r="Q17" s="0" t="s">
        <v>103</v>
      </c>
    </row>
    <row r="18" customFormat="false" ht="15" hidden="false" customHeight="false" outlineLevel="0" collapsed="false">
      <c r="A18" s="0" t="s">
        <v>104</v>
      </c>
      <c r="B18" s="0" t="s">
        <v>105</v>
      </c>
      <c r="C18" s="0" t="s">
        <v>106</v>
      </c>
      <c r="D18" s="0" t="s">
        <v>15</v>
      </c>
      <c r="E18" s="0" t="s">
        <v>30</v>
      </c>
      <c r="F18" s="1" t="s">
        <v>16</v>
      </c>
      <c r="G18" s="0" t="s">
        <v>30</v>
      </c>
      <c r="H18" s="0" t="s">
        <v>107</v>
      </c>
      <c r="I18" s="2" t="b">
        <f aca="false">FALSE()</f>
        <v>0</v>
      </c>
      <c r="J18" s="2" t="b">
        <f aca="false">TRUE()</f>
        <v>1</v>
      </c>
      <c r="L18" s="3" t="s">
        <v>16</v>
      </c>
      <c r="M18" s="0" t="s">
        <v>38</v>
      </c>
      <c r="Q18" s="0" t="s">
        <v>108</v>
      </c>
    </row>
    <row r="19" customFormat="false" ht="15" hidden="false" customHeight="false" outlineLevel="0" collapsed="false">
      <c r="A19" s="0" t="s">
        <v>109</v>
      </c>
      <c r="B19" s="0" t="s">
        <v>110</v>
      </c>
      <c r="C19" s="0" t="s">
        <v>111</v>
      </c>
      <c r="D19" s="0" t="s">
        <v>15</v>
      </c>
      <c r="E19" s="0" t="s">
        <v>36</v>
      </c>
      <c r="F19" s="3" t="s">
        <v>43</v>
      </c>
      <c r="G19" s="0" t="s">
        <v>23</v>
      </c>
      <c r="H19" s="0" t="s">
        <v>112</v>
      </c>
      <c r="I19" s="2" t="b">
        <f aca="false">FALSE()</f>
        <v>0</v>
      </c>
      <c r="J19" s="2" t="b">
        <f aca="false">FALSE()</f>
        <v>0</v>
      </c>
      <c r="L19" s="3"/>
      <c r="M19" s="0" t="s">
        <v>55</v>
      </c>
      <c r="Q19" s="0" t="s">
        <v>113</v>
      </c>
    </row>
    <row r="20" customFormat="false" ht="15" hidden="false" customHeight="false" outlineLevel="0" collapsed="false">
      <c r="A20" s="0" t="s">
        <v>114</v>
      </c>
      <c r="B20" s="0" t="s">
        <v>115</v>
      </c>
      <c r="C20" s="0" t="s">
        <v>116</v>
      </c>
      <c r="D20" s="0" t="s">
        <v>15</v>
      </c>
      <c r="E20" s="0" t="s">
        <v>30</v>
      </c>
      <c r="F20" s="1" t="s">
        <v>30</v>
      </c>
      <c r="G20" s="0" t="s">
        <v>23</v>
      </c>
      <c r="H20" s="0" t="s">
        <v>117</v>
      </c>
      <c r="I20" s="2" t="b">
        <f aca="false">TRUE()</f>
        <v>1</v>
      </c>
      <c r="J20" s="2" t="b">
        <f aca="false">TRUE()</f>
        <v>1</v>
      </c>
      <c r="L20" s="3"/>
      <c r="M20" s="0" t="s">
        <v>38</v>
      </c>
      <c r="Q20" s="0" t="s">
        <v>118</v>
      </c>
    </row>
    <row r="21" customFormat="false" ht="15" hidden="false" customHeight="false" outlineLevel="0" collapsed="false">
      <c r="A21" s="0" t="s">
        <v>119</v>
      </c>
      <c r="B21" s="0" t="s">
        <v>120</v>
      </c>
      <c r="C21" s="0" t="s">
        <v>121</v>
      </c>
      <c r="D21" s="0" t="s">
        <v>15</v>
      </c>
      <c r="E21" s="0" t="s">
        <v>36</v>
      </c>
      <c r="F21" s="3" t="s">
        <v>30</v>
      </c>
      <c r="G21" s="0" t="s">
        <v>36</v>
      </c>
      <c r="H21" s="0" t="s">
        <v>122</v>
      </c>
      <c r="I21" s="2" t="b">
        <f aca="false">FALSE()</f>
        <v>0</v>
      </c>
      <c r="J21" s="2" t="b">
        <f aca="false">TRUE()</f>
        <v>1</v>
      </c>
      <c r="L21" s="3"/>
      <c r="M21" s="0" t="s">
        <v>55</v>
      </c>
      <c r="Q21" s="0" t="s">
        <v>123</v>
      </c>
    </row>
    <row r="22" customFormat="false" ht="56" hidden="false" customHeight="false" outlineLevel="0" collapsed="false">
      <c r="A22" s="0" t="s">
        <v>124</v>
      </c>
      <c r="B22" s="0" t="s">
        <v>125</v>
      </c>
      <c r="C22" s="4" t="s">
        <v>126</v>
      </c>
      <c r="D22" s="0" t="s">
        <v>15</v>
      </c>
      <c r="E22" s="0" t="s">
        <v>24</v>
      </c>
      <c r="F22" s="1" t="s">
        <v>24</v>
      </c>
      <c r="G22" s="0" t="s">
        <v>23</v>
      </c>
      <c r="H22" s="0" t="s">
        <v>127</v>
      </c>
      <c r="I22" s="2" t="b">
        <f aca="false">TRUE()</f>
        <v>1</v>
      </c>
      <c r="J22" s="2" t="b">
        <f aca="false">TRUE()</f>
        <v>1</v>
      </c>
      <c r="L22" s="1" t="s">
        <v>30</v>
      </c>
      <c r="Q22" s="0" t="s">
        <v>128</v>
      </c>
    </row>
    <row r="25" customFormat="false" ht="15" hidden="false" customHeight="false" outlineLevel="0" collapsed="false">
      <c r="F25" s="0" t="s">
        <v>129</v>
      </c>
      <c r="L25" s="1" t="s">
        <v>130</v>
      </c>
    </row>
    <row r="26" customFormat="false" ht="15" hidden="false" customHeight="false" outlineLevel="0" collapsed="false">
      <c r="F26" s="0" t="s">
        <v>131</v>
      </c>
      <c r="L26" s="3" t="s">
        <v>132</v>
      </c>
    </row>
    <row r="27" customFormat="false" ht="15" hidden="false" customHeight="false" outlineLevel="0" collapsed="false">
      <c r="F27" s="0" t="s">
        <v>133</v>
      </c>
    </row>
    <row r="29" customFormat="false" ht="15" hidden="false" customHeight="false" outlineLevel="0" collapsed="false">
      <c r="F29" s="5" t="s">
        <v>134</v>
      </c>
      <c r="G29" s="5"/>
      <c r="H29" s="5"/>
      <c r="I2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135</v>
      </c>
      <c r="C1" s="0" t="s">
        <v>8</v>
      </c>
      <c r="D1" s="0" t="s">
        <v>136</v>
      </c>
      <c r="E1" s="0" t="s">
        <v>137</v>
      </c>
      <c r="F1" s="0" t="s">
        <v>138</v>
      </c>
    </row>
    <row r="2" customFormat="false" ht="15" hidden="false" customHeight="false" outlineLevel="0" collapsed="false">
      <c r="A2" s="0" t="s">
        <v>24</v>
      </c>
      <c r="B2" s="0" t="n">
        <v>1</v>
      </c>
      <c r="C2" s="0" t="n">
        <v>1</v>
      </c>
      <c r="D2" s="0" t="n">
        <v>1</v>
      </c>
      <c r="E2" s="0" t="s">
        <v>139</v>
      </c>
      <c r="F2" s="0" t="s">
        <v>139</v>
      </c>
    </row>
    <row r="3" customFormat="false" ht="15" hidden="false" customHeight="false" outlineLevel="0" collapsed="false">
      <c r="A3" s="0" t="s">
        <v>30</v>
      </c>
      <c r="B3" s="0" t="n">
        <v>4</v>
      </c>
      <c r="C3" s="0" t="n">
        <v>2</v>
      </c>
      <c r="D3" s="0" t="n">
        <v>4</v>
      </c>
      <c r="E3" s="0" t="s">
        <v>140</v>
      </c>
      <c r="F3" s="0" t="s">
        <v>139</v>
      </c>
    </row>
    <row r="4" customFormat="false" ht="15" hidden="false" customHeight="false" outlineLevel="0" collapsed="false">
      <c r="A4" s="0" t="s">
        <v>17</v>
      </c>
      <c r="B4" s="0" t="n">
        <v>1</v>
      </c>
      <c r="C4" s="0" t="n">
        <v>1</v>
      </c>
      <c r="D4" s="0" t="n">
        <v>1</v>
      </c>
      <c r="E4" s="0" t="s">
        <v>139</v>
      </c>
      <c r="F4" s="0" t="s">
        <v>139</v>
      </c>
    </row>
    <row r="5" customFormat="false" ht="15" hidden="false" customHeight="false" outlineLevel="0" collapsed="false">
      <c r="A5" s="0" t="s">
        <v>23</v>
      </c>
      <c r="B5" s="0" t="n">
        <v>4</v>
      </c>
      <c r="C5" s="0" t="n">
        <v>2</v>
      </c>
      <c r="D5" s="0" t="n">
        <v>3</v>
      </c>
      <c r="E5" s="0" t="s">
        <v>140</v>
      </c>
      <c r="F5" s="0" t="s">
        <v>141</v>
      </c>
    </row>
    <row r="6" customFormat="false" ht="15" hidden="false" customHeight="false" outlineLevel="0" collapsed="false">
      <c r="A6" s="0" t="s">
        <v>43</v>
      </c>
      <c r="B6" s="0" t="n">
        <v>1</v>
      </c>
      <c r="C6" s="0" t="n">
        <v>1</v>
      </c>
      <c r="D6" s="0" t="n">
        <v>1</v>
      </c>
      <c r="E6" s="0" t="s">
        <v>139</v>
      </c>
      <c r="F6" s="0" t="s">
        <v>139</v>
      </c>
    </row>
    <row r="7" customFormat="false" ht="15" hidden="false" customHeight="false" outlineLevel="0" collapsed="false">
      <c r="A7" s="0" t="s">
        <v>16</v>
      </c>
      <c r="B7" s="0" t="n">
        <v>1</v>
      </c>
      <c r="C7" s="0" t="n">
        <v>0</v>
      </c>
      <c r="D7" s="0" t="n">
        <v>1</v>
      </c>
      <c r="E7" s="0" t="s">
        <v>142</v>
      </c>
      <c r="F7" s="0" t="s">
        <v>139</v>
      </c>
    </row>
    <row r="8" customFormat="false" ht="15" hidden="false" customHeight="false" outlineLevel="0" collapsed="false">
      <c r="A8" s="0" t="s">
        <v>36</v>
      </c>
      <c r="B8" s="0" t="n">
        <v>8</v>
      </c>
      <c r="C8" s="0" t="n">
        <v>2</v>
      </c>
      <c r="D8" s="0" t="n">
        <v>4</v>
      </c>
      <c r="E8" s="0" t="s">
        <v>143</v>
      </c>
      <c r="F8" s="0" t="s">
        <v>140</v>
      </c>
    </row>
    <row r="9" customFormat="false" ht="15" hidden="false" customHeight="false" outlineLevel="0" collapsed="false">
      <c r="A9" s="0" t="s">
        <v>70</v>
      </c>
      <c r="B9" s="0" t="n">
        <v>1</v>
      </c>
      <c r="C9" s="0" t="n">
        <v>0</v>
      </c>
      <c r="D9" s="0" t="n">
        <v>1</v>
      </c>
      <c r="E9" s="0" t="s">
        <v>142</v>
      </c>
      <c r="F9" s="0"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144</v>
      </c>
      <c r="B1" s="0" t="s">
        <v>145</v>
      </c>
      <c r="C1" s="0" t="s">
        <v>135</v>
      </c>
    </row>
    <row r="2" customFormat="false" ht="15" hidden="false" customHeight="false" outlineLevel="0" collapsed="false">
      <c r="A2" s="0" t="s">
        <v>146</v>
      </c>
      <c r="B2" s="0" t="s">
        <v>147</v>
      </c>
      <c r="C2" s="0" t="n">
        <v>21</v>
      </c>
    </row>
    <row r="3" customFormat="false" ht="15" hidden="false" customHeight="false" outlineLevel="0" collapsed="false">
      <c r="A3" s="0" t="s">
        <v>148</v>
      </c>
      <c r="B3" s="0" t="s">
        <v>149</v>
      </c>
      <c r="C3" s="0" t="n">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2026-06-23T10:23:47Z</dcterms:created>
  <dc:creator>openpyxl</dc:creator>
  <dc:description/>
  <dc:language>en-GB</dc:language>
  <cp:lastModifiedBy/>
  <dcterms:modified xsi:type="dcterms:W3CDTF">2026-06-23T12:40:30Z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