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<sst xmlns="http://schemas.openxmlformats.org/spreadsheetml/2006/main" count="277" uniqueCount="147">
  <si>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</si>
  <si>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</si>
  <si>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</si>
  <si>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</si>
  <si>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</si>
  <si>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</si>
  <si>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</si>
  <si>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</si>
  <si>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</si>
  <si>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</si>
  <si>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</si>
  <si>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</si>
  <si>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</si>
  <si>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</si>
  <si>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</si>
  <si>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</si>
  <si>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Other</t>
  </si>
  <si>
    <t xml:space="preserve">Feedstocks</t>
  </si>
  <si>
    <t xml:space="preserve">This paper presents an AI/LLM framework tool for literature retrieval and information extraction in microbial protein research, which is a computational/methodological contribution that does not fit any specific alternative protein research category; the secondary focus on waste carbon side-streams as feedstocks for microbial protein fermentation is the application domain motivating the tool.</t>
  </si>
  <si>
    <t xml:space="preserve">Changed.</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</si>
  <si>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</si>
  <si>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</si>
  <si>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</si>
  <si>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</si>
  <si>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study's primary novelty is using liquid digestate (a waste stream from anaerobic digestion) as an alternative cultivation medium for microalgae, directly comparing it to standard media; the resulting biomass composition, bioactivity, and safety characterisation constitute secondary ingredient-level analysis.</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</si>
  <si>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</si>
  <si>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</si>
  <si>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</si>
  <si>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</si>
  <si>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characterises M. purpureus biomass as a novel protein ingredient by optimising fermentation conditions (SSF vs SmF) and profiling its nutritional, functional, and bioactive properties, making ingredient characterisation the primary focus; strain/fermentation condition optimisation is secondary.</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</si>
  <si>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</si>
  <si>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</si>
  <si>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</si>
  <si>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</si>
  <si>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paper's primary contribution is the recombinant expression and characterisation of a cold-active transglutaminase in E. coli, with its application to crosslink and improve pea protein hydrolysate properties serving as a secondary focus.</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</si>
  <si>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</si>
  <si>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</si>
  <si>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</si>
  <si>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</si>
  <si>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considerations around fungal protein, spanning health, sustainability, and consumer communication without a specific experimental or analytical contribution fitting a single research category.</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</si>
  <si>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</si>
  <si>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</si>
  <si>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</si>
  <si>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and sensory outcomes) rather than making a single focused experimental or analytical contribution to any one specific category.</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</si>
  <si>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</si>
  <si>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</si>
  <si>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</si>
  <si>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in vitro digestibility and indispensable amino acid scores as nutritional quality endpoints for novel protein sources, with digestibility and bioaccessibility as the central research question rather than ingredient characterisation for functional or processing purposes.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</si>
  <si>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</si>
  <si>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</si>
  <si>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</si>
  <si>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 characterises nutritional quality (protein digestibility, amino acid profile, mineral accessibility) of mycoprotein ingredients produced on winery/distillery by-products, with the primary focus on ingredient properties; the use of agri-food sidestreams as novel cultivation substrates is the secondary contribution.</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</si>
  <si>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</si>
  <si>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</si>
  <si>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</si>
  <si>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study investigates industrial flue gas (CO2 from coke plant emissions) as a carbon feedstock for microalgal cultivation, optimising growth conditions to produce biomass with high protein content, making feedstock innovation the primary contribution; strain tolerance characterisation of H. rubescens_UFPS013 to flue gas conditions is a secondary focus.</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</si>
  <si>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</si>
  <si>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</si>
  <si>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</si>
  <si>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core contribution is the recombinant expression and functional validation of phosphorylated αs1-casein in E. coli, including engineering bacteria to co-express kinases for native phosphorylation — a target molecule identification and characterisation study, with secondary strain engineering elements.</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</si>
  <si>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</si>
  <si>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</si>
  <si>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</si>
  <si>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 characterises and improves a fungal mycelium ingredient through enzymatic hydrolysis to enhance umami taste and protein content, while also using potato pulp (an industrial by-product) as the cultivation substrate, making ingredient optimisation the primary focus and feedstocks a secondary contribution.</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</si>
  <si>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</si>
  <si>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</si>
  <si>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</si>
  <si>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The paper presents a blueprint for engineering HOBs into precision fermentation cell factories for recombinant protein production (using secreted milk protein as a case study), making target molecule expression the primary focus, with strain engineering via synthetic biology and metabolic engineering as the secondary contribution.</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</si>
  <si>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</si>
  <si>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</si>
  <si>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</si>
  <si>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primary contribution is the recombinant expression and characterisation of napin in Pichia pastoris as a food ingredient, with secondary focus on strain engineering (promoter selection, haploid vs. diploid strains) to improve production yield.</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</si>
  <si>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</si>
  <si>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</si>
  <si>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</si>
  <si>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bioaccessibility of C. vulgaris protein as a physiological/nutritional outcome using an in vitro digestion model, with secondary relevance to ingredient characterisation including biochemical and structural properties of the microalgae ingredient.</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</si>
  <si>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</si>
  <si>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</si>
  <si>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</si>
  <si>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actively investigates how cultivation conditions (carbon/nitrogen limitation, nitrogen fixation) alter the nutritional and biochemical composition of purple non-sulphur bacteria biomass, making ingredient property optimisation the primary focus, while the use of H2 and CO2 as feedstocks and nitrogen fixation as an alternative nitrogen source is a secondary novel contribution.</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</si>
  <si>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</si>
  <si>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</si>
  <si>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</si>
  <si>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</si>
  <si>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paper's primary contribution is a structured quantitative optimization model assessing the environmental (GHGE) and nutritional impacts of integrating mycoprotein into Finnish diets, which constitutes a system-level impact and viability assessment; the secondary focus is on nutritional adequacy and dietary health outcomes.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</si>
  <si>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</si>
  <si>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</si>
  <si>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</si>
  <si>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</si>
  <si>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describes the deliberate engineering and characterisation of an Aspergillus oryzae strain lineage with chromosomal deletions eliminating all mycotoxin and penicillin biosynthetic gene clusters, representing active strain modification for safer industrial protein production, with a secondary focus on the food safety and regulatory implications of the resulting mycotoxin-free strains.</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</si>
  <si>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</si>
  <si>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</si>
  <si>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</si>
  <si>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endpoint is protein digestibility and amino acid bioaccessibility of mycoprotein under physiologically relevant older adult gastrointestinal conditions, making it a health/nutrition-focused digestibility study; secondary relevance is ingredient optimisation as it characterises mycoprotein's nutritional profile.</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</si>
  <si>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</si>
  <si>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</si>
  <si>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</si>
  <si>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study's primary focus is measuring physiological/nutritional outcomes (digestibility, amino acid bioaccessibility, colonic fermentation, microbial composition, SCFAs) of yeast-based protein consumption, with digestibility and nutritional bioaccessibility as the central research questions; ingredient characterisation is secondary.</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</si>
  <si>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</si>
  <si>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</si>
  <si>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</si>
  <si>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while ingredient characterisation of the bioprocessed BSY is a secondary contribution.</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</si>
  <si>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</si>
  <si>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</si>
  <si>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</si>
  <si>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study directly investigates upstream cultivation modifications (culture media enrichment) and a novel downstream vacuum infusion method to improve the lipid content of filamentous fungal biomass as an ingredient, with detailed characterisation of biomass composition across two fungal species and morphologies.</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</si>
  <si>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</si>
  <si>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</si>
  <si>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</si>
  <si>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study's primary novelty is using sulfide-rich biogas (a waste stream) as a feedstock for microbial protein production, while the hollow fiber membrane bioreactor design and gas loading rate optimization represent a secondary bioprocess engineering contribution.</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</si>
  <si>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</si>
  <si>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</si>
  <si>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</si>
  <si>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 conducts a structured policy/regulatory content analysis of European documents governing microbial biomass value chains, which qualifies as a systematic assessment of policy and regulatory impacts; food safety and quality is secondary as regulatory gaps related to product safety are a key finding.</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</si>
  <si>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</si>
  <si>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</si>
  <si>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</si>
  <si>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The review is narrowly focused on recombinant egg protein expression across microbial hosts, reporting yields and challenges specific to producing these target molecules via precision fermentation, with secondary emphasis on bioprocess chain optimisation (upstream, bioproduction, downstream).</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</si>
  <si>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</si>
  <si>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</si>
  <si>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</si>
  <si>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conducts a structured hazard and risk assessment (HAZSCAN) of a hypothetical cell factory producing SCP/cellular agriculture ingredients, focusing on occupational, product, and environmental safety — fitting Food Safety &amp; Quality; the systematic, structured risk evaluation methodology also aligns with Impact Assessments.</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</si>
  <si>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</si>
  <si>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</si>
  <si>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</si>
  <si>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paper's novel contribution is the use of mine water as an alternative, low-cost feedstock for Spirulina cultivation, with biochemical composition (protein, lipid, carbohydrate) of the resulting biomass assessed as a secondary outcome.</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</si>
  <si>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</si>
  <si>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</si>
  <si>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</si>
  <si>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aspects of fungal fermentation across diverse substrates and product types (mycoproteins, enzymes, biochemicals, biomaterials), spanning feedstocks, bioprocess design, ingredient optimisation, and impact considerations, making it too cross-cutting for any single specific category; Feedstocks is the closest secondary fit given the emphasis on valorising industrial side streams and residues as input materials.</t>
  </si>
  <si>
    <t xml:space="preserve">n</t>
  </si>
  <si>
    <t xml:space="preserve">top2_correct</t>
  </si>
  <si>
    <t xml:space="preserve">primary_acc</t>
  </si>
  <si>
    <t xml:space="preserve">top2_acc</t>
  </si>
  <si>
    <t xml:space="preserve">0%</t>
  </si>
  <si>
    <t xml:space="preserve">50%</t>
  </si>
  <si>
    <t xml:space="preserve">100%</t>
  </si>
  <si>
    <t xml:space="preserve">62%</t>
  </si>
  <si>
    <t xml:space="preserve">88%</t>
  </si>
  <si>
    <t xml:space="preserve">33%</t>
  </si>
  <si>
    <t xml:space="preserve">67%</t>
  </si>
  <si>
    <t xml:space="preserve">metric</t>
  </si>
  <si>
    <t xml:space="preserve">value</t>
  </si>
  <si>
    <t xml:space="preserve">top1_accuracy</t>
  </si>
  <si>
    <t xml:space="preserve">48%</t>
  </si>
  <si>
    <t xml:space="preserve">top2_accuracy</t>
  </si>
  <si>
    <t xml:space="preserve">74%</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</si>
</sst>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14" activeCellId="0" sqref="O14"/>
    </sheetView>
  </sheetViews>
  <sheetFormatPr defaultColWidth="8.34375" defaultRowHeight="15" customHeight="false" zeroHeight="false" outlineLevelRow="0" outlineLevelCol="0"/>
  <cols>
    <col collapsed="false" customWidth="true" hidden="false" outlineLevel="0" max="12" min="12" style="0" width="19.79"/>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1" t="s">
        <v>10</v>
      </c>
      <c r="M1" s="1"/>
    </row>
    <row r="2" customFormat="false" ht="15" hidden="false" customHeight="false" outlineLevel="0" collapsed="false">
      <c r="A2" s="0" t="s">
        <v>11</v>
      </c>
      <c r="B2" s="0" t="s">
        <v>12</v>
      </c>
      <c r="C2" s="0" t="s">
        <v>13</v>
      </c>
      <c r="D2" s="0" t="s">
        <v>14</v>
      </c>
      <c r="E2" s="0" t="s">
        <v>15</v>
      </c>
      <c r="F2" s="0" t="s">
        <v>16</v>
      </c>
      <c r="G2" s="0" t="s">
        <v>17</v>
      </c>
      <c r="H2" s="0" t="s">
        <v>18</v>
      </c>
      <c r="I2" s="2" t="b">
        <f aca="false">FALSE()</f>
        <v>0</v>
      </c>
      <c r="J2" s="3" t="b">
        <f aca="false">FALSE()</f>
        <v>0</v>
      </c>
      <c r="L2" s="4" t="s">
        <v>16</v>
      </c>
      <c r="M2" s="1" t="s">
        <v>19</v>
      </c>
    </row>
    <row r="3" customFormat="false" ht="15" hidden="false" customHeight="false" outlineLevel="0" collapsed="false">
      <c r="A3" s="0" t="s">
        <v>20</v>
      </c>
      <c r="B3" s="0" t="s">
        <v>21</v>
      </c>
      <c r="C3" s="0" t="s">
        <v>22</v>
      </c>
      <c r="D3" s="0" t="s">
        <v>14</v>
      </c>
      <c r="E3" s="0" t="s">
        <v>23</v>
      </c>
      <c r="F3" s="0" t="s">
        <v>17</v>
      </c>
      <c r="G3" s="0" t="s">
        <v>23</v>
      </c>
      <c r="H3" s="0" t="s">
        <v>24</v>
      </c>
      <c r="I3" s="5" t="b">
        <f aca="false">FALSE()</f>
        <v>0</v>
      </c>
      <c r="J3" s="3" t="b">
        <f aca="false">TRUE()</f>
        <v>1</v>
      </c>
      <c r="L3" s="1" t="s">
        <v>17</v>
      </c>
      <c r="M3" s="1"/>
    </row>
    <row r="4" customFormat="false" ht="15" hidden="false" customHeight="false" outlineLevel="0" collapsed="false">
      <c r="A4" s="0" t="s">
        <v>25</v>
      </c>
      <c r="B4" s="0" t="s">
        <v>26</v>
      </c>
      <c r="C4" s="0" t="s">
        <v>27</v>
      </c>
      <c r="D4" s="0" t="s">
        <v>14</v>
      </c>
      <c r="E4" s="0" t="s">
        <v>28</v>
      </c>
      <c r="F4" s="0" t="s">
        <v>23</v>
      </c>
      <c r="G4" s="0" t="s">
        <v>28</v>
      </c>
      <c r="H4" s="0" t="s">
        <v>29</v>
      </c>
      <c r="I4" s="5" t="b">
        <f aca="false">FALSE()</f>
        <v>0</v>
      </c>
      <c r="J4" s="3" t="b">
        <f aca="false">TRUE()</f>
        <v>1</v>
      </c>
      <c r="L4" s="1" t="s">
        <v>23</v>
      </c>
      <c r="M4" s="1"/>
    </row>
    <row r="5" customFormat="false" ht="15" hidden="false" customHeight="false" outlineLevel="0" collapsed="false">
      <c r="A5" s="0" t="s">
        <v>30</v>
      </c>
      <c r="B5" s="0" t="s">
        <v>31</v>
      </c>
      <c r="C5" s="0" t="s">
        <v>32</v>
      </c>
      <c r="D5" s="0" t="s">
        <v>14</v>
      </c>
      <c r="E5" s="0" t="s">
        <v>33</v>
      </c>
      <c r="F5" s="0" t="s">
        <v>33</v>
      </c>
      <c r="G5" s="0" t="s">
        <v>23</v>
      </c>
      <c r="H5" s="0" t="s">
        <v>34</v>
      </c>
      <c r="I5" s="5" t="b">
        <f aca="false">TRUE()</f>
        <v>1</v>
      </c>
      <c r="J5" s="3" t="b">
        <f aca="false">TRUE()</f>
        <v>1</v>
      </c>
      <c r="L5" s="1"/>
      <c r="M5" s="1"/>
    </row>
    <row r="6" customFormat="false" ht="15" hidden="false" customHeight="false" outlineLevel="0" collapsed="false">
      <c r="A6" s="0" t="s">
        <v>35</v>
      </c>
      <c r="B6" s="0" t="s">
        <v>36</v>
      </c>
      <c r="C6" s="0" t="s">
        <v>37</v>
      </c>
      <c r="D6" s="0" t="s">
        <v>14</v>
      </c>
      <c r="E6" s="0" t="s">
        <v>38</v>
      </c>
      <c r="F6" s="0" t="s">
        <v>16</v>
      </c>
      <c r="G6" s="0" t="s">
        <v>38</v>
      </c>
      <c r="H6" s="0" t="s">
        <v>39</v>
      </c>
      <c r="I6" s="5" t="b">
        <f aca="false">FALSE()</f>
        <v>0</v>
      </c>
      <c r="J6" s="3" t="b">
        <f aca="false">TRUE()</f>
        <v>1</v>
      </c>
      <c r="L6" s="1" t="s">
        <v>16</v>
      </c>
      <c r="M6" s="1"/>
    </row>
    <row r="7" customFormat="false" ht="15" hidden="false" customHeight="false" outlineLevel="0" collapsed="false">
      <c r="A7" s="0" t="s">
        <v>40</v>
      </c>
      <c r="B7" s="0" t="s">
        <v>41</v>
      </c>
      <c r="C7" s="0" t="s">
        <v>42</v>
      </c>
      <c r="D7" s="0" t="s">
        <v>14</v>
      </c>
      <c r="E7" s="0" t="s">
        <v>16</v>
      </c>
      <c r="F7" s="0" t="s">
        <v>16</v>
      </c>
      <c r="G7" s="0" t="s">
        <v>23</v>
      </c>
      <c r="H7" s="0" t="s">
        <v>43</v>
      </c>
      <c r="I7" s="5" t="b">
        <f aca="false">TRUE()</f>
        <v>1</v>
      </c>
      <c r="J7" s="3" t="b">
        <f aca="false">TRUE()</f>
        <v>1</v>
      </c>
      <c r="L7" s="1"/>
      <c r="M7" s="1"/>
    </row>
    <row r="8" customFormat="false" ht="15" hidden="false" customHeight="false" outlineLevel="0" collapsed="false">
      <c r="A8" s="0" t="s">
        <v>44</v>
      </c>
      <c r="B8" s="0" t="s">
        <v>45</v>
      </c>
      <c r="C8" s="0" t="s">
        <v>46</v>
      </c>
      <c r="D8" s="0" t="s">
        <v>14</v>
      </c>
      <c r="E8" s="0" t="s">
        <v>38</v>
      </c>
      <c r="F8" s="0" t="s">
        <v>38</v>
      </c>
      <c r="G8" s="0" t="s">
        <v>23</v>
      </c>
      <c r="H8" s="0" t="s">
        <v>47</v>
      </c>
      <c r="I8" s="5" t="b">
        <f aca="false">TRUE()</f>
        <v>1</v>
      </c>
      <c r="J8" s="3" t="b">
        <f aca="false">TRUE()</f>
        <v>1</v>
      </c>
      <c r="L8" s="1"/>
      <c r="M8" s="1"/>
    </row>
    <row r="9" customFormat="false" ht="15" hidden="false" customHeight="false" outlineLevel="0" collapsed="false">
      <c r="A9" s="0" t="s">
        <v>48</v>
      </c>
      <c r="B9" s="0" t="s">
        <v>49</v>
      </c>
      <c r="C9" s="0" t="s">
        <v>50</v>
      </c>
      <c r="D9" s="0" t="s">
        <v>14</v>
      </c>
      <c r="E9" s="0" t="s">
        <v>38</v>
      </c>
      <c r="F9" s="0" t="s">
        <v>23</v>
      </c>
      <c r="G9" s="0" t="s">
        <v>17</v>
      </c>
      <c r="H9" s="0" t="s">
        <v>51</v>
      </c>
      <c r="I9" s="6" t="b">
        <f aca="false">FALSE()</f>
        <v>0</v>
      </c>
      <c r="J9" s="3" t="b">
        <f aca="false">FALSE()</f>
        <v>0</v>
      </c>
      <c r="L9" s="1" t="s">
        <v>17</v>
      </c>
      <c r="M9" s="1"/>
    </row>
    <row r="10" customFormat="false" ht="15" hidden="false" customHeight="false" outlineLevel="0" collapsed="false">
      <c r="A10" s="0" t="s">
        <v>52</v>
      </c>
      <c r="B10" s="0" t="s">
        <v>53</v>
      </c>
      <c r="C10" s="0" t="s">
        <v>54</v>
      </c>
      <c r="D10" s="0" t="s">
        <v>14</v>
      </c>
      <c r="E10" s="0" t="s">
        <v>17</v>
      </c>
      <c r="F10" s="0" t="s">
        <v>17</v>
      </c>
      <c r="G10" s="0" t="s">
        <v>28</v>
      </c>
      <c r="H10" s="0" t="s">
        <v>55</v>
      </c>
      <c r="I10" s="5" t="b">
        <f aca="false">TRUE()</f>
        <v>1</v>
      </c>
      <c r="J10" s="3" t="b">
        <f aca="false">TRUE()</f>
        <v>1</v>
      </c>
      <c r="L10" s="1"/>
      <c r="M10" s="1"/>
    </row>
    <row r="11" customFormat="false" ht="15" hidden="false" customHeight="false" outlineLevel="0" collapsed="false">
      <c r="A11" s="0" t="s">
        <v>56</v>
      </c>
      <c r="B11" s="0" t="s">
        <v>57</v>
      </c>
      <c r="C11" s="0" t="s">
        <v>58</v>
      </c>
      <c r="D11" s="0" t="s">
        <v>14</v>
      </c>
      <c r="E11" s="0" t="s">
        <v>33</v>
      </c>
      <c r="F11" s="0" t="s">
        <v>33</v>
      </c>
      <c r="G11" s="0" t="s">
        <v>28</v>
      </c>
      <c r="H11" s="0" t="s">
        <v>59</v>
      </c>
      <c r="I11" s="5" t="b">
        <f aca="false">TRUE()</f>
        <v>1</v>
      </c>
      <c r="J11" s="3" t="b">
        <f aca="false">TRUE()</f>
        <v>1</v>
      </c>
      <c r="L11" s="1"/>
      <c r="M11" s="1"/>
    </row>
    <row r="12" customFormat="false" ht="15" hidden="false" customHeight="false" outlineLevel="0" collapsed="false">
      <c r="A12" s="0" t="s">
        <v>60</v>
      </c>
      <c r="B12" s="0" t="s">
        <v>61</v>
      </c>
      <c r="C12" s="0" t="s">
        <v>62</v>
      </c>
      <c r="D12" s="0" t="s">
        <v>14</v>
      </c>
      <c r="E12" s="0" t="s">
        <v>17</v>
      </c>
      <c r="F12" s="0" t="s">
        <v>23</v>
      </c>
      <c r="G12" s="0" t="s">
        <v>17</v>
      </c>
      <c r="H12" s="0" t="s">
        <v>63</v>
      </c>
      <c r="I12" s="5" t="b">
        <f aca="false">FALSE()</f>
        <v>0</v>
      </c>
      <c r="J12" s="3" t="b">
        <f aca="false">TRUE()</f>
        <v>1</v>
      </c>
      <c r="L12" s="1" t="s">
        <v>23</v>
      </c>
      <c r="M12" s="1"/>
    </row>
    <row r="13" customFormat="false" ht="15" hidden="false" customHeight="false" outlineLevel="0" collapsed="false">
      <c r="A13" s="0" t="s">
        <v>64</v>
      </c>
      <c r="B13" s="0" t="s">
        <v>65</v>
      </c>
      <c r="C13" s="0" t="s">
        <v>66</v>
      </c>
      <c r="D13" s="0" t="s">
        <v>14</v>
      </c>
      <c r="E13" s="0" t="s">
        <v>16</v>
      </c>
      <c r="F13" s="0" t="s">
        <v>33</v>
      </c>
      <c r="G13" s="0" t="s">
        <v>28</v>
      </c>
      <c r="H13" s="0" t="s">
        <v>67</v>
      </c>
      <c r="I13" s="6" t="b">
        <f aca="false">FALSE()</f>
        <v>0</v>
      </c>
      <c r="J13" s="3" t="b">
        <f aca="false">FALSE()</f>
        <v>0</v>
      </c>
      <c r="L13" s="1"/>
      <c r="M13" s="1"/>
    </row>
    <row r="14" customFormat="false" ht="15" hidden="false" customHeight="false" outlineLevel="0" collapsed="false">
      <c r="A14" s="0" t="s">
        <v>68</v>
      </c>
      <c r="B14" s="0" t="s">
        <v>69</v>
      </c>
      <c r="C14" s="0" t="s">
        <v>70</v>
      </c>
      <c r="D14" s="0" t="s">
        <v>14</v>
      </c>
      <c r="E14" s="0" t="s">
        <v>33</v>
      </c>
      <c r="F14" s="0" t="s">
        <v>33</v>
      </c>
      <c r="G14" s="0" t="s">
        <v>28</v>
      </c>
      <c r="H14" s="0" t="s">
        <v>71</v>
      </c>
      <c r="I14" s="5" t="b">
        <f aca="false">TRUE()</f>
        <v>1</v>
      </c>
      <c r="J14" s="3" t="b">
        <f aca="false">TRUE()</f>
        <v>1</v>
      </c>
      <c r="L14" s="1"/>
      <c r="M14" s="1"/>
    </row>
    <row r="15" customFormat="false" ht="15" hidden="false" customHeight="false" outlineLevel="0" collapsed="false">
      <c r="A15" s="0" t="s">
        <v>72</v>
      </c>
      <c r="B15" s="0" t="s">
        <v>73</v>
      </c>
      <c r="C15" s="0" t="s">
        <v>74</v>
      </c>
      <c r="D15" s="0" t="s">
        <v>14</v>
      </c>
      <c r="E15" s="0" t="s">
        <v>38</v>
      </c>
      <c r="F15" s="0" t="s">
        <v>38</v>
      </c>
      <c r="G15" s="0" t="s">
        <v>23</v>
      </c>
      <c r="H15" s="0" t="s">
        <v>75</v>
      </c>
      <c r="I15" s="5" t="b">
        <f aca="false">TRUE()</f>
        <v>1</v>
      </c>
      <c r="J15" s="3" t="b">
        <f aca="false">TRUE()</f>
        <v>1</v>
      </c>
      <c r="L15" s="1"/>
      <c r="M15" s="1"/>
    </row>
    <row r="16" customFormat="false" ht="15" hidden="false" customHeight="false" outlineLevel="0" collapsed="false">
      <c r="A16" s="0" t="s">
        <v>76</v>
      </c>
      <c r="B16" s="0" t="s">
        <v>77</v>
      </c>
      <c r="C16" s="0" t="s">
        <v>78</v>
      </c>
      <c r="D16" s="0" t="s">
        <v>14</v>
      </c>
      <c r="E16" s="0" t="s">
        <v>28</v>
      </c>
      <c r="F16" s="0" t="s">
        <v>23</v>
      </c>
      <c r="G16" s="0" t="s">
        <v>17</v>
      </c>
      <c r="H16" s="0" t="s">
        <v>79</v>
      </c>
      <c r="I16" s="5" t="b">
        <f aca="false">FALSE()</f>
        <v>0</v>
      </c>
      <c r="J16" s="3" t="b">
        <f aca="false">FALSE()</f>
        <v>0</v>
      </c>
      <c r="L16" s="1" t="s">
        <v>23</v>
      </c>
      <c r="M16" s="1"/>
    </row>
    <row r="17" customFormat="false" ht="56" hidden="false" customHeight="false" outlineLevel="0" collapsed="false">
      <c r="A17" s="0" t="s">
        <v>80</v>
      </c>
      <c r="B17" s="0" t="s">
        <v>81</v>
      </c>
      <c r="C17" s="7" t="s">
        <v>82</v>
      </c>
      <c r="D17" s="0" t="s">
        <v>14</v>
      </c>
      <c r="E17" s="0" t="s">
        <v>38</v>
      </c>
      <c r="F17" s="0" t="s">
        <v>83</v>
      </c>
      <c r="G17" s="0" t="s">
        <v>38</v>
      </c>
      <c r="H17" s="0" t="s">
        <v>84</v>
      </c>
      <c r="I17" s="5" t="b">
        <f aca="false">FALSE()</f>
        <v>0</v>
      </c>
      <c r="J17" s="3" t="b">
        <f aca="false">TRUE()</f>
        <v>1</v>
      </c>
      <c r="L17" s="1" t="s">
        <v>83</v>
      </c>
      <c r="M17" s="1"/>
    </row>
    <row r="18" customFormat="false" ht="15" hidden="false" customHeight="false" outlineLevel="0" collapsed="false">
      <c r="A18" s="0" t="s">
        <v>85</v>
      </c>
      <c r="B18" s="0" t="s">
        <v>86</v>
      </c>
      <c r="C18" s="0" t="s">
        <v>87</v>
      </c>
      <c r="D18" s="0" t="s">
        <v>14</v>
      </c>
      <c r="E18" s="0" t="s">
        <v>28</v>
      </c>
      <c r="F18" s="0" t="s">
        <v>28</v>
      </c>
      <c r="G18" s="0" t="s">
        <v>88</v>
      </c>
      <c r="H18" s="0" t="s">
        <v>89</v>
      </c>
      <c r="I18" s="5" t="b">
        <f aca="false">TRUE()</f>
        <v>1</v>
      </c>
      <c r="J18" s="3" t="b">
        <f aca="false">TRUE()</f>
        <v>1</v>
      </c>
      <c r="L18" s="1"/>
      <c r="M18" s="1"/>
    </row>
    <row r="19" customFormat="false" ht="15" hidden="false" customHeight="false" outlineLevel="0" collapsed="false">
      <c r="A19" s="0" t="s">
        <v>90</v>
      </c>
      <c r="B19" s="0" t="s">
        <v>91</v>
      </c>
      <c r="C19" s="0" t="s">
        <v>92</v>
      </c>
      <c r="D19" s="0" t="s">
        <v>14</v>
      </c>
      <c r="E19" s="0" t="s">
        <v>38</v>
      </c>
      <c r="F19" s="0" t="s">
        <v>38</v>
      </c>
      <c r="G19" s="0" t="s">
        <v>23</v>
      </c>
      <c r="H19" s="0" t="s">
        <v>93</v>
      </c>
      <c r="I19" s="5" t="b">
        <f aca="false">TRUE()</f>
        <v>1</v>
      </c>
      <c r="J19" s="3" t="b">
        <f aca="false">TRUE()</f>
        <v>1</v>
      </c>
      <c r="L19" s="1"/>
      <c r="M19" s="1"/>
    </row>
    <row r="20" customFormat="false" ht="15" hidden="false" customHeight="false" outlineLevel="0" collapsed="false">
      <c r="A20" s="0" t="s">
        <v>94</v>
      </c>
      <c r="B20" s="0" t="s">
        <v>95</v>
      </c>
      <c r="C20" s="0" t="s">
        <v>96</v>
      </c>
      <c r="D20" s="0" t="s">
        <v>14</v>
      </c>
      <c r="E20" s="0" t="s">
        <v>38</v>
      </c>
      <c r="F20" s="0" t="s">
        <v>38</v>
      </c>
      <c r="G20" s="0" t="s">
        <v>23</v>
      </c>
      <c r="H20" s="0" t="s">
        <v>97</v>
      </c>
      <c r="I20" s="5" t="b">
        <f aca="false">TRUE()</f>
        <v>1</v>
      </c>
      <c r="J20" s="3" t="b">
        <f aca="false">TRUE()</f>
        <v>1</v>
      </c>
      <c r="L20" s="1"/>
      <c r="M20" s="1"/>
    </row>
    <row r="21" customFormat="false" ht="15" hidden="false" customHeight="false" outlineLevel="0" collapsed="false">
      <c r="A21" s="0" t="s">
        <v>98</v>
      </c>
      <c r="B21" s="0" t="s">
        <v>99</v>
      </c>
      <c r="C21" s="0" t="s">
        <v>100</v>
      </c>
      <c r="D21" s="0" t="s">
        <v>14</v>
      </c>
      <c r="E21" s="0" t="s">
        <v>38</v>
      </c>
      <c r="F21" s="0" t="s">
        <v>38</v>
      </c>
      <c r="G21" s="0" t="s">
        <v>23</v>
      </c>
      <c r="H21" s="0" t="s">
        <v>101</v>
      </c>
      <c r="I21" s="5" t="b">
        <f aca="false">TRUE()</f>
        <v>1</v>
      </c>
      <c r="J21" s="3" t="b">
        <f aca="false">TRUE()</f>
        <v>1</v>
      </c>
      <c r="L21" s="1"/>
      <c r="M21" s="1"/>
    </row>
    <row r="22" customFormat="false" ht="15" hidden="false" customHeight="false" outlineLevel="0" collapsed="false">
      <c r="A22" s="0" t="s">
        <v>102</v>
      </c>
      <c r="B22" s="0" t="s">
        <v>103</v>
      </c>
      <c r="C22" s="0" t="s">
        <v>104</v>
      </c>
      <c r="D22" s="0" t="s">
        <v>14</v>
      </c>
      <c r="E22" s="0" t="s">
        <v>15</v>
      </c>
      <c r="F22" s="0" t="s">
        <v>23</v>
      </c>
      <c r="G22" s="0" t="s">
        <v>28</v>
      </c>
      <c r="H22" s="0" t="s">
        <v>105</v>
      </c>
      <c r="I22" s="5" t="b">
        <f aca="false">FALSE()</f>
        <v>0</v>
      </c>
      <c r="J22" s="3" t="b">
        <f aca="false">FALSE()</f>
        <v>0</v>
      </c>
      <c r="L22" s="4" t="s">
        <v>23</v>
      </c>
      <c r="M22" s="1"/>
    </row>
    <row r="23" customFormat="false" ht="15" hidden="false" customHeight="false" outlineLevel="0" collapsed="false">
      <c r="A23" s="0" t="s">
        <v>106</v>
      </c>
      <c r="B23" s="0" t="s">
        <v>107</v>
      </c>
      <c r="C23" s="0" t="s">
        <v>108</v>
      </c>
      <c r="D23" s="0" t="s">
        <v>14</v>
      </c>
      <c r="E23" s="0" t="s">
        <v>17</v>
      </c>
      <c r="F23" s="0" t="s">
        <v>17</v>
      </c>
      <c r="G23" s="0" t="s">
        <v>15</v>
      </c>
      <c r="H23" s="0" t="s">
        <v>109</v>
      </c>
      <c r="I23" s="5" t="b">
        <f aca="false">TRUE()</f>
        <v>1</v>
      </c>
      <c r="J23" s="3" t="b">
        <f aca="false">TRUE()</f>
        <v>1</v>
      </c>
      <c r="L23" s="1"/>
      <c r="M23" s="1"/>
    </row>
    <row r="24" customFormat="false" ht="15" hidden="false" customHeight="false" outlineLevel="0" collapsed="false">
      <c r="A24" s="0" t="s">
        <v>110</v>
      </c>
      <c r="B24" s="0" t="s">
        <v>111</v>
      </c>
      <c r="C24" s="0" t="s">
        <v>112</v>
      </c>
      <c r="D24" s="0" t="s">
        <v>14</v>
      </c>
      <c r="E24" s="0" t="s">
        <v>88</v>
      </c>
      <c r="F24" s="0" t="s">
        <v>83</v>
      </c>
      <c r="G24" s="0" t="s">
        <v>88</v>
      </c>
      <c r="H24" s="0" t="s">
        <v>113</v>
      </c>
      <c r="I24" s="5" t="b">
        <f aca="false">FALSE()</f>
        <v>0</v>
      </c>
      <c r="J24" s="3" t="b">
        <f aca="false">TRUE()</f>
        <v>1</v>
      </c>
      <c r="L24" s="1" t="s">
        <v>83</v>
      </c>
      <c r="M24" s="1"/>
    </row>
    <row r="25" customFormat="false" ht="15" hidden="false" customHeight="false" outlineLevel="0" collapsed="false">
      <c r="A25" s="0" t="s">
        <v>114</v>
      </c>
      <c r="B25" s="0" t="s">
        <v>115</v>
      </c>
      <c r="C25" s="0" t="s">
        <v>116</v>
      </c>
      <c r="D25" s="0" t="s">
        <v>14</v>
      </c>
      <c r="E25" s="0" t="s">
        <v>33</v>
      </c>
      <c r="F25" s="0" t="s">
        <v>33</v>
      </c>
      <c r="G25" s="0" t="s">
        <v>15</v>
      </c>
      <c r="H25" s="0" t="s">
        <v>117</v>
      </c>
      <c r="I25" s="5" t="b">
        <f aca="false">TRUE()</f>
        <v>1</v>
      </c>
      <c r="J25" s="3" t="b">
        <f aca="false">TRUE()</f>
        <v>1</v>
      </c>
      <c r="L25" s="1"/>
      <c r="M25" s="1"/>
    </row>
    <row r="26" customFormat="false" ht="15" hidden="false" customHeight="false" outlineLevel="0" collapsed="false">
      <c r="A26" s="0" t="s">
        <v>118</v>
      </c>
      <c r="B26" s="0" t="s">
        <v>119</v>
      </c>
      <c r="C26" s="0" t="s">
        <v>120</v>
      </c>
      <c r="D26" s="0" t="s">
        <v>14</v>
      </c>
      <c r="E26" s="0" t="s">
        <v>16</v>
      </c>
      <c r="F26" s="0" t="s">
        <v>88</v>
      </c>
      <c r="G26" s="0" t="s">
        <v>83</v>
      </c>
      <c r="H26" s="0" t="s">
        <v>121</v>
      </c>
      <c r="I26" s="6" t="b">
        <f aca="false">FALSE()</f>
        <v>0</v>
      </c>
      <c r="J26" s="3" t="b">
        <f aca="false">FALSE()</f>
        <v>0</v>
      </c>
      <c r="L26" s="1"/>
      <c r="M26" s="1"/>
    </row>
    <row r="27" customFormat="false" ht="15" hidden="false" customHeight="false" outlineLevel="0" collapsed="false">
      <c r="A27" s="0" t="s">
        <v>122</v>
      </c>
      <c r="B27" s="0" t="s">
        <v>123</v>
      </c>
      <c r="C27" s="0" t="s">
        <v>124</v>
      </c>
      <c r="D27" s="0" t="s">
        <v>14</v>
      </c>
      <c r="E27" s="0" t="s">
        <v>15</v>
      </c>
      <c r="F27" s="0" t="s">
        <v>17</v>
      </c>
      <c r="G27" s="0" t="s">
        <v>23</v>
      </c>
      <c r="H27" s="0" t="s">
        <v>125</v>
      </c>
      <c r="I27" s="5" t="b">
        <f aca="false">FALSE()</f>
        <v>0</v>
      </c>
      <c r="J27" s="3" t="b">
        <f aca="false">FALSE()</f>
        <v>0</v>
      </c>
      <c r="L27" s="1" t="s">
        <v>17</v>
      </c>
      <c r="M27" s="1"/>
    </row>
    <row r="28" customFormat="false" ht="15" hidden="false" customHeight="false" outlineLevel="0" collapsed="false">
      <c r="A28" s="0" t="s">
        <v>126</v>
      </c>
      <c r="B28" s="0" t="s">
        <v>127</v>
      </c>
      <c r="C28" s="0" t="s">
        <v>128</v>
      </c>
      <c r="D28" s="0" t="s">
        <v>14</v>
      </c>
      <c r="E28" s="0" t="s">
        <v>17</v>
      </c>
      <c r="F28" s="0" t="s">
        <v>16</v>
      </c>
      <c r="G28" s="0" t="s">
        <v>17</v>
      </c>
      <c r="H28" s="0" t="s">
        <v>129</v>
      </c>
      <c r="I28" s="5" t="b">
        <f aca="false">FALSE()</f>
        <v>0</v>
      </c>
      <c r="J28" s="3" t="b">
        <f aca="false">TRUE()</f>
        <v>1</v>
      </c>
      <c r="L28" s="1" t="s">
        <v>16</v>
      </c>
      <c r="M28"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130</v>
      </c>
      <c r="C1" s="0" t="s">
        <v>8</v>
      </c>
      <c r="D1" s="0" t="s">
        <v>131</v>
      </c>
      <c r="E1" s="0" t="s">
        <v>132</v>
      </c>
      <c r="F1" s="0" t="s">
        <v>133</v>
      </c>
    </row>
    <row r="2" customFormat="false" ht="15" hidden="false" customHeight="false" outlineLevel="0" collapsed="false">
      <c r="A2" s="0" t="s">
        <v>15</v>
      </c>
      <c r="B2" s="0" t="n">
        <v>3</v>
      </c>
      <c r="C2" s="0" t="n">
        <v>0</v>
      </c>
      <c r="D2" s="0" t="n">
        <v>0</v>
      </c>
      <c r="E2" s="0" t="s">
        <v>134</v>
      </c>
      <c r="F2" s="0" t="s">
        <v>134</v>
      </c>
    </row>
    <row r="3" customFormat="false" ht="15" hidden="false" customHeight="false" outlineLevel="0" collapsed="false">
      <c r="A3" s="0" t="s">
        <v>17</v>
      </c>
      <c r="B3" s="0" t="n">
        <v>4</v>
      </c>
      <c r="C3" s="0" t="n">
        <v>2</v>
      </c>
      <c r="D3" s="0" t="n">
        <v>4</v>
      </c>
      <c r="E3" s="0" t="s">
        <v>135</v>
      </c>
      <c r="F3" s="0" t="s">
        <v>136</v>
      </c>
    </row>
    <row r="4" customFormat="false" ht="15" hidden="false" customHeight="false" outlineLevel="0" collapsed="false">
      <c r="A4" s="0" t="s">
        <v>88</v>
      </c>
      <c r="B4" s="0" t="n">
        <v>1</v>
      </c>
      <c r="C4" s="0" t="n">
        <v>0</v>
      </c>
      <c r="D4" s="0" t="n">
        <v>1</v>
      </c>
      <c r="E4" s="0" t="s">
        <v>134</v>
      </c>
      <c r="F4" s="0" t="s">
        <v>136</v>
      </c>
    </row>
    <row r="5" customFormat="false" ht="15" hidden="false" customHeight="false" outlineLevel="0" collapsed="false">
      <c r="A5" s="0" t="s">
        <v>38</v>
      </c>
      <c r="B5" s="0" t="n">
        <v>8</v>
      </c>
      <c r="C5" s="0" t="n">
        <v>5</v>
      </c>
      <c r="D5" s="0" t="n">
        <v>7</v>
      </c>
      <c r="E5" s="0" t="s">
        <v>137</v>
      </c>
      <c r="F5" s="0" t="s">
        <v>138</v>
      </c>
    </row>
    <row r="6" customFormat="false" ht="15" hidden="false" customHeight="false" outlineLevel="0" collapsed="false">
      <c r="A6" s="0" t="s">
        <v>23</v>
      </c>
      <c r="B6" s="0" t="n">
        <v>1</v>
      </c>
      <c r="C6" s="0" t="n">
        <v>0</v>
      </c>
      <c r="D6" s="0" t="n">
        <v>1</v>
      </c>
      <c r="E6" s="0" t="s">
        <v>134</v>
      </c>
      <c r="F6" s="0" t="s">
        <v>136</v>
      </c>
    </row>
    <row r="7" customFormat="false" ht="15" hidden="false" customHeight="false" outlineLevel="0" collapsed="false">
      <c r="A7" s="0" t="s">
        <v>16</v>
      </c>
      <c r="B7" s="0" t="n">
        <v>3</v>
      </c>
      <c r="C7" s="0" t="n">
        <v>1</v>
      </c>
      <c r="D7" s="0" t="n">
        <v>1</v>
      </c>
      <c r="E7" s="0" t="s">
        <v>139</v>
      </c>
      <c r="F7" s="0" t="s">
        <v>139</v>
      </c>
    </row>
    <row r="8" customFormat="false" ht="15" hidden="false" customHeight="false" outlineLevel="0" collapsed="false">
      <c r="A8" s="0" t="s">
        <v>28</v>
      </c>
      <c r="B8" s="0" t="n">
        <v>3</v>
      </c>
      <c r="C8" s="0" t="n">
        <v>1</v>
      </c>
      <c r="D8" s="0" t="n">
        <v>2</v>
      </c>
      <c r="E8" s="0" t="s">
        <v>139</v>
      </c>
      <c r="F8" s="0" t="s">
        <v>140</v>
      </c>
    </row>
    <row r="9" customFormat="false" ht="15" hidden="false" customHeight="false" outlineLevel="0" collapsed="false">
      <c r="A9" s="0" t="s">
        <v>33</v>
      </c>
      <c r="B9" s="0" t="n">
        <v>4</v>
      </c>
      <c r="C9" s="0" t="n">
        <v>4</v>
      </c>
      <c r="D9" s="0" t="n">
        <v>4</v>
      </c>
      <c r="E9" s="0" t="s">
        <v>136</v>
      </c>
      <c r="F9" s="0"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141</v>
      </c>
      <c r="B1" s="0" t="s">
        <v>142</v>
      </c>
      <c r="C1" s="0" t="s">
        <v>130</v>
      </c>
    </row>
    <row r="2" customFormat="false" ht="15" hidden="false" customHeight="false" outlineLevel="0" collapsed="false">
      <c r="A2" s="0" t="s">
        <v>143</v>
      </c>
      <c r="B2" s="0" t="s">
        <v>144</v>
      </c>
      <c r="C2" s="0" t="n">
        <v>27</v>
      </c>
    </row>
    <row r="3" customFormat="false" ht="15" hidden="false" customHeight="false" outlineLevel="0" collapsed="false">
      <c r="A3" s="0" t="s">
        <v>145</v>
      </c>
      <c r="B3" s="0" t="s">
        <v>146</v>
      </c>
      <c r="C3" s="0"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2026-06-25T10:43:14Z</dcterms:created>
  <dc:creator>openpyxl</dc:creator>
  <dc:description/>
  <dc:language>en-GB</dc:language>
  <cp:lastModifiedBy/>
  <dcterms:modified xsi:type="dcterms:W3CDTF">2026-06-25T12:38:23Z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