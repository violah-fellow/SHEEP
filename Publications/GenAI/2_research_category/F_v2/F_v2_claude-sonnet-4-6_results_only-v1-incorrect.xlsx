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<sst xmlns="http://schemas.openxmlformats.org/spreadsheetml/2006/main" count="317" uniqueCount="161">
  <si>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</si>
  <si>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</si>
  <si>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</si>
  <si>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</si>
  <si>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</si>
  <si>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</si>
  <si>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</si>
  <si>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</si>
  <si>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</si>
  <si>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</si>
  <si>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</si>
  <si>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Comments</t>
  </si>
  <si>
    <t xml:space="preserve">pub.1193402896</t>
  </si>
  <si>
    <t xml:space="preserve">From LLMs to sustainable proteins: fine-tuning and prompt engineering for multi-agent AI in waste carbon-utilising microbial protein production</t>
  </si>
  <si>
    <t xml:space="preserve">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</si>
  <si>
    <t xml:space="preserve">F</t>
  </si>
  <si>
    <t xml:space="preserve">Bioprocess design</t>
  </si>
  <si>
    <t xml:space="preserve">Feedstocks</t>
  </si>
  <si>
    <t xml:space="preserve">The paper develops an AI framework specifically to support microbial protein fermentation research using waste carbon side-streams (CCU), making it a process/tool innovation for fermentation systems; the feedstocks angle is secondary as the system is oriented toward waste carbon utilisation for microbial protein production, though neither category fits perfectly and Other is also plausible — however the explicit focus on fermentation process support and waste feedstock integration makes these the closest matches.</t>
  </si>
  <si>
    <t xml:space="preserve">Changed.</t>
  </si>
  <si>
    <t xml:space="preserve">Borderline. Matches Dave’s interpretation, though I’m hesitant that it is truly bioprocess.</t>
  </si>
  <si>
    <t xml:space="preserve">pub.1194325701</t>
  </si>
  <si>
    <t xml:space="preserve">Towards a circular food system: Biomass profile, antioxidant properties, and cytotoxicity of marine and freshwater microalgae cultivated on digestate</t>
  </si>
  <si>
    <t xml:space="preserve">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</si>
  <si>
    <t xml:space="preserve">Ingredient optimisation</t>
  </si>
  <si>
    <t xml:space="preserve">The study directly investigates liquid digestate as an alternative cultivation medium (feedstock) for microalgae, comparing biomass composition, bioactivity, and safety outcomes when grown on this waste-stream feedstock versus standard media.</t>
  </si>
  <si>
    <t xml:space="preserve">As before.</t>
  </si>
  <si>
    <t xml:space="preserve">pub.1192390055</t>
  </si>
  <si>
    <t xml:space="preserve">Fermentation of Monascus purpureus biomass as a new protein-rich food ingredient</t>
  </si>
  <si>
    <t xml:space="preserve">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</si>
  <si>
    <t xml:space="preserve">Strain development</t>
  </si>
  <si>
    <t xml:space="preserve">The study optimises fermentation conditions (SSF vs SmF) to produce M. purpureus biomass and then characterises the resulting ingredient's protein content, amino acid profile, bioactive compounds, and functional properties (emulsifying, gelling, foaming), making ingredient-level characterisation the primary focus with bioprocess optimisation as a secondary contribution.</t>
  </si>
  <si>
    <t xml:space="preserve">pub.1193762105</t>
  </si>
  <si>
    <t xml:space="preserve">Soluble recombinant transglutaminase for crosslinking plant protein hydrolysates</t>
  </si>
  <si>
    <t xml:space="preserve">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</si>
  <si>
    <t xml:space="preserve">Target molecule selection</t>
  </si>
  <si>
    <t xml:space="preserve">The paper produces a recombinant cold-active transglutaminase and applies it to crosslink pea protein hydrolysates, with the primary focus on improving the physicochemical and functional properties of the plant protein ingredient; strain/expression system engineering in E. coli is a key secondary contribution enabling enzyme production.</t>
  </si>
  <si>
    <t xml:space="preserve">The novel part is the target molecule (enzyme) production.</t>
  </si>
  <si>
    <t xml:space="preserve">pub.1188825598</t>
  </si>
  <si>
    <t xml:space="preserve">Is There a Specific Role for Fungal Protein Within Food Based Dietary Guidelines? A Roundtable Discussion</t>
  </si>
  <si>
    <t xml:space="preserve">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</si>
  <si>
    <t xml:space="preserve">Health &amp; nutrition</t>
  </si>
  <si>
    <t xml:space="preserve">Other</t>
  </si>
  <si>
    <t xml:space="preserve">This is a roundtable discussion/workshop report covering policy, dietary guidelines, and broad considerations around fungal protein, spanning health, sustainability, and consumer communication without a single primary experimental or analytical focus.</t>
  </si>
  <si>
    <t xml:space="preserve">Borderline. I still think health &amp; nutrition is more appropriate than Other given the focus on diet and health.</t>
  </si>
  <si>
    <t xml:space="preserve">pub.1188899046</t>
  </si>
  <si>
    <t xml:space="preserve">Solid State Fermentation—A Promising Approach to Produce Meat Analogues</t>
  </si>
  <si>
    <t xml:space="preserve">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</si>
  <si>
    <t xml:space="preserve">This is a broad review article covering multiple aspects of SSF (microbial strains, substrate selection, fermentation conditions, nutritional improvements, sensory properties) rather than having a single specific experimental or analytical focus, warranting Other as primary; Ingredient Optimisation is the closest secondary category given the review's emphasis on improving plant-derived protein ingredient quality.</t>
  </si>
  <si>
    <t xml:space="preserve">Changed – now correct!</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</si>
  <si>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</si>
  <si>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</si>
  <si>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</si>
  <si>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The paper's primary focus is measuring protein digestibility and indispensable amino acid scores as nutritional quality endpoints using the INFOGEST in vitro digestion model, with physiological relevance (protein quality for humans and animals) as the central research question, while also characterising ingredient-level functional and compositional properties.</t>
  </si>
  <si>
    <t xml:space="preserve">pub.1193571360</t>
  </si>
  <si>
    <t xml:space="preserve">In vitro protein digestion and mineral accessibility of edible filamentous fungi cultivated on winery and distillery by-products</t>
  </si>
  <si>
    <t xml:space="preserve">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</si>
  <si>
    <t xml:space="preserve">The study primarily investigates winery and distillery by-products as alternative feedstocks for cultivating edible filamentous fungi, while also characterising the resulting biomass for protein digestibility, amino acid profile, and mineral accessibility as ingredient-level quality metrics.</t>
  </si>
  <si>
    <t xml:space="preserve">Novelty is the feedstocks. </t>
  </si>
  <si>
    <t xml:space="preserve">pub.1190518646</t>
  </si>
  <si>
    <t xml:space="preserve">Development of a Biotechnological Strategy for CO2 Capture in Coke Plant Emissions Using Microalgae</t>
  </si>
  <si>
    <t xml:space="preserve">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</si>
  <si>
    <t xml:space="preserve">The paper primarily investigates bioprocess conditions (CO2 concentration, light-dark cycles, flow rates) for microalgal cultivation using industrial flue gas emissions as a carbon feedstock, with biomass production as the key output.</t>
  </si>
  <si>
    <t xml:space="preserve">Feedstocks because the question is whether industrial CO2 emissions can serve as carbon feedstock for microalgae cultivation.</t>
  </si>
  <si>
    <t xml:space="preserve">pub.1190448023</t>
  </si>
  <si>
    <t xml:space="preserve">Production of phosphorylated and functional αs1-casein in Escherichia coli</t>
  </si>
  <si>
    <t xml:space="preserve">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</si>
  <si>
    <t xml:space="preserve">The paper's core contribution is engineering E. coli to co-express bacterial protein kinases for phosphorylation of recombinant αs1-casein, which is active microbial strain/host engineering; the structural and functional characterisation of the resulting recombinant caseins (calcium binding, digestibility, structural integrity) constitutes ingredient-level characterisation as a secondary focus.</t>
  </si>
  <si>
    <t xml:space="preserve">Updated strain and target definitions to be more clear about genetic engineering intent.</t>
  </si>
  <si>
    <t xml:space="preserve">pub.1187176068</t>
  </si>
  <si>
    <t xml:space="preserve">Umami Enhancing Properties of Enzymatically Hydrolyzed Mycelium of Flammulina velutipes Cultured on Potato Pulp</t>
  </si>
  <si>
    <t xml:space="preserve">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</si>
  <si>
    <t xml:space="preserve">The paper primarily focuses on enzymatic hydrolysis of fungal mycelium to improve its taste and functional properties as an ingredient, while also investigating potato pulp as a novel fermentation substrate for mycelium cultivation.</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</si>
  <si>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</si>
  <si>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</si>
  <si>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</si>
  <si>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The paper focuses on engineering hydrogen-oxidising bacteria as cell factories via synthetic biology and metabolic engineering for precision fermentation, with bioprocess/bioreactor design as a secondary but substantive focus.</t>
  </si>
  <si>
    <t xml:space="preserve">Should be Other but not a huge problem for it to be assigned a specific category. I does cover a lot of strain development focus.</t>
  </si>
  <si>
    <t xml:space="preserve">pub.1191524504</t>
  </si>
  <si>
    <t xml:space="preserve">Recombinant napin expression in Pichia pastoris: Structural and functional attributes in comparison with canola-derived napin</t>
  </si>
  <si>
    <t xml:space="preserve">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</si>
  <si>
    <t xml:space="preserve">The paper's primary contribution is engineering and optimising Pichia pastoris strains (promoter selection, ploidy engineering) to produce recombinant napin, with secondary focus on characterising the functional and structural properties of the resulting ingredient.</t>
  </si>
  <si>
    <t xml:space="preserve">Wait to test new strain and target molecule definitions.</t>
  </si>
  <si>
    <t xml:space="preserve">pub.1186271958</t>
  </si>
  <si>
    <t xml:space="preserve">Semi-dynamic in vitro digestion of honey chlorella vulgaris reveals biochemical and structural insights during gastro-intestinal transit</t>
  </si>
  <si>
    <t xml:space="preserve">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</si>
  <si>
    <t xml:space="preserve">The study's primary focus is on digestibility and nutrient bioaccessibility of Chlorella vulgaris using an in vitro digestion model, with physiological relevance (protein hydrolysis, amino acid release) as the central research question, while secondarily characterising the ingredient's structural and biochemical properties during digestion.</t>
  </si>
  <si>
    <t xml:space="preserve">pub.1187855186</t>
  </si>
  <si>
    <t xml:space="preserve">Carbon and ammonium limitation and nitrogen fixation alter the nutritional profile of purple non-sulphur bacteria grown on H2 and CO2</t>
  </si>
  <si>
    <t xml:space="preserve">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</si>
  <si>
    <t xml:space="preserve">The study directly investigates how different nutrient limitation conditions and nitrogen fixation alter the nutritional composition (amino acid profile, pigments, phosphorus) of purple non-sulphur bacteria biomass, making ingredient-level characterisation and optimisation the primary focus, while the manipulation of carbon and nitrogen sources (H2/CO2, NH4+ vs. N2 fixation) relates to feedstock/nutrient supply strategies.</t>
  </si>
  <si>
    <t xml:space="preserve">pub.1193129062</t>
  </si>
  <si>
    <t xml:space="preserve">Designing Culturally Acceptable, Nutritious, and Low Environmental Impact Finnish Diets with Mycoprotein: A Novel Optimization Approach</t>
  </si>
  <si>
    <t xml:space="preserve">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</si>
  <si>
    <t xml:space="preserve">Impact assessments</t>
  </si>
  <si>
    <t xml:space="preserve">The paper develops a quantitative diet optimization model to assess the environmental (GHGE) and nutritional impacts of incorporating mycoprotein into Finnish diets, making structured impact assessment its primary contribution, with nutritional adequacy as a key secondary analytical dimension.</t>
  </si>
  <si>
    <t xml:space="preserve">Borderline. But the focus is on creating diets that are more sustainable. The nutrition aspect is only trying to maintain equivalent nutritional benefits vs meat-containing diets, not for improve nutrition or health outcomes.</t>
  </si>
  <si>
    <t xml:space="preserve">pub.1187570126</t>
  </si>
  <si>
    <t xml:space="preserve">Mycotoxin-free Aspergillus oryzae strain lineage for alternative and novel protein production at industrial scale</t>
  </si>
  <si>
    <t xml:space="preserve">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</si>
  <si>
    <t xml:space="preserve">Food safety &amp; quality</t>
  </si>
  <si>
    <t xml:space="preserve">The paper primarily reviews the safety characterization of an A. oryzae strain lineage by documenting deletions of mycotoxin biosynthetic gene clusters, which is a food safety assessment; secondarily, it describes strain engineering work (chromosomal deletions, gene cluster inactivations) to develop a mycotoxin-free production host.</t>
  </si>
  <si>
    <t xml:space="preserve">Updated strain definition to include reduction of toxins and byproducts, and updated food definition to focus more on food ingredients and products.</t>
  </si>
  <si>
    <t xml:space="preserve">pub.1193713945</t>
  </si>
  <si>
    <t xml:space="preserve">In-vitro investigation of mycoprotein: opportunities for older adult nutrition</t>
  </si>
  <si>
    <t xml:space="preserve">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</si>
  <si>
    <t xml:space="preserve">The study's primary focus is measuring in-vitro protein digestibility of mycoprotein under physiologically relevant older adult gastrointestinal conditions, with the central research question being a nutritional/physiological outcome (digestibility as a health-relevant endpoint for older adults), while ingredient-level characterisation of mycoprotein's amino acid profile and digestibility is a secondary contribution.</t>
  </si>
  <si>
    <t xml:space="preserve">pub.1185959640</t>
  </si>
  <si>
    <t xml:space="preserve">In vitro human gastrointestinal digestibility and colonic fermentation of edible yeast-based protein: A comparative study with whey and casein</t>
  </si>
  <si>
    <t xml:space="preserve">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</si>
  <si>
    <t xml:space="preserve">The paper's primary experimental focus is measuring physiological outcomes of digestion and colonic fermentation (amino acid bioaccessibility, SCFA production, microbial composition) as endpoints of nutritional relevance, placing it in Health &amp; Nutrition, with secondary relevance to Ingredient Optimisation given the digestibility profiling of the yeast-based protein ingredient compared to reference proteins.</t>
  </si>
  <si>
    <t xml:space="preserve">pub.1184369603</t>
  </si>
  <si>
    <t xml:space="preserve">In vitro digestibility of bioprocessed brewer’s spent yeast: Demonstrating protein quality and gut microbiome modulation potential</t>
  </si>
  <si>
    <t xml:space="preserve">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</si>
  <si>
    <t xml:space="preserve">The paper's primary experimental focus is in vitro protein digestibility, amino acid bioaccessibility, DIAAS protein quality scoring, and gut microbiome modulation — all physiological/nutritional outcome measures — while ingredient-level characterisation of the bioprocessed brewer's spent yeast is the secondary contribution.</t>
  </si>
  <si>
    <t xml:space="preserve">pub.1193856038</t>
  </si>
  <si>
    <t xml:space="preserve">Increasing the Lipid Content of Filamentous Fungi: Potential Alternatives to Conventional Meat through Culture Medium Modification and High-Lipid Yeast Immobilization</t>
  </si>
  <si>
    <t xml:space="preserve">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</si>
  <si>
    <t xml:space="preserve">The paper directly investigates and measures modifications to fungal biomass composition (lipid and protein content) through culture medium modification and yeast immobilization techniques applied to filamentous fungi as ingredients, with strain selection (A. oryzae and A. brunnescens) as a secondary focus.</t>
  </si>
  <si>
    <t xml:space="preserve">Borderline. Still concerned about strain development as secondary. I have added clarification that just evaluating a couple of existing strains is not development.</t>
  </si>
  <si>
    <t xml:space="preserve">pub.1183954386</t>
  </si>
  <si>
    <t xml:space="preserve">Sulfur-containing microbial protein production from sulfide-rich biogas in hollow fiber membrane bioreactors</t>
  </si>
  <si>
    <t xml:space="preserve">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</si>
  <si>
    <t xml:space="preserve">The paper's primary contribution is the engineering and evaluation of hollow fiber membrane bioreactors for microbial protein production from biogas, assessing gas transfer efficiency, biofilm effects, and gas loading rates; secondarily, it investigates sulfide-rich biogas as a novel feedstock and its effects on fermentation performance and amino acid composition.</t>
  </si>
  <si>
    <t xml:space="preserve">Feedstock now secondary!</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</si>
  <si>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</si>
  <si>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</si>
  <si>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</si>
  <si>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The paper conducts a structured policy/regulatory content analysis of European documents governing microbial biomass value chains, which qualifies as a systematic assessment of regulatory and policy impacts; food safety and regulatory gaps are the secondary focus identified through the analysis.</t>
  </si>
  <si>
    <t xml:space="preserve">pub.1190464946</t>
  </si>
  <si>
    <t xml:space="preserve">Scientific and technological challenges of recombinant egg protein production</t>
  </si>
  <si>
    <t xml:space="preserve">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</si>
  <si>
    <t xml:space="preserve">The review is narrowly focused on recombinant egg protein production via precision fermentation, comparing microbial expression hosts and their engineering challenges, with substantial coverage of both strain/host selection and bioprocess chain optimization — however, since it spans multiple categories (host comparison, upstream/downstream processing, PTMs), it is best classified as Other, but the dominant technical focus on expression hosts and target molecule production makes Strain Development the closest primary fit, with Bioprocess Design as secondary for the upstream/downstream process discussion.</t>
  </si>
  <si>
    <t xml:space="preserve">pub.1188911530</t>
  </si>
  <si>
    <t xml:space="preserve">Risk evaluation of a future B2B cell factory process producing cellular agriculture ingredients</t>
  </si>
  <si>
    <t xml:space="preserve">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</si>
  <si>
    <t xml:space="preserve">The paper conducts a structured hazard and risk assessment (HAZSCAN) of a hypothetical cell factory producing SCP/cellular agriculture ingredients, focusing on occupational, product, and environmental safety — this is primarily a food/process safety evaluation, with secondary relevance to impact assessments given its structured, scenario-based analysis of system-level risks and viability.</t>
  </si>
  <si>
    <t xml:space="preserve">Safety definition expanded to exclude process / occupational / environmental safety. Only food safety.</t>
  </si>
  <si>
    <t xml:space="preserve">pub.1188518301</t>
  </si>
  <si>
    <t xml:space="preserve">Use of Enriched Mine Water to Grow the Cyanobacterium Arthrospira platensis in Photobioreactors</t>
  </si>
  <si>
    <t xml:space="preserve">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</si>
  <si>
    <t xml:space="preserve">The paper's primary experimental focus is evaluating mine water as an alternative feedstock for Spirulina cultivation in photobioreactors, assessing its effect on biomass yield and biochemical composition (proteins, lipids, carbohydrates), which fits Feedstocks; the characterisation of the resulting dried Spirulina ingredient composition makes Ingredient Optimisation the secondary category.</t>
  </si>
  <si>
    <t xml:space="preserve">pub.1193597030</t>
  </si>
  <si>
    <t xml:space="preserve">Fungal fermentation: The blueprint for transforming industrial side streams and residues</t>
  </si>
  <si>
    <t xml:space="preserve">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</si>
  <si>
    <t xml:space="preserve">This is a broad review article covering multiple applications of fungal fermentation (mycoproteins, enzymes, biochemicals, biomaterials, agricultural uses) across diverse waste substrates and fermentation modes, spanning too many categories to be assigned a single specific research category; the closest secondary focus is the use of industrial side streams and residues as novel feedstocks.</t>
  </si>
  <si>
    <t xml:space="preserve">n</t>
  </si>
  <si>
    <t xml:space="preserve">top2_correct</t>
  </si>
  <si>
    <t xml:space="preserve">primary_acc</t>
  </si>
  <si>
    <t xml:space="preserve">top2_acc</t>
  </si>
  <si>
    <t xml:space="preserve">33%</t>
  </si>
  <si>
    <t xml:space="preserve">0%</t>
  </si>
  <si>
    <t xml:space="preserve">100%</t>
  </si>
  <si>
    <t xml:space="preserve">62%</t>
  </si>
  <si>
    <t xml:space="preserve">88%</t>
  </si>
  <si>
    <t xml:space="preserve">metric</t>
  </si>
  <si>
    <t xml:space="preserve">value</t>
  </si>
  <si>
    <t xml:space="preserve">top1_accuracy</t>
  </si>
  <si>
    <t xml:space="preserve">26%</t>
  </si>
  <si>
    <t xml:space="preserve">top2_accuracy</t>
  </si>
  <si>
    <t xml:space="preserve">59%</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</si>
</sst>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FFFF00"/>
        <bgColor rgb="FFFFFF00"/>
      </patternFill>
    </fill>
    <fill>
      <patternFill patternType="solid">
        <fgColor rgb="FF81D41A"/>
        <bgColor rgb="FF969696"/>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N29" activeCellId="0" sqref="N29"/>
    </sheetView>
  </sheetViews>
  <sheetFormatPr defaultColWidth="8.34375" defaultRowHeight="15" customHeight="false" zeroHeight="false" outlineLevelRow="0" outlineLevelCol="0"/>
  <cols>
    <col collapsed="false" customWidth="true" hidden="false" outlineLevel="0" max="12" min="12" style="0" width="19.79"/>
    <col collapsed="false" customWidth="true" hidden="false" outlineLevel="0" max="13" min="13" style="0" width="21.18"/>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L1" s="0" t="s">
        <v>10</v>
      </c>
      <c r="M1" s="0" t="s">
        <v>11</v>
      </c>
    </row>
    <row r="2" customFormat="false" ht="15" hidden="false" customHeight="false" outlineLevel="0" collapsed="false">
      <c r="A2" s="0" t="s">
        <v>12</v>
      </c>
      <c r="B2" s="0" t="s">
        <v>13</v>
      </c>
      <c r="C2" s="0" t="s">
        <v>14</v>
      </c>
      <c r="D2" s="0" t="s">
        <v>15</v>
      </c>
      <c r="E2" s="0" t="s">
        <v>16</v>
      </c>
      <c r="F2" s="0" t="s">
        <v>16</v>
      </c>
      <c r="G2" s="0" t="s">
        <v>17</v>
      </c>
      <c r="H2" s="0" t="s">
        <v>18</v>
      </c>
      <c r="I2" s="1" t="b">
        <f aca="false">TRUE()</f>
        <v>1</v>
      </c>
      <c r="J2" s="2" t="b">
        <f aca="false">TRUE()</f>
        <v>1</v>
      </c>
      <c r="L2" s="3"/>
      <c r="M2" s="0" t="s">
        <v>19</v>
      </c>
      <c r="N2" s="0" t="s">
        <v>20</v>
      </c>
    </row>
    <row r="3" customFormat="false" ht="15" hidden="false" customHeight="false" outlineLevel="0" collapsed="false">
      <c r="A3" s="0" t="s">
        <v>21</v>
      </c>
      <c r="B3" s="0" t="s">
        <v>22</v>
      </c>
      <c r="C3" s="0" t="s">
        <v>23</v>
      </c>
      <c r="D3" s="0" t="s">
        <v>15</v>
      </c>
      <c r="E3" s="0" t="s">
        <v>24</v>
      </c>
      <c r="F3" s="0" t="s">
        <v>17</v>
      </c>
      <c r="G3" s="0" t="s">
        <v>24</v>
      </c>
      <c r="H3" s="0" t="s">
        <v>25</v>
      </c>
      <c r="I3" s="4" t="b">
        <f aca="false">FALSE()</f>
        <v>0</v>
      </c>
      <c r="J3" s="2" t="b">
        <f aca="false">TRUE()</f>
        <v>1</v>
      </c>
      <c r="L3" s="5" t="s">
        <v>17</v>
      </c>
      <c r="M3" s="0" t="s">
        <v>26</v>
      </c>
    </row>
    <row r="4" customFormat="false" ht="15" hidden="false" customHeight="false" outlineLevel="0" collapsed="false">
      <c r="A4" s="0" t="s">
        <v>27</v>
      </c>
      <c r="B4" s="0" t="s">
        <v>28</v>
      </c>
      <c r="C4" s="0" t="s">
        <v>29</v>
      </c>
      <c r="D4" s="0" t="s">
        <v>15</v>
      </c>
      <c r="E4" s="0" t="s">
        <v>30</v>
      </c>
      <c r="F4" s="0" t="s">
        <v>24</v>
      </c>
      <c r="G4" s="0" t="s">
        <v>16</v>
      </c>
      <c r="H4" s="0" t="s">
        <v>31</v>
      </c>
      <c r="I4" s="4" t="b">
        <f aca="false">FALSE()</f>
        <v>0</v>
      </c>
      <c r="J4" s="2" t="b">
        <f aca="false">FALSE()</f>
        <v>0</v>
      </c>
      <c r="L4" s="5" t="s">
        <v>24</v>
      </c>
      <c r="M4" s="0" t="s">
        <v>26</v>
      </c>
    </row>
    <row r="5" customFormat="false" ht="15" hidden="false" customHeight="false" outlineLevel="0" collapsed="false">
      <c r="A5" s="0" t="s">
        <v>32</v>
      </c>
      <c r="B5" s="0" t="s">
        <v>33</v>
      </c>
      <c r="C5" s="0" t="s">
        <v>34</v>
      </c>
      <c r="D5" s="0" t="s">
        <v>15</v>
      </c>
      <c r="E5" s="0" t="s">
        <v>35</v>
      </c>
      <c r="F5" s="0" t="s">
        <v>24</v>
      </c>
      <c r="G5" s="0" t="s">
        <v>30</v>
      </c>
      <c r="H5" s="0" t="s">
        <v>36</v>
      </c>
      <c r="I5" s="6" t="b">
        <f aca="false">FALSE()</f>
        <v>0</v>
      </c>
      <c r="J5" s="2" t="b">
        <f aca="false">FALSE()</f>
        <v>0</v>
      </c>
      <c r="M5" s="0" t="s">
        <v>26</v>
      </c>
      <c r="N5" s="7" t="s">
        <v>37</v>
      </c>
    </row>
    <row r="6" customFormat="false" ht="15" hidden="false" customHeight="false" outlineLevel="0" collapsed="false">
      <c r="A6" s="0" t="s">
        <v>38</v>
      </c>
      <c r="B6" s="0" t="s">
        <v>39</v>
      </c>
      <c r="C6" s="0" t="s">
        <v>40</v>
      </c>
      <c r="D6" s="0" t="s">
        <v>15</v>
      </c>
      <c r="E6" s="0" t="s">
        <v>41</v>
      </c>
      <c r="F6" s="0" t="s">
        <v>42</v>
      </c>
      <c r="G6" s="0" t="s">
        <v>41</v>
      </c>
      <c r="H6" s="0" t="s">
        <v>43</v>
      </c>
      <c r="I6" s="6" t="b">
        <f aca="false">FALSE()</f>
        <v>0</v>
      </c>
      <c r="J6" s="2" t="b">
        <f aca="false">TRUE()</f>
        <v>1</v>
      </c>
      <c r="M6" s="0" t="s">
        <v>26</v>
      </c>
      <c r="N6" s="0" t="s">
        <v>44</v>
      </c>
    </row>
    <row r="7" customFormat="false" ht="15" hidden="false" customHeight="false" outlineLevel="0" collapsed="false">
      <c r="A7" s="0" t="s">
        <v>45</v>
      </c>
      <c r="B7" s="0" t="s">
        <v>46</v>
      </c>
      <c r="C7" s="0" t="s">
        <v>47</v>
      </c>
      <c r="D7" s="0" t="s">
        <v>15</v>
      </c>
      <c r="E7" s="0" t="s">
        <v>42</v>
      </c>
      <c r="F7" s="0" t="s">
        <v>42</v>
      </c>
      <c r="G7" s="0" t="s">
        <v>24</v>
      </c>
      <c r="H7" s="0" t="s">
        <v>48</v>
      </c>
      <c r="I7" s="4" t="b">
        <f aca="false">TRUE()</f>
        <v>1</v>
      </c>
      <c r="J7" s="2" t="b">
        <f aca="false">TRUE()</f>
        <v>1</v>
      </c>
      <c r="M7" s="0" t="s">
        <v>49</v>
      </c>
    </row>
    <row r="8" customFormat="false" ht="15" hidden="false" customHeight="false" outlineLevel="0" collapsed="false">
      <c r="A8" s="0" t="s">
        <v>50</v>
      </c>
      <c r="B8" s="0" t="s">
        <v>51</v>
      </c>
      <c r="C8" s="0" t="s">
        <v>52</v>
      </c>
      <c r="D8" s="0" t="s">
        <v>15</v>
      </c>
      <c r="E8" s="0" t="s">
        <v>41</v>
      </c>
      <c r="F8" s="0" t="s">
        <v>41</v>
      </c>
      <c r="G8" s="0" t="s">
        <v>24</v>
      </c>
      <c r="H8" s="0" t="s">
        <v>53</v>
      </c>
      <c r="I8" s="4" t="b">
        <f aca="false">TRUE()</f>
        <v>1</v>
      </c>
      <c r="J8" s="2" t="b">
        <f aca="false">TRUE()</f>
        <v>1</v>
      </c>
      <c r="L8" s="5"/>
      <c r="M8" s="0" t="s">
        <v>19</v>
      </c>
    </row>
    <row r="9" customFormat="false" ht="15" hidden="false" customHeight="false" outlineLevel="0" collapsed="false">
      <c r="A9" s="0" t="s">
        <v>54</v>
      </c>
      <c r="B9" s="0" t="s">
        <v>55</v>
      </c>
      <c r="C9" s="0" t="s">
        <v>56</v>
      </c>
      <c r="D9" s="0" t="s">
        <v>15</v>
      </c>
      <c r="E9" s="0" t="s">
        <v>41</v>
      </c>
      <c r="F9" s="0" t="s">
        <v>17</v>
      </c>
      <c r="G9" s="0" t="s">
        <v>24</v>
      </c>
      <c r="H9" s="0" t="s">
        <v>57</v>
      </c>
      <c r="I9" s="4" t="b">
        <f aca="false">FALSE()</f>
        <v>0</v>
      </c>
      <c r="J9" s="2" t="b">
        <f aca="false">FALSE()</f>
        <v>0</v>
      </c>
      <c r="L9" s="0" t="s">
        <v>17</v>
      </c>
      <c r="M9" s="0" t="s">
        <v>49</v>
      </c>
      <c r="N9" s="0" t="s">
        <v>58</v>
      </c>
    </row>
    <row r="10" customFormat="false" ht="15" hidden="false" customHeight="false" outlineLevel="0" collapsed="false">
      <c r="A10" s="0" t="s">
        <v>59</v>
      </c>
      <c r="B10" s="0" t="s">
        <v>60</v>
      </c>
      <c r="C10" s="0" t="s">
        <v>61</v>
      </c>
      <c r="D10" s="0" t="s">
        <v>15</v>
      </c>
      <c r="E10" s="0" t="s">
        <v>17</v>
      </c>
      <c r="F10" s="0" t="s">
        <v>16</v>
      </c>
      <c r="G10" s="0" t="s">
        <v>17</v>
      </c>
      <c r="H10" s="0" t="s">
        <v>62</v>
      </c>
      <c r="I10" s="6" t="b">
        <f aca="false">FALSE()</f>
        <v>0</v>
      </c>
      <c r="J10" s="2" t="b">
        <f aca="false">TRUE()</f>
        <v>1</v>
      </c>
      <c r="M10" s="0" t="s">
        <v>19</v>
      </c>
      <c r="N10" s="0" t="s">
        <v>63</v>
      </c>
    </row>
    <row r="11" customFormat="false" ht="15" hidden="false" customHeight="false" outlineLevel="0" collapsed="false">
      <c r="A11" s="0" t="s">
        <v>64</v>
      </c>
      <c r="B11" s="0" t="s">
        <v>65</v>
      </c>
      <c r="C11" s="0" t="s">
        <v>66</v>
      </c>
      <c r="D11" s="0" t="s">
        <v>15</v>
      </c>
      <c r="E11" s="0" t="s">
        <v>35</v>
      </c>
      <c r="F11" s="0" t="s">
        <v>30</v>
      </c>
      <c r="G11" s="0" t="s">
        <v>24</v>
      </c>
      <c r="H11" s="0" t="s">
        <v>67</v>
      </c>
      <c r="I11" s="6" t="b">
        <f aca="false">FALSE()</f>
        <v>0</v>
      </c>
      <c r="J11" s="2" t="b">
        <f aca="false">FALSE()</f>
        <v>0</v>
      </c>
      <c r="M11" s="0" t="s">
        <v>26</v>
      </c>
      <c r="N11" s="0" t="s">
        <v>68</v>
      </c>
    </row>
    <row r="12" customFormat="false" ht="15" hidden="false" customHeight="false" outlineLevel="0" collapsed="false">
      <c r="A12" s="0" t="s">
        <v>69</v>
      </c>
      <c r="B12" s="0" t="s">
        <v>70</v>
      </c>
      <c r="C12" s="0" t="s">
        <v>71</v>
      </c>
      <c r="D12" s="0" t="s">
        <v>15</v>
      </c>
      <c r="E12" s="0" t="s">
        <v>17</v>
      </c>
      <c r="F12" s="0" t="s">
        <v>24</v>
      </c>
      <c r="G12" s="0" t="s">
        <v>17</v>
      </c>
      <c r="H12" s="0" t="s">
        <v>72</v>
      </c>
      <c r="I12" s="4" t="b">
        <f aca="false">FALSE()</f>
        <v>0</v>
      </c>
      <c r="J12" s="2" t="b">
        <f aca="false">TRUE()</f>
        <v>1</v>
      </c>
      <c r="L12" s="5" t="s">
        <v>24</v>
      </c>
      <c r="M12" s="0" t="s">
        <v>26</v>
      </c>
    </row>
    <row r="13" customFormat="false" ht="15" hidden="false" customHeight="false" outlineLevel="0" collapsed="false">
      <c r="A13" s="0" t="s">
        <v>73</v>
      </c>
      <c r="B13" s="0" t="s">
        <v>74</v>
      </c>
      <c r="C13" s="0" t="s">
        <v>75</v>
      </c>
      <c r="D13" s="0" t="s">
        <v>15</v>
      </c>
      <c r="E13" s="0" t="s">
        <v>42</v>
      </c>
      <c r="F13" s="0" t="s">
        <v>30</v>
      </c>
      <c r="G13" s="0" t="s">
        <v>16</v>
      </c>
      <c r="H13" s="0" t="s">
        <v>76</v>
      </c>
      <c r="I13" s="6" t="b">
        <f aca="false">FALSE()</f>
        <v>0</v>
      </c>
      <c r="J13" s="2" t="b">
        <f aca="false">FALSE()</f>
        <v>0</v>
      </c>
      <c r="M13" s="0" t="s">
        <v>26</v>
      </c>
      <c r="N13" s="0" t="s">
        <v>77</v>
      </c>
    </row>
    <row r="14" customFormat="false" ht="15" hidden="false" customHeight="false" outlineLevel="0" collapsed="false">
      <c r="A14" s="0" t="s">
        <v>78</v>
      </c>
      <c r="B14" s="0" t="s">
        <v>79</v>
      </c>
      <c r="C14" s="0" t="s">
        <v>80</v>
      </c>
      <c r="D14" s="0" t="s">
        <v>15</v>
      </c>
      <c r="E14" s="0" t="s">
        <v>35</v>
      </c>
      <c r="F14" s="0" t="s">
        <v>30</v>
      </c>
      <c r="G14" s="0" t="s">
        <v>24</v>
      </c>
      <c r="H14" s="0" t="s">
        <v>81</v>
      </c>
      <c r="I14" s="6" t="b">
        <f aca="false">FALSE()</f>
        <v>0</v>
      </c>
      <c r="J14" s="2" t="b">
        <f aca="false">FALSE()</f>
        <v>0</v>
      </c>
      <c r="M14" s="0" t="s">
        <v>26</v>
      </c>
      <c r="N14" s="0" t="s">
        <v>82</v>
      </c>
    </row>
    <row r="15" customFormat="false" ht="15" hidden="false" customHeight="false" outlineLevel="0" collapsed="false">
      <c r="A15" s="0" t="s">
        <v>83</v>
      </c>
      <c r="B15" s="0" t="s">
        <v>84</v>
      </c>
      <c r="C15" s="0" t="s">
        <v>85</v>
      </c>
      <c r="D15" s="0" t="s">
        <v>15</v>
      </c>
      <c r="E15" s="0" t="s">
        <v>41</v>
      </c>
      <c r="F15" s="0" t="s">
        <v>41</v>
      </c>
      <c r="G15" s="0" t="s">
        <v>24</v>
      </c>
      <c r="H15" s="0" t="s">
        <v>86</v>
      </c>
      <c r="I15" s="4" t="b">
        <f aca="false">TRUE()</f>
        <v>1</v>
      </c>
      <c r="J15" s="2" t="b">
        <f aca="false">TRUE()</f>
        <v>1</v>
      </c>
      <c r="M15" s="0" t="s">
        <v>49</v>
      </c>
    </row>
    <row r="16" customFormat="false" ht="15" hidden="false" customHeight="false" outlineLevel="0" collapsed="false">
      <c r="A16" s="0" t="s">
        <v>87</v>
      </c>
      <c r="B16" s="0" t="s">
        <v>88</v>
      </c>
      <c r="C16" s="0" t="s">
        <v>89</v>
      </c>
      <c r="D16" s="0" t="s">
        <v>15</v>
      </c>
      <c r="E16" s="0" t="s">
        <v>30</v>
      </c>
      <c r="F16" s="0" t="s">
        <v>24</v>
      </c>
      <c r="G16" s="0" t="s">
        <v>17</v>
      </c>
      <c r="H16" s="0" t="s">
        <v>90</v>
      </c>
      <c r="I16" s="4" t="b">
        <f aca="false">FALSE()</f>
        <v>0</v>
      </c>
      <c r="J16" s="2" t="b">
        <f aca="false">FALSE()</f>
        <v>0</v>
      </c>
      <c r="L16" s="5" t="s">
        <v>24</v>
      </c>
      <c r="M16" s="0" t="s">
        <v>26</v>
      </c>
    </row>
    <row r="17" customFormat="false" ht="56" hidden="false" customHeight="false" outlineLevel="0" collapsed="false">
      <c r="A17" s="0" t="s">
        <v>91</v>
      </c>
      <c r="B17" s="0" t="s">
        <v>92</v>
      </c>
      <c r="C17" s="8" t="s">
        <v>93</v>
      </c>
      <c r="D17" s="0" t="s">
        <v>15</v>
      </c>
      <c r="E17" s="0" t="s">
        <v>41</v>
      </c>
      <c r="F17" s="0" t="s">
        <v>94</v>
      </c>
      <c r="G17" s="0" t="s">
        <v>41</v>
      </c>
      <c r="H17" s="0" t="s">
        <v>95</v>
      </c>
      <c r="I17" s="4" t="b">
        <f aca="false">FALSE()</f>
        <v>0</v>
      </c>
      <c r="J17" s="2" t="b">
        <f aca="false">TRUE()</f>
        <v>1</v>
      </c>
      <c r="L17" s="0" t="s">
        <v>94</v>
      </c>
      <c r="M17" s="0" t="s">
        <v>26</v>
      </c>
      <c r="N17" s="0" t="s">
        <v>96</v>
      </c>
    </row>
    <row r="18" customFormat="false" ht="15" hidden="false" customHeight="false" outlineLevel="0" collapsed="false">
      <c r="A18" s="0" t="s">
        <v>97</v>
      </c>
      <c r="B18" s="0" t="s">
        <v>98</v>
      </c>
      <c r="C18" s="0" t="s">
        <v>99</v>
      </c>
      <c r="D18" s="0" t="s">
        <v>15</v>
      </c>
      <c r="E18" s="0" t="s">
        <v>30</v>
      </c>
      <c r="F18" s="0" t="s">
        <v>100</v>
      </c>
      <c r="G18" s="0" t="s">
        <v>30</v>
      </c>
      <c r="H18" s="0" t="s">
        <v>101</v>
      </c>
      <c r="I18" s="6" t="b">
        <f aca="false">FALSE()</f>
        <v>0</v>
      </c>
      <c r="J18" s="2" t="b">
        <f aca="false">TRUE()</f>
        <v>1</v>
      </c>
      <c r="M18" s="0" t="s">
        <v>26</v>
      </c>
      <c r="N18" s="0" t="s">
        <v>102</v>
      </c>
    </row>
    <row r="19" customFormat="false" ht="15" hidden="false" customHeight="false" outlineLevel="0" collapsed="false">
      <c r="A19" s="0" t="s">
        <v>103</v>
      </c>
      <c r="B19" s="0" t="s">
        <v>104</v>
      </c>
      <c r="C19" s="0" t="s">
        <v>105</v>
      </c>
      <c r="D19" s="0" t="s">
        <v>15</v>
      </c>
      <c r="E19" s="0" t="s">
        <v>41</v>
      </c>
      <c r="F19" s="0" t="s">
        <v>41</v>
      </c>
      <c r="G19" s="0" t="s">
        <v>24</v>
      </c>
      <c r="H19" s="0" t="s">
        <v>106</v>
      </c>
      <c r="I19" s="4" t="b">
        <f aca="false">TRUE()</f>
        <v>1</v>
      </c>
      <c r="J19" s="2" t="b">
        <f aca="false">TRUE()</f>
        <v>1</v>
      </c>
      <c r="M19" s="0" t="s">
        <v>49</v>
      </c>
    </row>
    <row r="20" customFormat="false" ht="15" hidden="false" customHeight="false" outlineLevel="0" collapsed="false">
      <c r="A20" s="0" t="s">
        <v>107</v>
      </c>
      <c r="B20" s="0" t="s">
        <v>108</v>
      </c>
      <c r="C20" s="0" t="s">
        <v>109</v>
      </c>
      <c r="D20" s="0" t="s">
        <v>15</v>
      </c>
      <c r="E20" s="0" t="s">
        <v>41</v>
      </c>
      <c r="F20" s="0" t="s">
        <v>41</v>
      </c>
      <c r="G20" s="0" t="s">
        <v>24</v>
      </c>
      <c r="H20" s="0" t="s">
        <v>110</v>
      </c>
      <c r="I20" s="4" t="b">
        <f aca="false">TRUE()</f>
        <v>1</v>
      </c>
      <c r="J20" s="2" t="b">
        <f aca="false">TRUE()</f>
        <v>1</v>
      </c>
      <c r="M20" s="0" t="s">
        <v>49</v>
      </c>
    </row>
    <row r="21" customFormat="false" ht="15" hidden="false" customHeight="false" outlineLevel="0" collapsed="false">
      <c r="A21" s="0" t="s">
        <v>111</v>
      </c>
      <c r="B21" s="0" t="s">
        <v>112</v>
      </c>
      <c r="C21" s="0" t="s">
        <v>113</v>
      </c>
      <c r="D21" s="0" t="s">
        <v>15</v>
      </c>
      <c r="E21" s="0" t="s">
        <v>41</v>
      </c>
      <c r="F21" s="0" t="s">
        <v>41</v>
      </c>
      <c r="G21" s="0" t="s">
        <v>24</v>
      </c>
      <c r="H21" s="0" t="s">
        <v>114</v>
      </c>
      <c r="I21" s="4" t="b">
        <f aca="false">TRUE()</f>
        <v>1</v>
      </c>
      <c r="J21" s="2" t="b">
        <f aca="false">TRUE()</f>
        <v>1</v>
      </c>
      <c r="M21" s="0" t="s">
        <v>49</v>
      </c>
    </row>
    <row r="22" customFormat="false" ht="15" hidden="false" customHeight="false" outlineLevel="0" collapsed="false">
      <c r="A22" s="0" t="s">
        <v>115</v>
      </c>
      <c r="B22" s="0" t="s">
        <v>116</v>
      </c>
      <c r="C22" s="0" t="s">
        <v>117</v>
      </c>
      <c r="D22" s="0" t="s">
        <v>15</v>
      </c>
      <c r="E22" s="0" t="s">
        <v>16</v>
      </c>
      <c r="F22" s="0" t="s">
        <v>24</v>
      </c>
      <c r="G22" s="0" t="s">
        <v>30</v>
      </c>
      <c r="H22" s="0" t="s">
        <v>118</v>
      </c>
      <c r="I22" s="4" t="b">
        <f aca="false">FALSE()</f>
        <v>0</v>
      </c>
      <c r="J22" s="2" t="b">
        <f aca="false">FALSE()</f>
        <v>0</v>
      </c>
      <c r="L22" s="9" t="s">
        <v>24</v>
      </c>
      <c r="M22" s="0" t="s">
        <v>26</v>
      </c>
      <c r="N22" s="0" t="s">
        <v>119</v>
      </c>
    </row>
    <row r="23" customFormat="false" ht="15" hidden="false" customHeight="false" outlineLevel="0" collapsed="false">
      <c r="A23" s="0" t="s">
        <v>120</v>
      </c>
      <c r="B23" s="0" t="s">
        <v>121</v>
      </c>
      <c r="C23" s="0" t="s">
        <v>122</v>
      </c>
      <c r="D23" s="0" t="s">
        <v>15</v>
      </c>
      <c r="E23" s="0" t="s">
        <v>17</v>
      </c>
      <c r="F23" s="0" t="s">
        <v>16</v>
      </c>
      <c r="G23" s="0" t="s">
        <v>17</v>
      </c>
      <c r="H23" s="0" t="s">
        <v>123</v>
      </c>
      <c r="I23" s="4" t="b">
        <f aca="false">FALSE()</f>
        <v>0</v>
      </c>
      <c r="J23" s="2" t="b">
        <f aca="false">TRUE()</f>
        <v>1</v>
      </c>
      <c r="L23" s="5" t="s">
        <v>16</v>
      </c>
      <c r="M23" s="0" t="s">
        <v>26</v>
      </c>
      <c r="N23" s="0" t="s">
        <v>124</v>
      </c>
    </row>
    <row r="24" customFormat="false" ht="15" hidden="false" customHeight="false" outlineLevel="0" collapsed="false">
      <c r="A24" s="0" t="s">
        <v>125</v>
      </c>
      <c r="B24" s="0" t="s">
        <v>126</v>
      </c>
      <c r="C24" s="0" t="s">
        <v>127</v>
      </c>
      <c r="D24" s="0" t="s">
        <v>15</v>
      </c>
      <c r="E24" s="0" t="s">
        <v>100</v>
      </c>
      <c r="F24" s="0" t="s">
        <v>94</v>
      </c>
      <c r="G24" s="0" t="s">
        <v>100</v>
      </c>
      <c r="H24" s="0" t="s">
        <v>128</v>
      </c>
      <c r="I24" s="4" t="b">
        <f aca="false">FALSE()</f>
        <v>0</v>
      </c>
      <c r="J24" s="2" t="b">
        <f aca="false">TRUE()</f>
        <v>1</v>
      </c>
      <c r="L24" s="5" t="s">
        <v>94</v>
      </c>
      <c r="M24" s="0" t="s">
        <v>26</v>
      </c>
    </row>
    <row r="25" customFormat="false" ht="15" hidden="false" customHeight="false" outlineLevel="0" collapsed="false">
      <c r="A25" s="0" t="s">
        <v>129</v>
      </c>
      <c r="B25" s="0" t="s">
        <v>130</v>
      </c>
      <c r="C25" s="0" t="s">
        <v>131</v>
      </c>
      <c r="D25" s="0" t="s">
        <v>15</v>
      </c>
      <c r="E25" s="0" t="s">
        <v>35</v>
      </c>
      <c r="F25" s="0" t="s">
        <v>30</v>
      </c>
      <c r="G25" s="0" t="s">
        <v>16</v>
      </c>
      <c r="H25" s="0" t="s">
        <v>132</v>
      </c>
      <c r="I25" s="6" t="b">
        <f aca="false">FALSE()</f>
        <v>0</v>
      </c>
      <c r="J25" s="2" t="b">
        <f aca="false">FALSE()</f>
        <v>0</v>
      </c>
      <c r="M25" s="0" t="s">
        <v>26</v>
      </c>
      <c r="N25" s="0" t="s">
        <v>82</v>
      </c>
    </row>
    <row r="26" customFormat="false" ht="15" hidden="false" customHeight="false" outlineLevel="0" collapsed="false">
      <c r="A26" s="0" t="s">
        <v>133</v>
      </c>
      <c r="B26" s="0" t="s">
        <v>134</v>
      </c>
      <c r="C26" s="0" t="s">
        <v>135</v>
      </c>
      <c r="D26" s="0" t="s">
        <v>15</v>
      </c>
      <c r="E26" s="0" t="s">
        <v>42</v>
      </c>
      <c r="F26" s="0" t="s">
        <v>100</v>
      </c>
      <c r="G26" s="0" t="s">
        <v>94</v>
      </c>
      <c r="H26" s="0" t="s">
        <v>136</v>
      </c>
      <c r="I26" s="6" t="b">
        <f aca="false">FALSE()</f>
        <v>0</v>
      </c>
      <c r="J26" s="2" t="b">
        <f aca="false">FALSE()</f>
        <v>0</v>
      </c>
      <c r="M26" s="0" t="s">
        <v>26</v>
      </c>
      <c r="N26" s="0" t="s">
        <v>137</v>
      </c>
    </row>
    <row r="27" customFormat="false" ht="15" hidden="false" customHeight="false" outlineLevel="0" collapsed="false">
      <c r="A27" s="0" t="s">
        <v>138</v>
      </c>
      <c r="B27" s="0" t="s">
        <v>139</v>
      </c>
      <c r="C27" s="0" t="s">
        <v>140</v>
      </c>
      <c r="D27" s="0" t="s">
        <v>15</v>
      </c>
      <c r="E27" s="0" t="s">
        <v>16</v>
      </c>
      <c r="F27" s="0" t="s">
        <v>17</v>
      </c>
      <c r="G27" s="0" t="s">
        <v>24</v>
      </c>
      <c r="H27" s="0" t="s">
        <v>141</v>
      </c>
      <c r="I27" s="4" t="b">
        <f aca="false">FALSE()</f>
        <v>0</v>
      </c>
      <c r="J27" s="2" t="b">
        <f aca="false">FALSE()</f>
        <v>0</v>
      </c>
      <c r="L27" s="5" t="s">
        <v>17</v>
      </c>
      <c r="M27" s="0" t="s">
        <v>26</v>
      </c>
    </row>
    <row r="28" customFormat="false" ht="15" hidden="false" customHeight="false" outlineLevel="0" collapsed="false">
      <c r="A28" s="0" t="s">
        <v>142</v>
      </c>
      <c r="B28" s="0" t="s">
        <v>143</v>
      </c>
      <c r="C28" s="0" t="s">
        <v>144</v>
      </c>
      <c r="D28" s="0" t="s">
        <v>15</v>
      </c>
      <c r="E28" s="0" t="s">
        <v>17</v>
      </c>
      <c r="F28" s="0" t="s">
        <v>42</v>
      </c>
      <c r="G28" s="0" t="s">
        <v>17</v>
      </c>
      <c r="H28" s="0" t="s">
        <v>145</v>
      </c>
      <c r="I28" s="4" t="b">
        <f aca="false">FALSE()</f>
        <v>0</v>
      </c>
      <c r="J28" s="2" t="b">
        <f aca="false">TRUE()</f>
        <v>1</v>
      </c>
      <c r="L28" s="5" t="s">
        <v>42</v>
      </c>
      <c r="M28" s="0"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146</v>
      </c>
      <c r="C1" s="0" t="s">
        <v>8</v>
      </c>
      <c r="D1" s="0" t="s">
        <v>147</v>
      </c>
      <c r="E1" s="0" t="s">
        <v>148</v>
      </c>
      <c r="F1" s="0" t="s">
        <v>149</v>
      </c>
    </row>
    <row r="2" customFormat="false" ht="15" hidden="false" customHeight="false" outlineLevel="0" collapsed="false">
      <c r="A2" s="0" t="s">
        <v>16</v>
      </c>
      <c r="B2" s="0" t="n">
        <v>3</v>
      </c>
      <c r="C2" s="0" t="n">
        <v>1</v>
      </c>
      <c r="D2" s="0" t="n">
        <v>1</v>
      </c>
      <c r="E2" s="0" t="s">
        <v>150</v>
      </c>
      <c r="F2" s="0" t="s">
        <v>150</v>
      </c>
    </row>
    <row r="3" customFormat="false" ht="15" hidden="false" customHeight="false" outlineLevel="0" collapsed="false">
      <c r="A3" s="0" t="s">
        <v>17</v>
      </c>
      <c r="B3" s="0" t="n">
        <v>4</v>
      </c>
      <c r="C3" s="0" t="n">
        <v>0</v>
      </c>
      <c r="D3" s="0" t="n">
        <v>4</v>
      </c>
      <c r="E3" s="0" t="s">
        <v>151</v>
      </c>
      <c r="F3" s="0" t="s">
        <v>152</v>
      </c>
    </row>
    <row r="4" customFormat="false" ht="15" hidden="false" customHeight="false" outlineLevel="0" collapsed="false">
      <c r="A4" s="0" t="s">
        <v>100</v>
      </c>
      <c r="B4" s="0" t="n">
        <v>1</v>
      </c>
      <c r="C4" s="0" t="n">
        <v>0</v>
      </c>
      <c r="D4" s="0" t="n">
        <v>1</v>
      </c>
      <c r="E4" s="0" t="s">
        <v>151</v>
      </c>
      <c r="F4" s="0" t="s">
        <v>152</v>
      </c>
    </row>
    <row r="5" customFormat="false" ht="15" hidden="false" customHeight="false" outlineLevel="0" collapsed="false">
      <c r="A5" s="0" t="s">
        <v>41</v>
      </c>
      <c r="B5" s="0" t="n">
        <v>8</v>
      </c>
      <c r="C5" s="0" t="n">
        <v>5</v>
      </c>
      <c r="D5" s="0" t="n">
        <v>7</v>
      </c>
      <c r="E5" s="0" t="s">
        <v>153</v>
      </c>
      <c r="F5" s="0" t="s">
        <v>154</v>
      </c>
    </row>
    <row r="6" customFormat="false" ht="15" hidden="false" customHeight="false" outlineLevel="0" collapsed="false">
      <c r="A6" s="0" t="s">
        <v>24</v>
      </c>
      <c r="B6" s="0" t="n">
        <v>1</v>
      </c>
      <c r="C6" s="0" t="n">
        <v>0</v>
      </c>
      <c r="D6" s="0" t="n">
        <v>1</v>
      </c>
      <c r="E6" s="0" t="s">
        <v>151</v>
      </c>
      <c r="F6" s="0" t="s">
        <v>152</v>
      </c>
    </row>
    <row r="7" customFormat="false" ht="15" hidden="false" customHeight="false" outlineLevel="0" collapsed="false">
      <c r="A7" s="0" t="s">
        <v>42</v>
      </c>
      <c r="B7" s="0" t="n">
        <v>3</v>
      </c>
      <c r="C7" s="0" t="n">
        <v>1</v>
      </c>
      <c r="D7" s="0" t="n">
        <v>1</v>
      </c>
      <c r="E7" s="0" t="s">
        <v>150</v>
      </c>
      <c r="F7" s="0" t="s">
        <v>150</v>
      </c>
    </row>
    <row r="8" customFormat="false" ht="15" hidden="false" customHeight="false" outlineLevel="0" collapsed="false">
      <c r="A8" s="0" t="s">
        <v>30</v>
      </c>
      <c r="B8" s="0" t="n">
        <v>3</v>
      </c>
      <c r="C8" s="0" t="n">
        <v>0</v>
      </c>
      <c r="D8" s="0" t="n">
        <v>1</v>
      </c>
      <c r="E8" s="0" t="s">
        <v>151</v>
      </c>
      <c r="F8" s="0" t="s">
        <v>150</v>
      </c>
    </row>
    <row r="9" customFormat="false" ht="15" hidden="false" customHeight="false" outlineLevel="0" collapsed="false">
      <c r="A9" s="0" t="s">
        <v>35</v>
      </c>
      <c r="B9" s="0" t="n">
        <v>4</v>
      </c>
      <c r="C9" s="0" t="n">
        <v>0</v>
      </c>
      <c r="D9" s="0" t="n">
        <v>0</v>
      </c>
      <c r="E9" s="0" t="s">
        <v>151</v>
      </c>
      <c r="F9" s="0" t="s">
        <v>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155</v>
      </c>
      <c r="B1" s="0" t="s">
        <v>156</v>
      </c>
      <c r="C1" s="0" t="s">
        <v>146</v>
      </c>
    </row>
    <row r="2" customFormat="false" ht="15" hidden="false" customHeight="false" outlineLevel="0" collapsed="false">
      <c r="A2" s="0" t="s">
        <v>157</v>
      </c>
      <c r="B2" s="0" t="s">
        <v>158</v>
      </c>
      <c r="C2" s="0" t="n">
        <v>27</v>
      </c>
    </row>
    <row r="3" customFormat="false" ht="15" hidden="false" customHeight="false" outlineLevel="0" collapsed="false">
      <c r="A3" s="0" t="s">
        <v>159</v>
      </c>
      <c r="B3" s="0" t="s">
        <v>160</v>
      </c>
      <c r="C3" s="0" t="n">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65</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2026-06-24T09:42:03Z</dcterms:created>
  <dc:creator>openpyxl</dc:creator>
  <dc:description/>
  <dc:language>en-GB</dc:language>
  <cp:lastModifiedBy/>
  <dcterms:modified xsi:type="dcterms:W3CDTF">2026-06-25T09:56:14Z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