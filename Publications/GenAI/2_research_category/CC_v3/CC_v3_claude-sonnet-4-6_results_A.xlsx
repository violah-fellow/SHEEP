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docProps/custom.xml" ContentType="application/vnd.openxmlformats-officedocument.custom-properties+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sharedStrings.xml" ContentType="application/vnd.openxmlformats-officedocument.spreadsheetml.sharedString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lowestEdited="4"/>
  <workbookPr backupFile="false" showObjects="all" date1904="false"/>
  <workbookProtection/>
  <bookViews>
    <workbookView showHorizontalScroll="true" showVerticalScroll="true" showSheetTabs="true" xWindow="0" yWindow="0" windowWidth="16384" windowHeight="8192" tabRatio="500" firstSheet="0" activeTab="0"/>
  </bookViews>
  <sheets>
    <sheet name="results" sheetId="1" state="visible" r:id="rId3"/>
    <sheet name="by_category" sheetId="2" state="visible" r:id="rId4"/>
    <sheet name="summary" sheetId="3" state="visible" r:id="rId5"/>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<sst xmlns="http://schemas.openxmlformats.org/spreadsheetml/2006/main" count="130" uniqueCount="76">
  <si>
    <t xml:space="preserve">id</t>
  </si>
  <si>
    <t xml:space="preserve">title</t>
  </si>
  <si>
    <t xml:space="preserve">abstract</t>
  </si>
  <si>
    <t xml:space="preserve">pillar</t>
  </si>
  <si>
    <t xml:space="preserve">research_category</t>
  </si>
  <si>
    <t xml:space="preserve">primary_LLM</t>
  </si>
  <si>
    <t xml:space="preserve">secondary_LLM</t>
  </si>
  <si>
    <t xml:space="preserve">reasoning_LLM</t>
  </si>
  <si>
    <t xml:space="preserve">primary_correct</t>
  </si>
  <si>
    <t xml:space="preserve">either_correct</t>
  </si>
  <si>
    <t xml:space="preserve">pub.1187276166</t>
  </si>
  <si>
    <t xml:space="preserve">Foodomics: A lever to avoid the Darwinian boomerang of malnutrition and compromised nutritional value in the rapidly emerging green food transition</t>
  </si>
  <si>
    <t xml:space="preserve">Background Since the 18th century, the industrial revolution has brought tremendous success in food production, enabling the feeding of more than 8 billion people. However, the success comes with consequences – what we call the Darwinian boomerang of industrialization. The consequences include accelerated global warming, increasing greenhouse gas emissions, water scarcity, overexploitation of natural resources, desertification, eutrophication, loss of biodiversity, and accumulation of alarmingly large amounts of industrial waste including plastics and resilient chemicals. Addressing these challenges and meeting the growing demand for sustainable and nutritious food necessitates a paradigm shift, known as the green food transition, supported by multidisciplinary foodomics research. Scope and approach This review discusses key enablers of the rapidly emerging green food transition, including a shift toward plant-based diets, gene editing, smart agriculture, cellular agriculture, gentle food processing, and circular economy models. The role of foodomics within each enabler is highlighted, providing examples of how multidisciplinary foodomics research can prevent a Darwinian boomerang characterized by malnutrition, compromised nutritional quality, emergence of novel foodborne diseases, and increased food intolerances. Key findings and conclusions Green food transition initiatives are essential for achieving future food security and environmental sustainability, but nutritional concerns persist. Only a minor fraction of current research integrates foodomics, despite its critical role in ensuring food safety and nutritional adequacy. Most discoveries of unforeseen harmful compounds come from inductive studies on industrial food processing or dietary interventions. Systematic foodomics assessments of emerging sustainable food systems are urgently required to evaluate both short- and long-term human health impacts.</t>
  </si>
  <si>
    <t xml:space="preserve">CC</t>
  </si>
  <si>
    <t xml:space="preserve">Health &amp; nutrition</t>
  </si>
  <si>
    <t xml:space="preserve">Other</t>
  </si>
  <si>
    <t xml:space="preserve">This review spans multiple categories (sustainability, food safety, nutrition, processing, consumer diets) without a single dominant research focus, using foodomics as a broad framing device across the green food transition rather than investigating any one category in depth.</t>
  </si>
  <si>
    <t xml:space="preserve">pub.1185255386</t>
  </si>
  <si>
    <t xml:space="preserve">Alternative Protein-Based Meat and Fish Analogs by Conventional and Novel Processing Technologies: A Systematic Review and Bibliometric Analysis</t>
  </si>
  <si>
    <t xml:space="preserve">This study aimed to explore the extent of research on developing meat and fish analogs using alternative proteins. It examined the novel and conventional technologies employed to produce these analogs and identified the primary alternative proteins that were used in their production through a systematic literature review (SLR) using Preferred Reporting Items for Systematic Reviews and Meta-Analyses (PRISMA) and bibliometric analysis. The SLR resulted in 46 and 13 meat and fish analog records, respectively, according to defined selection and exclusion criteria. Meat analogs are mainly produced using extrusion, followed by the novel 3D printing and mixing technology. Additionally, fish analogs are mainly produced by mixing and 3D printing. Meat analogs are mainly produced from pulses, followed by cereal, fungi, microalgae, other sources, and insects. Similarly, pulse proteins were the most used alternative protein source for the fish analogs, followed by macro- and microalgae, plant, cereal, and fungal proteins. According to keyword analysis, rheological and textural properties are essential for meat and fish analogs. This review provides up-to-date information to clarify the critical role of alternative proteins and the utilization of novel technologies in the production of meat and fish analogs. It also gives essential insights into the expected increase in studies to determine sustainability and overcome challenges related to textural, sensorial, and nutritional properties.</t>
  </si>
  <si>
    <t xml:space="preserve">Texturization methods</t>
  </si>
  <si>
    <t xml:space="preserve">End product formulation</t>
  </si>
  <si>
    <t xml:space="preserve">This systematic review focuses on the development of meat and fish analog products using alternative proteins, examining formulation choices (protein sources) and the processing technologies (extrusion, 3D printing) used to produce them, with textural and sensory properties as key evaluation metrics.</t>
  </si>
  <si>
    <t xml:space="preserve">pub.1186478980</t>
  </si>
  <si>
    <t xml:space="preserve">Regulatory barriers and incentives for alternative proteins in the European Union and Australia–New Zealand</t>
  </si>
  <si>
    <t xml:space="preserve">Purpose This paper aims to discuss the innovation challenge in the alternative protein sectors of the European Union (EU) and Australia-New Zealand (AUSNZ) by comparing their respective novel food frameworks. The study investigates which regulatory provisions stakeholders perceive as barriers to innovation and proposes measures to address these obstacles.   Design/methodology/approach Alternative proteins are often legally classified as “novel foods” in both the EU and AUSNZ. A functional comparative legal analysis of the novel food frameworks of these two jurisdictions was conducted. Qualitative interviews with stakeholders active in the EU or AUSNZ alternative protein sectors complemented the legal analysis. The interviews aimed at gathering stakeholder perspectives on the framework within which they operate and discuss ways to foster innovation in their jurisdictions.   Findings While the AUSNZ framework is generally perceived as more innovation-friendly, particularly regarding breakthrough innovations like cultivated meat, the EU is viewed as a challenging regulatory environment. The duration of the authorisation procedure, differing levels of communication and opportunities for dialogue between stakeholders and regulators, along with the political stances of EU member states, emerged as the main elements to explain such differences. In both jurisdictions, a lack of support for small-scale companies was identified as a key factor hindering the innovation process.   Originality/value This study provides the first in-depth comparative analysis of the novel food frameworks in the EU and AUSNZ and explores stakeholder perceptions of their respective frameworks. Through this comparison, the study offers suggestions for enhancing both frameworks' ability to incentivise innovation in their alternative protein sectors.</t>
  </si>
  <si>
    <t xml:space="preserve">Food safety &amp; quality</t>
  </si>
  <si>
    <t xml:space="preserve">Impact assessments</t>
  </si>
  <si>
    <t xml:space="preserve">The paper conducts a structured comparative regulatory policy analysis of novel food frameworks in the EU and Australia-New Zealand, including stakeholder consultations on regulatory barriers and incentives, which fits impact assessments (regulatory policy analysis); the secondary focus is food safety &amp; quality as it directly examines novel food regulatory frameworks governing alternative proteins.</t>
  </si>
  <si>
    <t xml:space="preserve">pub.1184131962</t>
  </si>
  <si>
    <t xml:space="preserve">Advancements in Research on Alternative Protein Sources and Their Application in Food Products: A Systematic Review</t>
  </si>
  <si>
    <t xml:space="preserve">To ensure food security amid dwindling natural resources, alternative proteins (APs) have been suggested as a sustainable solution. Yet, the adoption and consumption of APs remain limited. This review aims to delve into the latest progress (following PRISMA guidelines) concerning the utilization of proteins from alternative sources, particularly focusing on their effective incorporation into food products. Our findings reveal that insect proteins can improve amino acid profiles in bakery products. However, consumer acceptance remains low due to cultural biases, with optimal sensory results being achieved at lower substitution levels (5–10%). Mushroom proteins, when incorporated into meat analogs and bakery items, enhance nutritional value and offer favorable sensory properties, making them viable replacements in meat products. Plant-based proteins, such as pea and soy proteins, increase fiber and antioxidants and improve texture in meat alternatives, although formulation adjustments are necessary to meet consumer expectations for taste and overall experience. Microalgae offer unique benefits for bakery, confectionery, and dairy products by boosting protein, fatty acids, and probiotic growth while maintaining sensory acceptability. In conclusion, this study highlights that the effective incorporation of APs into food products can help in the development of healthier, more sustainable diets. That said, the success of AP acceptance will depend on continued innovations in formulation and consumer education.</t>
  </si>
  <si>
    <t xml:space="preserve">Ingredient optimisation</t>
  </si>
  <si>
    <t xml:space="preserve">This systematic review is primarily focused on the incorporation of alternative proteins into finished food products (bakery, meat analogs, dairy, confectionery), evaluating sensory, nutritional, and formulation outcomes, with a secondary focus on improving ingredient properties such as amino acid profiles and functional characteristics.</t>
  </si>
  <si>
    <t xml:space="preserve">pub.1184151966</t>
  </si>
  <si>
    <t xml:space="preserve">Emerging alternatives to coffee, cocoa and palm oil deserve a spot on the research agenda</t>
  </si>
  <si>
    <t xml:space="preserve">Despite increasing interest in cellular agriculture, coffee, cocoa and palm oil produced using these techniques have received limited scientific attention. Emerging alternatives could mitigate negative environmental and socio-economic impacts associated with these crops and meet growing demand despite declining production, but it is important to ensure that they do not reinforce inequities.</t>
  </si>
  <si>
    <t xml:space="preserve">This is a perspective/opinion piece arguing for research attention on cellular agriculture alternatives to coffee, cocoa, and palm oil, spanning environmental, socio-economic, and equity considerations without a single quantitative or experimental focus that fits a specific category.</t>
  </si>
  <si>
    <t xml:space="preserve">pub.1191954992</t>
  </si>
  <si>
    <t xml:space="preserve">Exploring the Development of a Clean-Label Vegan Burger Enriched with Fermented Microalgae</t>
  </si>
  <si>
    <t xml:space="preserve">Haematococcus pluvialis and Porphyridium cruentum are red microalgae with high biotechnological potential due to their rich composition of bioactive compounds. However, their intense flavor limits their application in food products. This study evaluated the impact of fermentation with Lactiplantibacillus plantarum (30 °C for 48 h; LAB-to-biomass ratio of 0.1:1; 106 CFU/mL) on the physicochemical and functional properties of H. pluvialis and P. cruentum biomasses. Particular attention was given to antioxidant activity (ABTS and ORAC assays), color, amino acid profiles, and volatile organic compound (VOC) profiles, all of which may influence sensory characteristics. Results demonstrated that non-fermented H. pluvialis exhibited significantly higher antioxidant activity (AA) than P. cruentum. After fermentation, H. pluvialis showed an ABTS value of 3.22 ± 0.35 and an ORAC value of 54.32 ± 1.79 µmol TE/100 mg DW, while P. cruentum showed an ABTS of 0.26 ± 0.00 and an ORAC of 3.11 ± 0.13 µmol TE/100 mg DW. Total phenolic content (TPC) of fermented H. pluvialis and P. cruentum was 1.08 ± 0.23 and 0.18 ± 0.026 mg GAE/100 mg DW, respectively. Both AA and TPC increased after fermentation. Fermentation also significantly affected biomass color. FTIR analysis showed intensification of protein and carbohydrate vibrational bands post-fermentation. GC-MS analysis of VOCs showed that P. cruentum contained 42 VOCs before fermentation, including trans-β-ionone, 4-ethyl-6-hepten-3-one, hexanal, and heptadienal, which are responsible for fishy and algal odors. Fermentation with Lb. plantarum significantly reduced these compounds, lowering trans-β-ionone to 0.1453 mg/L and eliminating 4-ethyl-6-hepten-3-one entirely. H. pluvialis contained 22 VOCs pre-fermentation; fermentation eliminated hexanal and reduced heptadienal to 0.1747 ± 0.0323 mg/L. These changes contributed to improved sensory profiles. Fermentation also induced significant changes in the amino acid profiles of both microalgae. The fermented biomasses were incorporated into vegan burgers made from chickpea, lentil, and quinoa. Color evaluation showed more stable and visually appealing tones, while texture remained within desirable consumer parameters. These findings suggest that Lb. plantarum fermentation is an effective strategy for improving the sensory and functional characteristics of microalgal biomass, promoting their use as sustainable, value-added ingredients in innovative plant-based foods.</t>
  </si>
  <si>
    <t xml:space="preserve">The study primarily investigates fermentation as a method to improve the functional, sensory, and nutritional properties of microalgal biomass ingredients, with secondary application of the optimised ingredients into a vegan burger product.</t>
  </si>
  <si>
    <t xml:space="preserve">pub.1195166812</t>
  </si>
  <si>
    <t xml:space="preserve">Exploring the Potential of Haematococcus pluvialis as a Source of Bioactives for Food Applications: A Review</t>
  </si>
  <si>
    <t xml:space="preserve">The search for sustainable and health-promoting food ingredients has positioned microalgae as promising candidates for the development of functional products. Haematococcus pluvialis, a unicellular green microalga, is the richest natural source of astaxanthin, a carotenoid with outstanding antioxidant, anti-inflammatory, and neuroprotective properties. In addition to astaxanthin, H. pluvialis provides high-value proteins, essential fatty acids, polysaccharides, and vitamins, which expand its potential applications in the food sector. This review compiles current knowledge on the biology and physiology of H. pluvialis, with emphasis on cultivation strategies, environmental stress factors, and biotechnological tools designed to enhance bioactive compound production. Advances in extraction and purification methods are also discussed, contrasting conventional solvent-based approaches with emerging green technologies. The integration of these strategies with biomass valorization highlights opportunities for improving economic feasibility and sustainability. Applications of H. pluvialis in the food industry include its use as a functional ingredient, natural colorant, antioxidant, and stabilizer in bakery products, beverages, meat analogs, and emulsified systems. Evidence from in vitro, in vivo, and clinical studies reinforces its safety and effectiveness. Looking ahead, industrial perspectives point to the adoption of omics-based tools, metabolic engineering, and circular economy approaches as drivers to overcome current barriers of cost, stability, and regulation, opening new avenues for large-scale applications in food systems.</t>
  </si>
  <si>
    <t xml:space="preserve">This review is primarily organised around H. pluvialis as a single ingredient, covering cultivation strategies, extraction/purification, and functional properties of its bioactive compounds, with a secondary focus on health outcomes from in vitro, in vivo, and clinical studies.</t>
  </si>
  <si>
    <t xml:space="preserve">pub.1196201594</t>
  </si>
  <si>
    <t xml:space="preserve">A Review on Recent Processing and Bioprocessing Developments in Alternative Proteins: Sources, Modification Methods, Economic Feasibility, and Future Challenges</t>
  </si>
  <si>
    <t xml:space="preserve">A lternative proteins (APs) are anticipated to offer a practical approach to tackle the growing need for protein while remaining within environmental limits. Different studies have discussed AP sources; however, a systematic comparison of the extraction, modification, analytical techniques, challenges, and their potential solutions for APs has not been conducted together. A comprehensive perspective is provided by this review, which integrates these aspects. Extracting suitable proteins from plants, insects, and mycoprotein sources is challenging and involves various technical interventions, including protein modification, isolation, product processing, and tracking the modified structure. This review article explores multiple sources of APs, extraction processes, and emerging modification technologies, including non-thermal (high-pressure processing (HPP), pulsed electric field (PEF), extrusion, sonication) and biological (fermentation and enzymatic) methods, along with dual approaches used to alter the structure of APs. These techniques improve the techno-functional attributes (foaming, solubility, emulsification, digestibility) and reduce the allergenicity level of different APs. Various analytical approaches (atomic force microscopy, Fourier-transform infrared, Raman spectroscopy, differential scanning calorimetry, scanning electron microscopy, circular dichroism, and x-ray diffraction) are discussed for tracking AP-modified structure and functionality. The review examines the economic feasibility (initial cost) of each technique for commercialization and industrial scale. The initial installation capital required for HPP was ($0.5 million–$2.5 million). Dual approaches are efficient for improving the yield and functionality of APs, but cost scalability is a major factor limiting the adoption of these approaches. Improvement of flavor changes during these modifications remains an unexplored area. This review, by integrating technological, economic, and regulatory perspectives, provides insights that can help researchers and industry develop more sustainable protein solutions.Graphical Abstract</t>
  </si>
  <si>
    <t xml:space="preserve">The review is primarily focused on modification methods (non-thermal, biological, dual approaches) to improve functional properties of alternative protein ingredients from various sources, with secondary coverage of economic feasibility, analytical techniques, and regulatory perspectives spanning multiple categories.</t>
  </si>
  <si>
    <t xml:space="preserve">pub.1192451356</t>
  </si>
  <si>
    <t xml:space="preserve">Bioactive Food Proteins: Bridging Nutritional and Functional Benefits with Sustainable Protein Sources</t>
  </si>
  <si>
    <t xml:space="preserve">Bioactive food proteins play multifunctional roles in human health and functional food development. Beyond their nutritional value, these proteins contain peptide sequences capable of exerting physiological effects, such as antioxidant, anti-hypertensive, immunomodulatory, and anti-inflammatory activities. This review summarises the processing and functional technologies applied to bioactive proteins; the increasing use of alternative protein sources including plants, microorganisms, and insects; and how these proteins exert their activity. Advances in high-tech production methods-such as fermentation and cultured meat-are also discussed, alongside current challenges related to safety, regulation, and consumer acceptance. Bibliometric and patent analyses further demonstrate sustained innovation and interest in this field, highlighting the potential of bioactive proteins to contribute to sustainable, health-promoting food systems.</t>
  </si>
  <si>
    <t xml:space="preserve">This review spans multiple categories without a dominant focus, covering processing technologies, alternative protein sources, bioactive mechanisms, production methods, safety, regulation, and consumer acceptance, making it too broad for a single specific category.</t>
  </si>
  <si>
    <t xml:space="preserve">pub.1185588959</t>
  </si>
  <si>
    <t xml:space="preserve">How innovation-friendly is the EU novel food regulation? The case of cellular agriculture</t>
  </si>
  <si>
    <t xml:space="preserve">The Novel Food Regulation provides the central legal framework for regulating food innovation in the European Union (EU). Its suitability for transformative innovation, such as cellular agriculture, has recently come under intense political and scientific scrutiny. This paper systematically analyzes how the Novel Food Regulation affects the development of cellular agriculture in the EU. It employs an original analytical framework that captures its influence on the functionality of the innovation system as well as the potential for “legal disruption” caused by technological development. It triangulates a detailed legal analysis with empirical data, collected through EFSA's stakeholder consultations, expert interviews, as well as an original stakeholder survey. Results show mixed effects of the regulation on the innovation system for cellular agriculture: whilst the transparent and robust procedures by EFSA contribute to knowledge diffusion and legitimation, the complex authorization process hampers entrepreneurial experimentation, resource mobilization and market formation. The regulation's narrow focus on food safety and the potential for political interference in the authorization process create a risk for legal disruption. We argue that the creation of well-designed “regulatory sandboxes” could facilitate the identification of solutions that actually contribute to food system sustainability and innovation, without compromising food safety.</t>
  </si>
  <si>
    <t xml:space="preserve">The paper systematically analyses how the EU Novel Food Regulation affects the innovation system for cellular agriculture, constituting a regulatory policy analysis with stakeholder consultations, which fits Impact assessments; the secondary focus on food safety authorization processes and EFSA procedures places it in Food safety &amp; quality.</t>
  </si>
  <si>
    <t xml:space="preserve">pub.1193813897</t>
  </si>
  <si>
    <t xml:space="preserve">The Potential of Fermentation-Based Processing on Protein Modification: A Review</t>
  </si>
  <si>
    <t xml:space="preserve">Proteins are fundamental to food systems due to their structural, nutritional, and functional roles. With increasing consumer awareness of health and sustainability, the demand for protein-rich foods from diverse and eco-friendly sources is rising. Fermentation has emerged as a transformative approach for enhancing the nutritional value, functionality, and sensory appeal of protein-based foods, while also contributing to environmental and economic sustainability. This review explores the multifaceted impact of fermentation on proteins, focusing on nutritional enhancement, functional improvements, technological adaptability, and sensory optimization. It highlights how microbial fermentation can modify protein structures, reduce allergenicity, improve digestibility, and generate bioactive compounds. The diversity of protein sources, microbial strains, and fermentation parameters offers a versatile platform for tailoring food products to meet evolving consumer expectations. By critically examining current research and industrial practices, this paper underscores the importance of selecting appropriate protein substrates and microbial hosts to maximize the benefits of fermentation. The insights provided aim to guide future innovations in developing sustainable, health-promoting, and consumer-acceptable fermented protein products.</t>
  </si>
  <si>
    <t xml:space="preserve">This review is primarily focused on how fermentation modifies and improves individual protein ingredients — covering functional properties, nutritional enhancement, allergenicity reduction, and digestibility — making ingredient optimisation the dominant theme, with health and nutrition as a secondary focus given the emphasis on bioactive compounds and digestibility outcomes.</t>
  </si>
  <si>
    <t xml:space="preserve">n</t>
  </si>
  <si>
    <t xml:space="preserve">top2_correct</t>
  </si>
  <si>
    <t xml:space="preserve">primary_acc</t>
  </si>
  <si>
    <t xml:space="preserve">top2_acc</t>
  </si>
  <si>
    <t xml:space="preserve">50%</t>
  </si>
  <si>
    <t xml:space="preserve">100%</t>
  </si>
  <si>
    <t xml:space="preserve">0%</t>
  </si>
  <si>
    <t xml:space="preserve">60%</t>
  </si>
  <si>
    <t xml:space="preserve">metric</t>
  </si>
  <si>
    <t xml:space="preserve">value</t>
  </si>
  <si>
    <t xml:space="preserve">top1_accuracy</t>
  </si>
  <si>
    <t xml:space="preserve">36%</t>
  </si>
  <si>
    <t xml:space="preserve">top2_accuracy</t>
  </si>
  <si>
    <t xml:space="preserve">82%</t>
  </si>
</sst>
</file>

<file path=xl/styles.xml><?xml version="1.0" encoding="utf-8"?>
<styleSheet xmlns="http://schemas.openxmlformats.org/spreadsheetml/2006/main">
  <numFmts count="1">
    <numFmt numFmtId="164" formatCode="General"/>
  </numFmts>
  <fonts count="4">
    <font>
      <sz val="11"/>
      <color theme="1"/>
      <name val="Calibri"/>
      <family val="2"/>
      <charset val="1"/>
    </font>
    <font>
      <sz val="10"/>
      <name val="Arial"/>
      <family val="0"/>
    </font>
    <font>
      <sz val="10"/>
      <name val="Arial"/>
      <family val="0"/>
    </font>
    <font>
      <sz val="10"/>
      <name val="Arial"/>
      <family val="0"/>
    </font>
  </fonts>
  <fills count="4">
    <fill>
      <patternFill patternType="none"/>
    </fill>
    <fill>
      <patternFill patternType="gray125"/>
    </fill>
    <fill>
      <patternFill patternType="solid">
        <fgColor rgb="FF81D41A"/>
        <bgColor rgb="FF969696"/>
      </patternFill>
    </fill>
    <fill>
      <patternFill patternType="solid">
        <fgColor rgb="FFFF0000"/>
        <bgColor rgb="FF993300"/>
      </patternFill>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4">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2"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3" borderId="0" xfId="0" applyFont="fals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81D41A"/>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12"/>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M14" activeCellId="0" sqref="M14"/>
    </sheetView>
  </sheetViews>
  <sheetFormatPr defaultColWidth="8.34375" defaultRowHeight="15" customHeight="false" zeroHeight="false" outlineLevelRow="0" outlineLevelCol="0"/>
  <sheetData>
    <row r="1" customFormat="false" ht="15" hidden="false" customHeight="false" outlineLevel="0" collapsed="false">
      <c r="A1" s="0" t="s">
        <v>0</v>
      </c>
      <c r="B1" s="0" t="s">
        <v>1</v>
      </c>
      <c r="C1" s="0" t="s">
        <v>2</v>
      </c>
      <c r="D1" s="0" t="s">
        <v>3</v>
      </c>
      <c r="E1" s="0" t="s">
        <v>4</v>
      </c>
      <c r="F1" s="0" t="s">
        <v>5</v>
      </c>
      <c r="G1" s="0" t="s">
        <v>6</v>
      </c>
      <c r="H1" s="0" t="s">
        <v>7</v>
      </c>
      <c r="I1" s="0" t="s">
        <v>8</v>
      </c>
      <c r="J1" s="0" t="s">
        <v>9</v>
      </c>
    </row>
    <row r="2" customFormat="false" ht="15" hidden="false" customHeight="false" outlineLevel="0" collapsed="false">
      <c r="A2" s="0" t="s">
        <v>10</v>
      </c>
      <c r="B2" s="0" t="s">
        <v>11</v>
      </c>
      <c r="C2" s="0" t="s">
        <v>12</v>
      </c>
      <c r="D2" s="0" t="s">
        <v>13</v>
      </c>
      <c r="E2" s="0" t="s">
        <v>14</v>
      </c>
      <c r="F2" s="0" t="s">
        <v>15</v>
      </c>
      <c r="G2" s="0" t="s">
        <v>14</v>
      </c>
      <c r="H2" s="0" t="s">
        <v>16</v>
      </c>
      <c r="I2" s="1" t="b">
        <f aca="false">FALSE()</f>
        <v>0</v>
      </c>
      <c r="J2" s="2" t="b">
        <f aca="false">TRUE()</f>
        <v>1</v>
      </c>
      <c r="L2" s="0" t="s">
        <v>15</v>
      </c>
    </row>
    <row r="3" customFormat="false" ht="15" hidden="false" customHeight="false" outlineLevel="0" collapsed="false">
      <c r="A3" s="0" t="s">
        <v>17</v>
      </c>
      <c r="B3" s="0" t="s">
        <v>18</v>
      </c>
      <c r="C3" s="0" t="s">
        <v>19</v>
      </c>
      <c r="D3" s="0" t="s">
        <v>13</v>
      </c>
      <c r="E3" s="0" t="s">
        <v>20</v>
      </c>
      <c r="F3" s="0" t="s">
        <v>21</v>
      </c>
      <c r="G3" s="0" t="s">
        <v>20</v>
      </c>
      <c r="H3" s="0" t="s">
        <v>22</v>
      </c>
      <c r="I3" s="3" t="b">
        <f aca="false">FALSE()</f>
        <v>0</v>
      </c>
      <c r="J3" s="2" t="b">
        <f aca="false">TRUE()</f>
        <v>1</v>
      </c>
    </row>
    <row r="4" customFormat="false" ht="15" hidden="false" customHeight="false" outlineLevel="0" collapsed="false">
      <c r="A4" s="0" t="s">
        <v>23</v>
      </c>
      <c r="B4" s="0" t="s">
        <v>24</v>
      </c>
      <c r="C4" s="0" t="s">
        <v>25</v>
      </c>
      <c r="D4" s="0" t="s">
        <v>13</v>
      </c>
      <c r="E4" s="0" t="s">
        <v>26</v>
      </c>
      <c r="F4" s="0" t="s">
        <v>27</v>
      </c>
      <c r="G4" s="0" t="s">
        <v>26</v>
      </c>
      <c r="H4" s="0" t="s">
        <v>28</v>
      </c>
      <c r="I4" s="3" t="b">
        <f aca="false">FALSE()</f>
        <v>0</v>
      </c>
      <c r="J4" s="2" t="b">
        <f aca="false">TRUE()</f>
        <v>1</v>
      </c>
    </row>
    <row r="5" customFormat="false" ht="15" hidden="false" customHeight="false" outlineLevel="0" collapsed="false">
      <c r="A5" s="0" t="s">
        <v>29</v>
      </c>
      <c r="B5" s="0" t="s">
        <v>30</v>
      </c>
      <c r="C5" s="0" t="s">
        <v>31</v>
      </c>
      <c r="D5" s="0" t="s">
        <v>13</v>
      </c>
      <c r="E5" s="0" t="s">
        <v>21</v>
      </c>
      <c r="F5" s="0" t="s">
        <v>21</v>
      </c>
      <c r="G5" s="0" t="s">
        <v>32</v>
      </c>
      <c r="H5" s="0" t="s">
        <v>33</v>
      </c>
      <c r="I5" s="1" t="b">
        <f aca="false">TRUE()</f>
        <v>1</v>
      </c>
      <c r="J5" s="2" t="b">
        <f aca="false">TRUE()</f>
        <v>1</v>
      </c>
    </row>
    <row r="6" customFormat="false" ht="15" hidden="false" customHeight="false" outlineLevel="0" collapsed="false">
      <c r="A6" s="0" t="s">
        <v>34</v>
      </c>
      <c r="B6" s="0" t="s">
        <v>35</v>
      </c>
      <c r="C6" s="0" t="s">
        <v>36</v>
      </c>
      <c r="D6" s="0" t="s">
        <v>13</v>
      </c>
      <c r="E6" s="0" t="s">
        <v>32</v>
      </c>
      <c r="F6" s="0" t="s">
        <v>15</v>
      </c>
      <c r="G6" s="0" t="s">
        <v>27</v>
      </c>
      <c r="H6" s="0" t="s">
        <v>37</v>
      </c>
      <c r="I6" s="1" t="b">
        <f aca="false">FALSE()</f>
        <v>0</v>
      </c>
      <c r="J6" s="2" t="b">
        <f aca="false">FALSE()</f>
        <v>0</v>
      </c>
      <c r="L6" s="0" t="s">
        <v>15</v>
      </c>
    </row>
    <row r="7" customFormat="false" ht="15" hidden="false" customHeight="false" outlineLevel="0" collapsed="false">
      <c r="A7" s="0" t="s">
        <v>38</v>
      </c>
      <c r="B7" s="0" t="s">
        <v>39</v>
      </c>
      <c r="C7" s="0" t="s">
        <v>40</v>
      </c>
      <c r="D7" s="0" t="s">
        <v>13</v>
      </c>
      <c r="E7" s="0" t="s">
        <v>21</v>
      </c>
      <c r="F7" s="0" t="s">
        <v>32</v>
      </c>
      <c r="G7" s="0" t="s">
        <v>21</v>
      </c>
      <c r="H7" s="0" t="s">
        <v>41</v>
      </c>
      <c r="I7" s="1" t="b">
        <f aca="false">FALSE()</f>
        <v>0</v>
      </c>
      <c r="J7" s="2" t="b">
        <f aca="false">TRUE()</f>
        <v>1</v>
      </c>
      <c r="L7" s="0" t="s">
        <v>32</v>
      </c>
    </row>
    <row r="8" customFormat="false" ht="15" hidden="false" customHeight="false" outlineLevel="0" collapsed="false">
      <c r="A8" s="0" t="s">
        <v>42</v>
      </c>
      <c r="B8" s="0" t="s">
        <v>43</v>
      </c>
      <c r="C8" s="0" t="s">
        <v>44</v>
      </c>
      <c r="D8" s="0" t="s">
        <v>13</v>
      </c>
      <c r="E8" s="0" t="s">
        <v>32</v>
      </c>
      <c r="F8" s="0" t="s">
        <v>32</v>
      </c>
      <c r="G8" s="0" t="s">
        <v>14</v>
      </c>
      <c r="H8" s="0" t="s">
        <v>45</v>
      </c>
      <c r="I8" s="1" t="b">
        <f aca="false">TRUE()</f>
        <v>1</v>
      </c>
      <c r="J8" s="2" t="b">
        <f aca="false">TRUE()</f>
        <v>1</v>
      </c>
    </row>
    <row r="9" customFormat="false" ht="15" hidden="false" customHeight="false" outlineLevel="0" collapsed="false">
      <c r="A9" s="0" t="s">
        <v>46</v>
      </c>
      <c r="B9" s="0" t="s">
        <v>47</v>
      </c>
      <c r="C9" s="0" t="s">
        <v>48</v>
      </c>
      <c r="D9" s="0" t="s">
        <v>13</v>
      </c>
      <c r="E9" s="0" t="s">
        <v>32</v>
      </c>
      <c r="F9" s="0" t="s">
        <v>32</v>
      </c>
      <c r="G9" s="0" t="s">
        <v>15</v>
      </c>
      <c r="H9" s="0" t="s">
        <v>49</v>
      </c>
      <c r="I9" s="1" t="b">
        <f aca="false">TRUE()</f>
        <v>1</v>
      </c>
      <c r="J9" s="2" t="b">
        <f aca="false">TRUE()</f>
        <v>1</v>
      </c>
    </row>
    <row r="10" customFormat="false" ht="15" hidden="false" customHeight="false" outlineLevel="0" collapsed="false">
      <c r="A10" s="0" t="s">
        <v>50</v>
      </c>
      <c r="B10" s="0" t="s">
        <v>51</v>
      </c>
      <c r="C10" s="0" t="s">
        <v>52</v>
      </c>
      <c r="D10" s="0" t="s">
        <v>13</v>
      </c>
      <c r="E10" s="0" t="s">
        <v>32</v>
      </c>
      <c r="F10" s="0" t="s">
        <v>15</v>
      </c>
      <c r="G10" s="0" t="s">
        <v>14</v>
      </c>
      <c r="H10" s="0" t="s">
        <v>53</v>
      </c>
      <c r="I10" s="1" t="b">
        <f aca="false">FALSE()</f>
        <v>0</v>
      </c>
      <c r="J10" s="2" t="b">
        <f aca="false">FALSE()</f>
        <v>0</v>
      </c>
      <c r="L10" s="0" t="s">
        <v>15</v>
      </c>
    </row>
    <row r="11" customFormat="false" ht="15" hidden="false" customHeight="false" outlineLevel="0" collapsed="false">
      <c r="A11" s="0" t="s">
        <v>54</v>
      </c>
      <c r="B11" s="0" t="s">
        <v>55</v>
      </c>
      <c r="C11" s="0" t="s">
        <v>56</v>
      </c>
      <c r="D11" s="0" t="s">
        <v>13</v>
      </c>
      <c r="E11" s="0" t="s">
        <v>26</v>
      </c>
      <c r="F11" s="0" t="s">
        <v>27</v>
      </c>
      <c r="G11" s="0" t="s">
        <v>26</v>
      </c>
      <c r="H11" s="0" t="s">
        <v>57</v>
      </c>
      <c r="I11" s="3" t="b">
        <f aca="false">FALSE()</f>
        <v>0</v>
      </c>
      <c r="J11" s="2" t="b">
        <f aca="false">TRUE()</f>
        <v>1</v>
      </c>
    </row>
    <row r="12" customFormat="false" ht="15" hidden="false" customHeight="false" outlineLevel="0" collapsed="false">
      <c r="A12" s="0" t="s">
        <v>58</v>
      </c>
      <c r="B12" s="0" t="s">
        <v>59</v>
      </c>
      <c r="C12" s="0" t="s">
        <v>60</v>
      </c>
      <c r="D12" s="0" t="s">
        <v>13</v>
      </c>
      <c r="E12" s="0" t="s">
        <v>32</v>
      </c>
      <c r="F12" s="0" t="s">
        <v>32</v>
      </c>
      <c r="G12" s="0" t="s">
        <v>14</v>
      </c>
      <c r="H12" s="0" t="s">
        <v>61</v>
      </c>
      <c r="I12" s="1" t="b">
        <f aca="false">TRUE()</f>
        <v>1</v>
      </c>
      <c r="J12" s="2" t="b">
        <f aca="false">TRUE()</f>
        <v>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34375" defaultRowHeight="15" customHeight="false" zeroHeight="false" outlineLevelRow="0" outlineLevelCol="0"/>
  <sheetData>
    <row r="1" customFormat="false" ht="15" hidden="false" customHeight="false" outlineLevel="0" collapsed="false">
      <c r="A1" s="0" t="s">
        <v>4</v>
      </c>
      <c r="B1" s="0" t="s">
        <v>62</v>
      </c>
      <c r="C1" s="0" t="s">
        <v>8</v>
      </c>
      <c r="D1" s="0" t="s">
        <v>63</v>
      </c>
      <c r="E1" s="0" t="s">
        <v>64</v>
      </c>
      <c r="F1" s="0" t="s">
        <v>65</v>
      </c>
    </row>
    <row r="2" customFormat="false" ht="15" hidden="false" customHeight="false" outlineLevel="0" collapsed="false">
      <c r="A2" s="0" t="s">
        <v>21</v>
      </c>
      <c r="B2" s="0" t="n">
        <v>2</v>
      </c>
      <c r="C2" s="0" t="n">
        <v>1</v>
      </c>
      <c r="D2" s="0" t="n">
        <v>2</v>
      </c>
      <c r="E2" s="0" t="s">
        <v>66</v>
      </c>
      <c r="F2" s="0" t="s">
        <v>67</v>
      </c>
    </row>
    <row r="3" customFormat="false" ht="15" hidden="false" customHeight="false" outlineLevel="0" collapsed="false">
      <c r="A3" s="0" t="s">
        <v>26</v>
      </c>
      <c r="B3" s="0" t="n">
        <v>2</v>
      </c>
      <c r="C3" s="0" t="n">
        <v>0</v>
      </c>
      <c r="D3" s="0" t="n">
        <v>2</v>
      </c>
      <c r="E3" s="0" t="s">
        <v>68</v>
      </c>
      <c r="F3" s="0" t="s">
        <v>67</v>
      </c>
    </row>
    <row r="4" customFormat="false" ht="15" hidden="false" customHeight="false" outlineLevel="0" collapsed="false">
      <c r="A4" s="0" t="s">
        <v>14</v>
      </c>
      <c r="B4" s="0" t="n">
        <v>1</v>
      </c>
      <c r="C4" s="0" t="n">
        <v>0</v>
      </c>
      <c r="D4" s="0" t="n">
        <v>1</v>
      </c>
      <c r="E4" s="0" t="s">
        <v>68</v>
      </c>
      <c r="F4" s="0" t="s">
        <v>67</v>
      </c>
    </row>
    <row r="5" customFormat="false" ht="15" hidden="false" customHeight="false" outlineLevel="0" collapsed="false">
      <c r="A5" s="0" t="s">
        <v>32</v>
      </c>
      <c r="B5" s="0" t="n">
        <v>5</v>
      </c>
      <c r="C5" s="0" t="n">
        <v>3</v>
      </c>
      <c r="D5" s="0" t="n">
        <v>3</v>
      </c>
      <c r="E5" s="0" t="s">
        <v>69</v>
      </c>
      <c r="F5" s="0" t="s">
        <v>69</v>
      </c>
    </row>
    <row r="6" customFormat="false" ht="15" hidden="false" customHeight="false" outlineLevel="0" collapsed="false">
      <c r="A6" s="0" t="s">
        <v>20</v>
      </c>
      <c r="B6" s="0" t="n">
        <v>1</v>
      </c>
      <c r="C6" s="0" t="n">
        <v>0</v>
      </c>
      <c r="D6" s="0" t="n">
        <v>1</v>
      </c>
      <c r="E6" s="0" t="s">
        <v>68</v>
      </c>
      <c r="F6" s="0" t="s">
        <v>67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34375" defaultRowHeight="15" customHeight="false" zeroHeight="false" outlineLevelRow="0" outlineLevelCol="0"/>
  <sheetData>
    <row r="1" customFormat="false" ht="15" hidden="false" customHeight="false" outlineLevel="0" collapsed="false">
      <c r="A1" s="0" t="s">
        <v>70</v>
      </c>
      <c r="B1" s="0" t="s">
        <v>71</v>
      </c>
      <c r="C1" s="0" t="s">
        <v>62</v>
      </c>
    </row>
    <row r="2" customFormat="false" ht="15" hidden="false" customHeight="false" outlineLevel="0" collapsed="false">
      <c r="A2" s="0" t="s">
        <v>72</v>
      </c>
      <c r="B2" s="0" t="s">
        <v>73</v>
      </c>
      <c r="C2" s="0" t="n">
        <v>11</v>
      </c>
    </row>
    <row r="3" customFormat="false" ht="15" hidden="false" customHeight="false" outlineLevel="0" collapsed="false">
      <c r="A3" s="0" t="s">
        <v>74</v>
      </c>
      <c r="B3" s="0" t="s">
        <v>75</v>
      </c>
      <c r="C3" s="0" t="n">
        <v>11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LibreOffice/26.2.4.2$Windows_X86_64 LibreOffice_project/0229ac93fcf0d7cbc6376066c6f35021cef002dc</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2026-06-26T13:53:21Z</dcterms:created>
  <dc:creator>openpyxl</dc:creator>
  <dc:description/>
  <dc:language>en-GB</dc:language>
  <cp:lastModifiedBy/>
  <dcterms:modified xsi:type="dcterms:W3CDTF">2026-06-26T14:54:11Z</dcterms:modified>
  <cp:revision>2</cp:revision>
  <dc:subject/>
  <dc:title/>
</cp:coreProperties>
</file>

<file path=docProps/custom.xml><?xml version="1.0" encoding="utf-8"?>
<Properties xmlns="http://schemas.openxmlformats.org/officeDocument/2006/custom-properties" xmlns:vt="http://schemas.openxmlformats.org/officeDocument/2006/docPropsVTypes"/>
</file>