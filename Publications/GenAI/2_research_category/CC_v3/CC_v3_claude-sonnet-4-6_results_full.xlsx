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<sst xmlns="http://schemas.openxmlformats.org/spreadsheetml/2006/main" count="516" uniqueCount="268">
  <si>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</si>
  <si>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</si>
  <si>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</si>
  <si>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</si>
  <si>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</si>
  <si>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</si>
  <si>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</si>
  <si>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</si>
  <si>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</si>
  <si>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</si>
  <si>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pub.1190543844</t>
  </si>
  <si>
    <t xml:space="preserve">Disruptive technologies and intra-value conflicts: The case of naturalness and sustainability in cellular agriculture</t>
  </si>
  <si>
    <t xml:space="preserve">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</si>
  <si>
    <t xml:space="preserve">CC</t>
  </si>
  <si>
    <t xml:space="preserve">Other</t>
  </si>
  <si>
    <t xml:space="preserve">Consumer &amp; market research</t>
  </si>
  <si>
    <t xml:space="preserve">This paper is primarily a philosophical and conceptual analysis of value conflicts (naturalness vs. sustainability) in cellular agriculture, examining stakeholder perspectives and ideological divides, which falls outside the specific technical research categories and into ethical/philosophical territory covered by Other; consumer perceptions of naturalness are touched on but are not the primary empirical focus.</t>
  </si>
  <si>
    <t xml:space="preserve">pub.1174613325</t>
  </si>
  <si>
    <t xml:space="preserve">Mechanical properties and texture profile analysis of beef burgers and plant-based analogues</t>
  </si>
  <si>
    <t xml:space="preserve">Cultivated meat, or cultured meat, is lab-grown from animal stem cells, differentiated into muscle and/or fat, to yield meat products. The process is more sustainable and more ethical than traditional farming, allowing to meet growing consumer demand. However, there remains a challenge in replicating the organoleptic properties of commercially available meat products for cultivated meat applications. Consequently, this study employs single-cycle uniaxial testing (flexion, tension, compression, cutting) governed by ISO standards, and texture profiling analysis, to ascertain the modulus, yield strain, hardness, adhesiveness, cohesiveness, springiness, resilience and chewiness of seven commercially available burgers. These were tested both raw and cooked, and comprise beef (including a range of beef contents, fat percentages and price points) and plant-based analogues. Here, we show that (i) both mechanical (flexural, compressive and cutting yield strains) and textural (cohesiveness, springiness and resilience) properties reveal clear and statistically significant divides between the cooked properties of beef compared to plant-based burgers; (ii) moreover, hardness and chewiness yield statistically significant results able to distinguish between high beef content burgers (over 95%), low beef content burgers (below 81%) and plant-based alternatives, and thus, are best suited to characterise burger properties; and (iii) there exists key target values for cultivated meat products to replicate the mechanical and textural characteristics of farmed beef burgers, identified for the first time. These findings provide novel insights into the mechanical and textural characterisation of beef and plant-based burgers, and may contribute to future developments in cultivated meat to ensure consumer acceptance.</t>
  </si>
  <si>
    <t xml:space="preserve">End product formulation</t>
  </si>
  <si>
    <t xml:space="preserve">Scaffolding</t>
  </si>
  <si>
    <t xml:space="preserve">The paper characterises mechanical and textural properties of finished burger products (beef and plant-based) to establish target values for cultivated meat, making end product formulation the primary focus; scaffolding/cultivated meat development is the stated application context, though the scaffolding category is a weak secondary fit given the study's relevance to replicating tissue structure for cultivated meat.</t>
  </si>
  <si>
    <t xml:space="preserve">pub.1194906364</t>
  </si>
  <si>
    <t xml:space="preserve">Recent Advances in Inks for 3D Food Printing: A Review</t>
  </si>
  <si>
    <t xml:space="preserve">The integration of 3D printers into food production represents an unprecedented innovation, envisaging applications from the industry to missions in space to home cooking, with no geographical or sectoral limits. Extrusion food 3D printers are designed to use ‘food inks’ that must be produced from raw materials possessing a range of suitable characteristics (viscosity, elasticity, and others) that make them printable. Not all food matrices possess such characteristics, and additives are often needed to formulate food inks, which must also adapt to the complexity of the 3D model to be printed. Initially, mainly food matrices such as potatoes, chocolate, cereal, and legume flours and soluble-fiber-rich additives were tested with this new technology, with promising results. In recent years, alternative food matrices (e.g., based on insects, algae, cultured meat, and food waste) have begun to be experimented with, as 3D printing appears to be a suitable way to exploit their potential. This review aims to highlight recent studies that have investigated the development of innovative food ink formulations and trace a picture of the new food raw materials that are being tested for 3D food printing, the opportunities they represent, their nutritional properties, safety, and technological challenges. This review considered a total of 46 papers, selected from 330 papers published in the last 8 years (2018–2025) on the generic subject of 3D food printing.</t>
  </si>
  <si>
    <t xml:space="preserve">Texturization methods</t>
  </si>
  <si>
    <t xml:space="preserve">The review focuses on 3D food printing as a manufacturing/texturization technology, examining food ink formulations and printability characteristics, with secondary attention to finished product properties including nutritional and safety aspects.</t>
  </si>
  <si>
    <t xml:space="preserve">pub.1184597489</t>
  </si>
  <si>
    <t xml:space="preserve">Nutritional and Sensory Properties of Meat Analogues: A Current Overview and Future Considerations</t>
  </si>
  <si>
    <t xml:space="preserve">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</si>
  <si>
    <t xml:space="preserve">Health &amp; nutrition</t>
  </si>
  <si>
    <t xml:space="preserve">This review systematically compares the nutritional composition and sensory properties of various meat analogue categories, making end product formulation (whole-product nutritional profiling and sensory evaluation) the dominant focus, with health and nutrition as a secondary theme through its analysis of nutritional values and dietary adequacy.</t>
  </si>
  <si>
    <t xml:space="preserve">pub.1191849859</t>
  </si>
  <si>
    <t xml:space="preserve">The Good, the Bad, and the Unsustainable: evaluations of red meat alternatives in Italy</t>
  </si>
  <si>
    <t xml:space="preserve">Despite the proliferation of alternatives for red meat, there is still much popular resistance toward them. Based on survey data collected in Italy, this paper studies how cultural understandings of nature and tradition inform evaluations of three such alternatives vis-à-vis red meat: plant-based meat, cultivated meat and insect-based meat. The findings firstly confirm the important role of such understandings in shaping acceptance of, and resistance to, these alternatives. Secondly, they highlight how the various alternatives are evaluated differently in terms of these cultural understandings. The findings have implications both for scholarly research and for policy insights on the unique features of each meat alternative.</t>
  </si>
  <si>
    <t xml:space="preserve">This paper uses survey data to study consumer acceptance, resistance, and cultural evaluations of red meat alternatives in Italy, making it primarily a consumer and market research study with cultural/policy dimensions that touch on Other.</t>
  </si>
  <si>
    <t xml:space="preserve">pub.1195111619</t>
  </si>
  <si>
    <t xml:space="preserve">Algae Processing: Harnessing a Sustainable Protein Source to Combat Food Insecurity</t>
  </si>
  <si>
    <t xml:space="preserve">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</si>
  <si>
    <t xml:space="preserve">Ingredient optimisation</t>
  </si>
  <si>
    <t xml:space="preserve">The review focuses primarily on how processing affects the functional properties and structure-function relationships of algae protein as an ingredient, with secondary coverage spanning health benefits, market applications, and regulatory frameworks across multiple domains without a single secondary focus.</t>
  </si>
  <si>
    <t xml:space="preserve">pub.1194354565</t>
  </si>
  <si>
    <t xml:space="preserve">What makes a food protein unsafe?</t>
  </si>
  <si>
    <t xml:space="preserve">With a society increasingly demanding alternative protein food sources, modernised strategies for evaluating the safety of novel proteins are needed. These strategies must address any potential adverse effects novel proteins might pose to human health. Current frameworks for protein safety assessment are largely adapted from chemical risk assessment methodologies. Unlike small molecules, proteins are large, folded macromolecules with specific sequence motifs and immunogenic potential, and so must be assessed with tools tailored to those characteristics. Identifying and understanding which of these features are undesirable can lay the groundwork for accurately predicting potential adverse effects of novel proteins. There is a clear need for the development of risk assessment strategies specifically designed for proteins, grounded in biological relevance and supported by current knowledge about proteins and modern bioinformatics pipelines (e.g., sequence-motif screening, machine-learning models) and advances in structural biology. This review offers insights on common molecular features and properties of known hazardous proteins, and their potential systematic application in the safety evaluations of food proteins.</t>
  </si>
  <si>
    <t xml:space="preserve">Food safety &amp; quality</t>
  </si>
  <si>
    <t xml:space="preserve">This review focuses on protein safety assessment frameworks and risk evaluation methodologies for novel food proteins, including allergenicity, toxicology, and bioinformatics-based screening tools, which falls squarely within food safety and quality; it is classified as Other secondarily because it spans multiple methodological and regulatory dimensions without a single dominant secondary focus.</t>
  </si>
  <si>
    <t xml:space="preserve">pub.1187276166</t>
  </si>
  <si>
    <t xml:space="preserve">Foodomics: A lever to avoid the Darwinian boomerang of malnutrition and compromised nutritional value in the rapidly emerging green food transition</t>
  </si>
  <si>
    <t xml:space="preserve">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</si>
  <si>
    <t xml:space="preserve">This broad review spans multiple categories (sustainability, food safety, nutrition, processing, consumer diets) without a single dominant research focus, using foodomics as an overarching lens across the green food transition; health and nutrition concerns (malnutrition, nutritional quality, food intolerances) represent the most consistently emphasized secondary theme.</t>
  </si>
  <si>
    <t xml:space="preserve">pub.1187295059</t>
  </si>
  <si>
    <t xml:space="preserve">Essential Amino Acids and Fatty Acids in Novel Foods: Emerging Nutritional Sources and Implications</t>
  </si>
  <si>
    <t xml:space="preserve">Essential amino acids and essential fatty acids are vital nutrients that must be obtained from the diet. However, traditional sources face limitations amid increasing global food security and sustainability challenges. This study aims to evaluate the nutritional potential of novel foods, including microalgae (e.g., spirulina and chlorella), fungi (e.g., oyster and shiitake mushrooms), edible insects (e.g., mealworms and migratory locusts), and unconventional plants (e.g., water lentils and canihua). The study will compare their amino acid and fatty acid profiles with those of conventional animal and plant sources. The comparative analysis conducted in this study reveals that these innovative foods offer balanced and high-quality protein and lipid profiles, and contribute essential nutrients needed to prevent deficiencies and support metabolic health. Significantly, the integration of these novel foods into established dietary patterns, such as the Mediterranean diet, has the potential to enhance nutritional quality while promoting environmental sustainability. In conclusion, the adoption of these innovative food sources provides a viable strategy to meet nutritional demands and address global health and ecological challenges, paving the way toward a more resilient and sustainable food system.</t>
  </si>
  <si>
    <t xml:space="preserve">Impact assessments</t>
  </si>
  <si>
    <t xml:space="preserve">The paper primarily evaluates and compares the nutritional profiles (amino acid and fatty acid composition) of novel food sources with conventional sources, focusing on their potential to prevent deficiencies and support metabolic health, with secondary emphasis on sustainability and food security implications.</t>
  </si>
  <si>
    <t xml:space="preserve">pub.1196060665</t>
  </si>
  <si>
    <t xml:space="preserve">Nutrient Equivalence of Plant-Based and Cultured Meat: Gaps, Bioavailability, and Health Perspectives</t>
  </si>
  <si>
    <t xml:space="preserve">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</si>
  <si>
    <t xml:space="preserve">The review's primary focus is on nutrient bioavailability and health implications of consuming plant-based and cultured meat alternatives compared to conventional meat, with secondary attention to compositional and formulation differences across product types.</t>
  </si>
  <si>
    <t xml:space="preserve">pub.1195609701</t>
  </si>
  <si>
    <t xml:space="preserve">Harmonised assessment of environmental impacts from diets and dietary scenarios: sustainability and protein intake in eleven European countries</t>
  </si>
  <si>
    <t xml:space="preserve">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</si>
  <si>
    <t xml:space="preserve">The paper quantitatively assesses environmental impacts (GHG, land use, water, eutrophication) of current diets and dietary policy scenarios across 11 European countries using LCA data, with protein intake as a secondary metric linking environmental and health objectives.</t>
  </si>
  <si>
    <t xml:space="preserve">pub.1187052760</t>
  </si>
  <si>
    <t xml:space="preserve">Nutritional Quality, Safety and Environmental Benefits of Alternative Protein Sources—An Overview</t>
  </si>
  <si>
    <t xml:space="preserve">Protein is a fundamental macronutrient in the human diet. It supplies our organisms with essential amino acids, which are needed for the growth and maintenance of cells and tissues. Conventional protein sources, despite their complete amino acid profiles and excellent digestibility, have a proven negative impact on the environment. Furthermore, their production poses many ethical challenges. This review aims to present nutritional, more ethical, and environmentally friendly alternatives that could serve as potential protein sources for the population. The available literature on alternative protein sources has been analyzed. Based on the research conducted, various products have been identified and described, including plant-based protein sources such as soybeans, peas, faba beans, lupins, and hemp seeds; aquatic sources such as algae, microalgae, and water lentils; as well as insect-based and microbial protein sources, and cell-cultured meat. Despite numerous advantages, such as a lower environmental impact, higher ethical standards of production, and beneficial nutritional profiles, alternative protein sources are not without limitations. These include lower bioavailability of certain amino acids, the presence of antinutritional compounds, technological challenges, and issues related to consumer acceptance. Nevertheless, with proper dietary composition, optimization of production processes, and further technological advancements, presented alternatives can constitute valuable and sustainable protein sources for the growing global population.</t>
  </si>
  <si>
    <t xml:space="preserve">This review spans multiple categories equally — nutritional quality, food safety, environmental impact, and consumer acceptance — without a single dominant research focus, making it a broad overview that fits Other; health and nutrition is the closest secondary theme given the emphasis on amino acid profiles, digestibility, and bioavailability.</t>
  </si>
  <si>
    <t xml:space="preserve">pub.1193643289</t>
  </si>
  <si>
    <t xml:space="preserve">From sensory expectations to social influence: The role of person-related, product-related, and external factors in young people’s consumption of milk and milk alternatives</t>
  </si>
  <si>
    <t xml:space="preserve">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</si>
  <si>
    <t xml:space="preserve">The study investigates determinants of consumption behaviour, attitudes, social norms, and purchase intentions toward milk and milk alternatives among young consumers, which is squarely within consumer behaviour and market research; the secondary is Other as the study touches on sustainability and product perceptions without a dominant secondary research focus.</t>
  </si>
  <si>
    <t xml:space="preserve">pub.1191284655</t>
  </si>
  <si>
    <t xml:space="preserve">Social Interactions for Sustainable Food Choices: Meeting the Target for Meat Intake in the United Kingdom</t>
  </si>
  <si>
    <t xml:space="preserve">Background: Substantial shifts in contemporary diets are needed to halt the growing burden of chronic diseases and the accelerating climate crisis. Achieving this will require strong action and the use of policy instruments that can aid consumers in making the right dietary choices. Real-life evidence on changing dietary behaviors within complex food systems at scale demands resources and research that might not be realistic to acquire or realize.
Objectives: This project applied innovative models to predict the dietary and environmental effects of broad-scale strategies designed to transform dietary behaviors among consumers. Scenarios were numerically simulated using agent-based opinion-dynamics models to evaluate the impact of governmental influence on people's consumption of meat, vegetables, pulses, and meat alternatives.
Methods: We considered the problem of influencing the opinions of a group of agents (representing the UK population) connected in a social network over a sequence of campaigns to achieve convergence to 2 different targets: achieving the UK Climate Change Committee's goal of 35% and 50% average reduction in meat consumption by 2030 and 2050, respectively. The opinion dynamics comprised consumers (i.e., agents), with empirically derived baseline food intake patterns (i.e., initial opinions) and sociodemographic attributes. Changes in environmental impacts following changes in consumption were quantified.
Results: In a scenario of high governmental influence, uniform in the population, achievement of the 35% and 50% meat reduction goals corresponded to ∼5.2 and ∼8.1 y, respectively. As meat consumption reduced, intake of vegetables, pulses, and meat alternatives increased by 84.7%, 108.5%, and 30.8%, respectively (-35% scenario). Greenhouse gas emissions, land use, water use, and scarcity-weighted water were reduced by -23.8%, -20.2%, -0.5%, and -14.5%, respectively (-35% scenario).
Conclusions: The findings of this project provide valuable insights for policymakers and governmental authorities to develop effective influence strategies aimed at promoting healthy and sustainable dietary habits.</t>
  </si>
  <si>
    <t xml:space="preserve">The paper models consumer dietary behavior change through social influence and policy scenarios, focusing on meat reduction and alternative protein uptake, while also quantifying associated environmental impacts (GHG, land use, water use).</t>
  </si>
  <si>
    <t xml:space="preserve">pub.1190518754</t>
  </si>
  <si>
    <t xml:space="preserve">Young Consumers’ Intention to Consume Innovative Food Products: The Case of Alternative Proteins</t>
  </si>
  <si>
    <t xml:space="preserve">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</si>
  <si>
    <t xml:space="preserve">The study investigates psychological and attitudinal factors shaping young consumers' intention to consume alternative proteins using survey data and cluster analysis, which is squarely consumer behaviour research; the secondary sustainability and SDG framing touches on impact considerations.</t>
  </si>
  <si>
    <t xml:space="preserve">pub.1187677686</t>
  </si>
  <si>
    <t xml:space="preserve">Halal considerations that signpost a cellular agriculture compatible with world religions</t>
  </si>
  <si>
    <t xml:space="preserve">This commentary examines which halal requirements might influence religious approval of novel foods arising from cellular agriculture, as an illustrative example of how considerations important to all the five major world faiths might also influence their approval of such foods. Cellular agriculture presents novel methods of producing animal-derived food ingredients and whole foods without conventional animal farming. As cellular agriculture disrupts food system paradigms, a framework is needed to reconcile innovation with religious tradition, in order to help enable culturally sensitive progress. We examine how cellular agriculture intersects with the religious traditions of the five major world faiths: Buddhism, Christianity, Hinduism, Islam, and Judaism. Food deemed appropriate for consumption by Muslims (‘halal’) represents the world's largest faith-approved food market. As a case study, for religious acceptance of cellular agriculture, we propose key considerations for conferring halal status on the foods and processes arising from this new technology. Our proposed considerations cover halal-compliant bioprocessing, feedstocks, genetic sequences, cell lines, and growth media for cultivation of animal cells, plant cells and microbes. Looking ahead, we suggest the increased programmability of biological matter, accelerated by developments in artificial intelligence, may raise philosophical questions around concepts of religious adherence and food practices.</t>
  </si>
  <si>
    <t xml:space="preserve">This commentary focuses on religious, ethical, and philosophical implications of cellular agriculture for world faiths, which falls under the 'Other' catch-all; the secondary category is Food safety &amp; quality as it touches on regulatory and compliance considerations (halal certification) for novel foods, though this is not the primary focus.</t>
  </si>
  <si>
    <t xml:space="preserve">pub.1191637476</t>
  </si>
  <si>
    <t xml:space="preserve">Where are we now with meat alternatives? Global insights and strategic lessons for UK's net-zero goals through agri-food system transition</t>
  </si>
  <si>
    <t xml:space="preserve">Global efforts to improve food system sustainability require major changes in both food production and consumption practices. Research shows that the expansion of the meat alternatives market is one strategy in this transformation. Accordingly, the paper aims to synthesize the literature on the global meat alternatives sector and draw lessons that can support the UK's transition to a sustainable, net zero agri-food system. This paper adopts a non-systematic, narrative synthesis approach. Such an approach allows for a contextual understanding of global insights, while identifying key lessons, challenges and opportunities for integrating meat alternatives into a more sustainable and climate-resilient agri-food system in the UK. The analysis is thematic and interpretive. The synthesis of the literature shows that pulses and plant-based alternative proteins currently have a higher acceptance compared to more novel sources like insects and cultured meat. Consumer preferences for meat alternatives are influenced by sensory attributes, demographic factors, economic considerations, cultural norms and motivation. However, there remain challenges with scaling production and aligning with consumer expectations. The paper highlights the variability of regulations across regions, which presents challenges for international market expansion. The review concludes that meat alternatives can contribute to sustainable food transitions, but current levels of acceptance and technological readiness remain modest. In examining the current state and future prospects of the UK meat alternatives market, lessons include the importance of aligning product offerings with consumer preferences and regulation that balances safety concerns with the need to encourage innovation and market entry for new products.</t>
  </si>
  <si>
    <t xml:space="preserve">The paper synthesises global literature on consumer acceptance, preferences, and market dynamics of meat alternatives, with a secondary focus on sustainability and net-zero agri-food system transitions that aligns with impact assessment themes.</t>
  </si>
  <si>
    <t xml:space="preserve">pub.1185255386</t>
  </si>
  <si>
    <t xml:space="preserve">Alternative Protein-Based Meat and Fish Analogs by Conventional and Novel Processing Technologies: A Systematic Review and Bibliometric Analysis</t>
  </si>
  <si>
    <t xml:space="preserve">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</si>
  <si>
    <t xml:space="preserve">The review systematically examines processing technologies (extrusion, 3D printing, mixing) used to produce meat and fish analogs, with a dominant focus on texturization methods and the alternative protein sources used, while also covering product-level properties such as rheological, textural, sensory, and nutritional characteristics.</t>
  </si>
  <si>
    <t xml:space="preserve">pub.1194074326</t>
  </si>
  <si>
    <t xml:space="preserve">Reshaping Meat Consumption: Meat Substitutes in a Sustainability Perspective</t>
  </si>
  <si>
    <t xml:space="preserve">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</si>
  <si>
    <t xml:space="preserve">This review spans multiple categories equally — ingredient sources, texturization technologies, sustainability/environmental impacts, consumer acceptance, and socio-cultural/policy dimensions — without a single dominant research focus, making it a broad multi-topic review best classified as Other, with Impact assessments as a secondary theme given the sustainability framing.</t>
  </si>
  <si>
    <t xml:space="preserve">pub.1182396222</t>
  </si>
  <si>
    <t xml:space="preserve">The dairy production system in the north of Sweden under possible future food scenarios</t>
  </si>
  <si>
    <t xml:space="preserve">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</si>
  <si>
    <t xml:space="preserve">The paper conducts a structured quantitative assessment of future dairy production scenarios in northern Sweden, evaluating dairy production capacity, carbon flow, and carbon footprint across four scenarios, which aligns with impact assessments; the scenario-based approach and policy decision-making focus give it a secondary 'Other' character as it spans sustainability, food systems, and policy without a clear alternative protein focus.</t>
  </si>
  <si>
    <t xml:space="preserve">pub.1186478980</t>
  </si>
  <si>
    <t xml:space="preserve">Regulatory barriers and incentives for alternative proteins in the European Union and Australia–New Zealand</t>
  </si>
  <si>
    <t xml:space="preserve">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</si>
  <si>
    <t xml:space="preserve">The paper's primary focus is a comparative legal analysis of novel food regulatory frameworks in the EU and Australia-New Zealand, directly examining regulatory barriers and incentives for alternative protein innovation, which falls under novel food regulation and policy within Food safety &amp; quality; the qualitative stakeholder interview methodology and policy recommendation focus give it some characteristics of Other.</t>
  </si>
  <si>
    <t xml:space="preserve">pub.1194329838</t>
  </si>
  <si>
    <t xml:space="preserve">Carbohydrate usage and protein density in meat products and meat analogues: A survey of the Belgian market</t>
  </si>
  <si>
    <t xml:space="preserve">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</si>
  <si>
    <t xml:space="preserve">The paper systematically characterises the nutritional composition (carbohydrate, protein, sugar content) and ingredient usage of commercial meat products and meat analogues on the Belgian market, which is primarily an end product formulation/characterisation study, with a secondary market survey dimension reflecting product availability and labelling claims.</t>
  </si>
  <si>
    <t xml:space="preserve">pub.1189349384</t>
  </si>
  <si>
    <t xml:space="preserve">Comprehensive review of the digestibility of novel alternative protein sources: Current status and challenges</t>
  </si>
  <si>
    <t xml:space="preserve">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</si>
  <si>
    <t xml:space="preserve">The review's primary focus is on protein digestibility and nutritional bioaccessibility across alternative protein sources, which are health and nutrition endpoints, while also covering processing methods aimed at improving digestibility, linking to ingredient optimisation.</t>
  </si>
  <si>
    <t xml:space="preserve">pub.1184131962</t>
  </si>
  <si>
    <t xml:space="preserve">Advancements in Research on Alternative Protein Sources and Their Application in Food Products: A Systematic Review</t>
  </si>
  <si>
    <t xml:space="preserve">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</si>
  <si>
    <t xml:space="preserve">The review's dominant focus is on the incorporation of alternative proteins into finished food products (bakery, meat analogues, dairy, confectionery) and their sensory, nutritional, and formulation outcomes, but it spans multiple protein sources and product categories without a single dominant methodological or thematic thread beyond product formulation, making Other appropriate as secondary.</t>
  </si>
  <si>
    <t xml:space="preserve">pub.1184676351</t>
  </si>
  <si>
    <t xml:space="preserve">Fermentation of a wine pomace and microalgae blend to synergistically enhance the functional value of protein- and polyphenol-rich matrices</t>
  </si>
  <si>
    <t xml:space="preserve">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</si>
  <si>
    <t xml:space="preserve">The paper focuses on improving functional properties (bioavailability of phenolics, antioxidant activity, protein digestibility, protein quality) of individual fermented ingredients (microalgae-wine pomace blend) through fermentation, with health-promoting outcomes as secondary endpoints.</t>
  </si>
  <si>
    <t xml:space="preserve">pub.1192359115</t>
  </si>
  <si>
    <t xml:space="preserve">Alternative proteins: How do retailers drive the transition towards new sustainable consumption?</t>
  </si>
  <si>
    <t xml:space="preserve">Purpose In evolving market dynamics, the growing demand for alternative proteins currently characterises the grocery market, where retailers have a vital role in shaping consumer preferences and influencing market dynamics. With this in mind, the paper aims to investigate how retailers will develop innovative and sustainable strategies to effectively promote the consumption of alternative proteins.   Design/methodology/approach Drawing on an exploratory approach, a total of 10 in-depth interviews were conducted with retailers operating in the Italian market to delve into their approaches in order to identify the strategies and initiatives adopted in promoting and facilitating the consumption of alternative protein food products.   Findings The results revealed the retailers’ main strategies including the differentiation of the product offering, promotional strategies, the relevance of consumer communication and education, the retailers’ sensitivity to innovative products and understanding of the customer by offering products that meet their needs.   Research limitations/implications The findings provide valuable contributions to the ongoing debate with regard to the role of retailers in fostering the development of a more sustainable food system.   Originality/value By delving into the perspectives of the main retail players, the research strives to identify the motivations, challenges and innovative approaches implemented by retailers to shift consumers towards alternative protein products.</t>
  </si>
  <si>
    <t xml:space="preserve">The paper investigates retailer strategies and market dynamics for promoting alternative protein consumption, which falls squarely within consumer and market research; the sustainability framing and food system transition discussion has secondary relevance to impact assessments.</t>
  </si>
  <si>
    <t xml:space="preserve">pub.1188715770</t>
  </si>
  <si>
    <t xml:space="preserve">Shaping suspensions: Stabilizing anisotropy in viscoelastic media using oscillations</t>
  </si>
  <si>
    <t xml:space="preserve">An easy process to generate highly anisotropic structures and properties is desired for many applications, such as the formation of meat analogues, conductive polymer composites or directed assembly of microparticles. However, the required processing parameters for viscoelasticity-induced alignment preclude such implementations, necessitating additional and cumbersome processing steps. Traditionally, string formation of particles in viscoelastic liquids occurs only at either high shear rates or in highly elastic fluids. We demonstrate how oscillatory flows can induce particle alignment at shear rates nearly two orders of magnitude lower than for steady shear, to easily reach long particle strings in comparison to the limitations of steady shear. Furthermore, we establish that alignment in oscillation is cumulative because string breakup is prevented by flow reversal, which explains the potentially unlimited anisotropic assembly, while showing that Weissenberg number-dependent string stability in steady shear leads to non-cumulative alignment. Finally, we show that this mechanism enables the extrusion of aligned structures using superposed oscillatory and steady shear, and demonstrate its broader applicability with non-ideal particles.</t>
  </si>
  <si>
    <t xml:space="preserve">The paper investigates oscillatory flow-induced particle alignment to generate anisotropic structures relevant to meat analogue formation, focusing on a novel processing mechanism (superposed oscillatory and steady shear extrusion) that directly targets texture creation in alternative protein products.</t>
  </si>
  <si>
    <t xml:space="preserve">pub.1189679969</t>
  </si>
  <si>
    <t xml:space="preserve">Emerging Trends in Sustainable Biological Resources and Bioeconomy for Food Production</t>
  </si>
  <si>
    <t xml:space="preserve">The mounting global population and the challenges posed by climate change underline the need for sustainable food production systems. This review synthesizes evidence for a dual-track bioeconomy, green (terrestrial plants and insects) and blue (aquatic algae), as complementary pathways toward sustainable nutrition. A comprehensive review of the extant literature, technical reports, and policy documents published between 2015 and 2025 was conducted, with a particular focus on environmental, nutritional, and techno-economic metrics. In addition, precision agriculture datasets, gene-editing breakthroughs, and circular biorefinery case studies were extracted and compared. As demonstrated in this study, the use of green resources, such as legumes, oilseeds, and edible insects, results in a significant reduction in greenhouse gas emissions, land use, and water footprints compared with conventional livestock production. In addition, these alternative protein sources offer substantial benefits in terms of bioactive lipids. Blue resources, centered on micro- and macroalgae, furnish additional proteins, long-chain polyunsaturated fatty acids, and antioxidant pigments and sequester carbon on non-arable or wastewater substrates. The transition to bio-based resources is facilitated by technological innovations, such as gene editing and advanced extraction methods, which promote the efficient valorization of agricultural residues. In conclusion, the study strongly suggests that policy support be expedited and that research into bioeconomy technologies be increased to ensure the sustainable meeting of future food demands.</t>
  </si>
  <si>
    <t xml:space="preserve">This broad review spans multiple categories equally — environmental impacts, nutritional profiles, techno-economic metrics, ingredient processing, and policy — without a single dominant research focus, making it a catch-all Other, with impact assessments (LCA, environmental, and techno-economic metrics) being the closest secondary theme.</t>
  </si>
  <si>
    <t xml:space="preserve">pub.1191584911</t>
  </si>
  <si>
    <t xml:space="preserve">Reduced environmental footprint through novel food production technologies: Four case studies from Finland</t>
  </si>
  <si>
    <t xml:space="preserve">New ways to reduce the climate impact and land occupation of agriculture and food production are needed. This study assessed the potential of four new food production solutions to mitigate the climate impact at the national level in Finland by partly replacing conventional food production solutions. The climate mitigation potential of reforestation of saved land was also assessed. The new production solutions assessed represent cellular agriculture and controlled environment agriculture (CEA). The climate impact and land occupation were assessed for the four new production solutions and for four conventional production solutions using life cycle assessment (LCA). Land use and land use change (LULUC) emissions were systematically included in the LCA. The LCA results were scaled up to the national level with estimated production amounts for Finland. The results showed that these four new solutions can have an impact at the national level when partly replacing conventional solutions. There is mitigation potential in reforestation of the saved land, but the main impact was achieved by replacing conventional production. Cellular agriculture and CEA can provide significant reductions in climate impact, but for CEA reductions in the climate impact depend on the energy sources used. Using low-carbon energy sources ensures that reductions in land occupation can be achieved, as bio-based renewable energy causes large land occupation. The results highlight the importance of considering LULUC emissions in LCAs of conventional agricultural products, especially in areas with organic soils. Decreasing cultivation on organic soils has a high climate impact mitigation potential for conventional food production.</t>
  </si>
  <si>
    <t xml:space="preserve">The paper conducts life cycle assessments (LCA) of four novel food production technologies (cellular agriculture and CEA) in Finland, quantifying climate impact and land occupation at a national scale, which is squarely an impact assessment study.</t>
  </si>
  <si>
    <t xml:space="preserve">pub.1184151966</t>
  </si>
  <si>
    <t xml:space="preserve">Emerging alternatives to coffee, cocoa and palm oil deserve a spot on the research agenda</t>
  </si>
  <si>
    <t xml:space="preserve">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</si>
  <si>
    <t xml:space="preserve">The paper discusses environmental and socio-economic impacts of conventional crops and the potential of cellular agriculture alternatives to mitigate them, making impact assessment the primary focus, while the broad policy and equity discussion also places it partly in the Other category.</t>
  </si>
  <si>
    <t xml:space="preserve">pub.1187075423</t>
  </si>
  <si>
    <t xml:space="preserve">Mapping the research landscape of meat replacers in Romania: A bibliometric analysis and a cross-cluster synergy model of emerging trends</t>
  </si>
  <si>
    <t xml:space="preserve">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</si>
  <si>
    <t xml:space="preserve">This is a bibliometric/systematic mapping study that spans multiple research categories (ingredient optimisation, health, consumer acceptance, sustainability) without a dominant experimental focus, and the Cross-Cluster Synergy Model is a methodological framework rather than a contribution to any single research domain.</t>
  </si>
  <si>
    <t xml:space="preserve">pub.1188616435</t>
  </si>
  <si>
    <t xml:space="preserve">Feeding the future: consumer willingness to try bacterial protein, a comparative study with fungi, algae and cultured meat</t>
  </si>
  <si>
    <t xml:space="preserve">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</si>
  <si>
    <t xml:space="preserve">The study directly measures consumer willingness to try bacterial protein and other alternative proteins using survey data, examining predictors like food neophobia, awareness, and perceptions of naturalness, healthiness, and sustainability, which is squarely within consumer behaviour and acceptance research.</t>
  </si>
  <si>
    <t xml:space="preserve">pub.1188817720</t>
  </si>
  <si>
    <t xml:space="preserve">The potential of deep eutectic solvents in the extraction of alternative proteins</t>
  </si>
  <si>
    <t xml:space="preserve">As the global demand for sustainable high-quality protein rises in response to rapid population growth and environmental concerns, alternative proteins have emerged as a key solution to meet future needs. Derived from sources such as plants, algae, fungi, and insects, these proteins offer comparable or enhanced nutritional and functional benefits, while using fewer resources compared to conventional animal proteins. However, traditional extraction methods, such as alkaline extraction, can often compromise protein quality, yield, and functionality, while generating environmental waste. To overcome these challenges, this review explores the potential of deep eutectic solvents (DESs) as a promising green extraction technology for alternative proteins. This article discusses DES synthesis, properties, and effectiveness in protein extraction from various sources, examining their potential to maintain or enhance protein structure and functionality, while also reducing resource-intensive practices. By elucidating the role of DESs in alternative protein extraction, this review aims to advance understanding and stimulate further research into efficient and eco-friendly extraction methods that can support a more resilient global protein supply.</t>
  </si>
  <si>
    <t xml:space="preserve">This review focuses on deep eutectic solvents as extraction/processing methods to improve the yield, quality, and functionality of alternative protein ingredients from various sources, making ingredient optimisation the primary focus, though it spans multiple protein sources and extraction contexts without a single dominant product or process innovation.</t>
  </si>
  <si>
    <t xml:space="preserve">pub.1191993918</t>
  </si>
  <si>
    <t xml:space="preserve">Impact of implicit biases on consumer behavioural intention towards meat alternative proteins</t>
  </si>
  <si>
    <t xml:space="preserve">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</si>
  <si>
    <t xml:space="preserve">The study directly investigates consumer behavioural intentions, drivers, barriers, and implicit biases toward meat alternative protein consumption using TPB and Implicit Association Test, making it a clear consumer behaviour and market research study.</t>
  </si>
  <si>
    <t xml:space="preserve">pub.1175608755</t>
  </si>
  <si>
    <t xml:space="preserve">Comparative study of interaction and complex formation of Tremella fuciformis polysaccharide with whey protein, lentil protein, and soy protein isolates</t>
  </si>
  <si>
    <t xml:space="preserve">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</si>
  <si>
    <t xml:space="preserve">The paper primarily investigates the molecular interactions and complex formation between a polysaccharide and various protein isolates (ingredient-level characterisation), while also evaluating emulsion stability as a functional application of these complexes.</t>
  </si>
  <si>
    <t xml:space="preserve">pub.1194557570</t>
  </si>
  <si>
    <t xml:space="preserve">From Curiosity to Consumption: Consumer Attitudes Toward Alternative Proteins in Northwestern Italy</t>
  </si>
  <si>
    <t xml:space="preserve">Consumer interest in alternative protein sources has grown rapidly, driven by concerns over health, sustainability and environmental impact. This study investigated perceptions, attitudes and behaviours towards alternative proteins among residents of Piedmont, northwestern Italy. A cross-sectional online and face-to-face survey was conducted between August and October 2023, collecting sociodemographic data, dietary habits, and respondents' perception on plant-, insect-, snail-, and algae-derived products. Responses from 627 participants were analysed. Approximately one-third reported consuming alternative proteins, with uptake being higher among women, younger adults, and flexitarian respondents. Plant-based alternatives were by far the most frequently consumed, while insect- and snail-based products elicited strong aversion. Curiosity and interest on alternative options predominated among consumers, whereas indifference and disgust-particularly among women and towards animal-derived options-were common among non-consumers. Reported barriers included taste, quality, and safety concerns, with price emerging as a major constraint. These findings indicate that acceptance of alternative proteins is unevenly distributed across demographic groups and product types. Plant-based options currently appear best positioned to facilitate dietary shifts, whereas animal-derived alternatives remain hindered by cultural and sensory barriers. Supporting the protein transition will require strategies to improve affordability, sensory appeal and consumer trust.</t>
  </si>
  <si>
    <t xml:space="preserve">The study uses a survey to investigate consumer perceptions, attitudes, behaviours, and barriers toward alternative proteins across demographic groups, which is squarely consumer and market research; health and sustainability concerns are noted as drivers but the paper's secondary relevance touches on dietary habits and health motivations.</t>
  </si>
  <si>
    <t xml:space="preserve">pub.1186732451</t>
  </si>
  <si>
    <t xml:space="preserve">Allergenicity of Alternative Proteins: Reduction Mechanisms and Processing Strategies</t>
  </si>
  <si>
    <t xml:space="preserve">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</si>
  <si>
    <t xml:space="preserve">The paper primarily reviews allergenicity risks and reduction strategies for alternative protein ingredients, which falls under food safety and quality assessment; secondary focus is on processing methods (enzymatic hydrolysis, fermentation, roasting) that modify ingredient properties to reduce allergenicity, aligning with ingredient optimisation.</t>
  </si>
  <si>
    <t xml:space="preserve">pub.1187944871</t>
  </si>
  <si>
    <t xml:space="preserve">Addressing semantic ambiguity in biotechnology: Proposals from the European research infrastructure IBISBA</t>
  </si>
  <si>
    <t xml:space="preserve">Driven by numerous scientific discoveries in biology in the second half of the last century, biotechnology is now set to play an important role as a driver for advanced manufacturing, leveraging the power of living organisms to produce a range of goods and services. Considering this prospect, it is vital that terminology surrounding biotechnology is sufficiently clear to provide a basis for efficient regulation and public buy-in. Despite the apparent clarity of the term biotechnology, its definition is the subject of a longstanding debate and liberal interpretations. Likewise, other more recent terms such as biomanufacturing, synthetic biology and engineering biology also lack consensual definitions despite their use in both scientific and secular circles. Additionally, new terms such as precision fermentation and cellular agriculture, recently introduced in the framework of business-to-business exchanges, appear to call upon imaginaries rather than scientific facts. Herein, we examine the lexical complexity of the biotechnology field and argue that, for the sake of efficient policymaking, it is vital to harmonise the definitions of some core terms, including biotechnology, biomanufacturing, engineering biology and synthetic biology. With this aim in mind, this discussion paper is intended to be useful to policymakers and science communicators, whether in the media or in professional settings.</t>
  </si>
  <si>
    <t xml:space="preserve">This paper is a policy-oriented discussion paper focused on harmonising terminology and definitions in biotechnology (including precision fermentation and cellular agriculture), which falls outside the specific research categories; the closest secondary category is Food safety &amp; quality due to its relevance to regulation and policymaking, though the paper does not directly assess food safety.</t>
  </si>
  <si>
    <t xml:space="preserve">pub.1195194673</t>
  </si>
  <si>
    <t xml:space="preserve">Application of new approach methods (NAMs) in food safety with considerations for new proteins</t>
  </si>
  <si>
    <t xml:space="preserve">As new sources of food emerge and technologies advance, the concepts of safe food and risk assessment have evolved. New Approach Methods (NAMs) are appearing at a pivotal point in toxicology and provide an opportunity to adopt improved science (from a sensitivity and specificity perspective), which is more human relevant, is quicker and is ethically sounder (does not employ animals). The safety standard for any substance added to food in the United States is that there is a reasonable certainty of no harm under the intended conditions of use and applies to food additives and substances that are Generally Recognized as Safe (GRAS). This means that the use of NAMs must have a wide acceptability amongst the scientific community, including the regulatory authorities. The demand for new sources of protein ingredients is increasing, and is one category of food to which NAMs can be applied to determine safety. Safety considerations for proteins are described and for this purpose have been grouped into i) biosynthetic proteins produced by precision fermentation, ii) protein concentrates from traditional foods, and iii) total protein extracts. NAMs can be used to support the safety determination of proteins by: i) addressing mechanistic questions; ii) demonstrating equivalence to foods already in the food supply; iii) comparing intake to the amount traditionally consumed; iv) potential allergenicity. Confidence now needs to be built amongst stakeholders in food safety, with more food case studies in which NAMs are used in GRAS determinations and food additive petitions.</t>
  </si>
  <si>
    <t xml:space="preserve">The paper focuses on applying New Approach Methods (NAMs) to toxicological and safety assessments of novel protein ingredients, including allergenicity and regulatory compliance (GRAS determinations), which is squarely within food safety and quality, with a secondary health/nutrition angle through mechanistic safety and physiological relevance considerations.</t>
  </si>
  <si>
    <t xml:space="preserve">pub.1184274752</t>
  </si>
  <si>
    <t xml:space="preserve">Postprandial Aminoacidemia Following the Ingestion of Alternative and Sustainable Proteins in Humans: A Narrative Review</t>
  </si>
  <si>
    <t xml:space="preserve">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</si>
  <si>
    <t xml:space="preserve">The paper focuses on postprandial amino acid kinetics and muscle anabolic responses as physiological outcomes following ingestion of alternative proteins, making Health &amp; nutrition the primary category; the sustainability and nutritional strategy framing has minor relevance to consumer/market considerations, but Impact assessments is a closer secondary given the sustainability perspective, though the dominant secondary theme is actually the nutritional intervention context which still falls under Health &amp; nutrition, so Other is considered—however, the review is clearly organized around a single physiological topic (postprandial aminoacidemia and anabolic response), firmly placing it in Health &amp; nutrition with Impact assessments as secondary due to the sustainability framing.</t>
  </si>
  <si>
    <t xml:space="preserve">pub.1191954992</t>
  </si>
  <si>
    <t xml:space="preserve">Exploring the Development of a Clean-Label Vegan Burger Enriched with Fermented Microalgae</t>
  </si>
  <si>
    <t xml:space="preserve">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</si>
  <si>
    <t xml:space="preserve">The study primarily focuses on improving microalgal biomass properties (sensory, functional, antioxidant) through fermentation as an upstream/downstream treatment, with the vegan burger serving as a secondary application to demonstrate ingredient incorporation.</t>
  </si>
  <si>
    <t xml:space="preserve">pub.1195166812</t>
  </si>
  <si>
    <t xml:space="preserve">Exploring the Potential of Haematococcus pluvialis as a Source of Bioactives for Food Applications: A Review</t>
  </si>
  <si>
    <t xml:space="preserve">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</si>
  <si>
    <t xml:space="preserve">The review is primarily organised around improving H. pluvialis as a functional ingredient through cultivation strategies, extraction/purification methods, and bioactive compound enhancement, with a secondary focus on health-relevant biological outcomes (antioxidant, anti-inflammatory, neuroprotective properties) supported by in vitro, in vivo, and clinical evidence.</t>
  </si>
  <si>
    <t xml:space="preserve">pub.1189355597</t>
  </si>
  <si>
    <t xml:space="preserve">In vitro fermentation potential of diet-derived fermentable proteins of thirty-one human foods</t>
  </si>
  <si>
    <t xml:space="preserve">Protein fermentation in the human gut is often associated with adverse health effects. Hence, understanding the fermentation characteristics of dietary undigested proteins is important for a comprehensive nutritional value of foods. This study investigated the protein fermentation kinetics of diet-derived proteins from thirty-one different foods using an in vitro model and human faecal inoculum. The undigested diet-derived protein substrate originated from porcine ileal digesta obtained from assessment of the digestible indispensable amino acid score (DIAAS) of the foods. Significant variations in fermentation kinetic parameters, particularly in maximum gas production rate (Rmax) and time to reach cumulative gas production (GP) from the substrate (TGPs), were observed. The Rmax ranged from 15·5 (se 0·7) ml/h for wheat bran-derived to 24·5 (se 0·9) ml/h for oatmeal-derived proteins. Egg-derived proteins had the shortest TGPs (14·7 (se 0·7) h), while mushroom-derived proteins had the longest (27·6 (se 7·1) h). When foods were categorised into five groups ('animal protein', 'grains', 'legumes', 'fungi, algae and microorganisms' and 'others'), no significant differences were found in fermentation kinetics parameters. Samples were additionally incubated with porcine inoculum to assess potential donor-species effects. Human inoculum showed significantly lower Rmax, cumulative GP and microbiota turnover than porcine inoculum, indicating reduced fermentative activity. Linear regression analysis revealed correlations between human and porcine-derived inoculum only for Rmax (R2 = 0·78, P &lt; 0·01) and TGPs (R² = 0·17, P &lt; 0·05). These findings underscore the importance of using human inoculum in in vitro studies to better predict health implications of foods with DIAAS values.</t>
  </si>
  <si>
    <t xml:space="preserve">The study's primary focus is on protein fermentation kinetics and their health implications in the human gut, using digestibility (DIAAS) as the central framework, making Health &amp; nutrition the dominant category; the comparison across 31 foods including alternative protein sources (fungi, algae, microorganisms, legumes) relates secondarily to ingredient characterisation.</t>
  </si>
  <si>
    <t xml:space="preserve">pub.1191996975</t>
  </si>
  <si>
    <t xml:space="preserve">Evaluation of allergenicity of the alternative food protein sources microalga Spirulina and rapeseed cake – A study in Brown Norway rats</t>
  </si>
  <si>
    <t xml:space="preserve">New food sources and unexplored by-products from current food production are necessary to meet the need for more sustainable food proteins. Nevertheless, allergenicity assessment should be performed before introducing them to the market. In this study, we characterised the protein profile and evaluated the inherent immunogenicity and sensitising capacity of protein extracts from the microalga Spirulina and the rapeseed cake in comparison to the known low-allergenic spinach and high-allergenic peanut in a Brown Norway rat model of food allergy. Moreover, the impact of digestion and heat treatment on the allergenicity was assessed. Further, the cross-reactivity between rapeseed proteins and the known allergic food mustard was explored. Mass spectrometry and in silico analyses of the protein extracts identified the potential allergen c-phycocyanin in Spirulina, whereas rapeseed cake contained 2S albumin and 11S globulin proteins with high sequence identity to mustard allergens. Both Spirulina and rapeseed proteins were immunogenic and induced sensitisation in rats to a higher degree than spinach. Whereas Spirulina showed a significantly lower immunogenicity and sensitising capacity than peanut, rapeseed demonstrated comparable sensitising capacity to peanut. Digestion and heat treatment affected the binding of specific IgG1 and IgE to both Spirulina and rapeseed, implying an effect of digestion and heating on their allergenicity, though the effect was highest for rapeseed. Furthermore, great cross-reactivity between mustard and rapeseed proteins was demonstrated. This study suggested that rapeseed cake proteins exhibit a high de novo sensitising capacity and significant cross-reactivity to mustard proteins, though this should be confirmed in human studies.</t>
  </si>
  <si>
    <t xml:space="preserve">The paper performs allergenicity and immunogenicity assessments of Spirulina and rapeseed cake proteins using an animal model, which falls squarely within food safety evaluation of alternative protein ingredients, with secondary relevance to health outcomes through IgE/IgG1 sensitisation responses.</t>
  </si>
  <si>
    <t xml:space="preserve">pub.1189656211</t>
  </si>
  <si>
    <t xml:space="preserve">Changes in meat consumption can improve groundwater quality</t>
  </si>
  <si>
    <t xml:space="preserve">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</si>
  <si>
    <t xml:space="preserve">The paper quantitatively assesses the environmental impact (groundwater nitrate contamination, nitrogen fertilizer, water footprint) of substituting conventional meat with alternative proteins across the USA, which is a structured environmental impact assessment; the dietary substitution framing also touches on consumer/market behavior implications.</t>
  </si>
  <si>
    <t xml:space="preserve">pub.1189269329</t>
  </si>
  <si>
    <t xml:space="preserve">Molecular Strategies to Overcome Sensory Challenges in Alternative Protein Foods</t>
  </si>
  <si>
    <t xml:space="preserve">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</si>
  <si>
    <t xml:space="preserve">The review's dominant focus is on molecular and processing interventions (precision fermentation, gene editing, enzymatic treatments, structuring techniques) aimed at improving sensory properties of alternative protein ingredients and products, with texture improvement as a secondary but substantial theme.</t>
  </si>
  <si>
    <t xml:space="preserve">pub.1189232977</t>
  </si>
  <si>
    <t xml:space="preserve">Plant-based fermented foods: General concepts, improvement of the quality, metabolites, and health-related functions</t>
  </si>
  <si>
    <t xml:space="preserve">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</si>
  <si>
    <t xml:space="preserve">This review focuses primarily on how fermentation improves the functional, nutritional, and sensory properties of plant-based ingredients/foods, with a secondary emphasis on the health outcomes (gut microbiota, metabolic disorders, cardiovascular health) associated with fermentation-derived bioactive compounds.</t>
  </si>
  <si>
    <t xml:space="preserve">pub.1184282447</t>
  </si>
  <si>
    <t xml:space="preserve">“Meat” as a Functional Concept Apt to Incorporate Novel Instances</t>
  </si>
  <si>
    <t xml:space="preserve">By introducing the possibility of producing meat either from plants or from animal stem cells, technological innovations have opened the door to considering meat as an artefactual object, defined by the functions it is designed to perform. Under this interpretation, plant-based and cultivated meat would be regarded as full-fledged meat. By analysing the notion of artefactuality, this paper reviews the main definitions of “artefact” and evaluates whether meat meets these criteria. It then examines whether a functional account of meat aligns with the development of functions in the philosophy of artefacts. Ultimately, the paper concludes that, like certain other food categories, “meat” is well suited to be interpreted as a functional concept apt to incorporate novel instances.</t>
  </si>
  <si>
    <t xml:space="preserve">This paper is a philosophical analysis of the concept of 'meat' as a functional artefact, examining definitional and ontological questions rather than conducting empirical research in any of the specific alternative protein research categories; the closest applied relevance is to nomenclature and labelling debates in consumer and market research, but the primary contribution is philosophical/conceptual.</t>
  </si>
  <si>
    <t xml:space="preserve">pub.1196201594</t>
  </si>
  <si>
    <t xml:space="preserve">A Review on Recent Processing and Bioprocessing Developments in Alternative Proteins: Sources, Modification Methods, Economic Feasibility, and Future Challenges</t>
  </si>
  <si>
    <t xml:space="preserve">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</si>
  <si>
    <t xml:space="preserve">The review's dominant focus is on modification methods (non-thermal, biological, dual approaches) to improve techno-functional properties of alternative protein ingredients from various sources, with secondary coverage of economic feasibility, analytical techniques, and regulatory perspectives spanning multiple additional categories.</t>
  </si>
  <si>
    <t xml:space="preserve">pub.1192451356</t>
  </si>
  <si>
    <t xml:space="preserve">Bioactive Food Proteins: Bridging Nutritional and Functional Benefits with Sustainable Protein Sources</t>
  </si>
  <si>
    <t xml:space="preserve">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</si>
  <si>
    <t xml:space="preserve">The review's dominant focus is on the physiological and health-promoting effects of bioactive protein peptides (antioxidant, anti-hypertensive, immunomodulatory activities), with ingredient processing and functional technologies as a secondary theme.</t>
  </si>
  <si>
    <t xml:space="preserve">Borderline. Acceptable</t>
  </si>
  <si>
    <t xml:space="preserve">pub.1195165724</t>
  </si>
  <si>
    <t xml:space="preserve">Never too late to try something new: attitudes and intention to taste foods from alternative protein sources in a sample of Italian older adults</t>
  </si>
  <si>
    <t xml:space="preserve">Introduction: Nutrition in older adults requires special attention due to protein-energy malnutrition (PEM) risk. Therefore, identifying healthy and sustainable protein sources is crucial, as traditional animal proteins pose challenges to both health and the environment. While most research focuses on younger populations, this study examined the responses of older adults to three alternative protein sources (APS): one plant-based (PBF) and two animal-based sources: cultured meat (CM) and insect-based foods (IBF). We investigated the role of explicit and automatic attitudes in shaping intention to consume (ITC) and the influence of familiarity.
Methods: A between-subjects design was performed: Each participant was randomly assigned to one APS, reported explicit attitudes and ITC, and completed an Implicit Association Test (IAT) to assess automatic attitudes.
Results: Regression analyses showed that ITC varied across APS. For PBF, familiarity was the strongest predictor, followed by explicit attitudes related to taste and automatic attitudes. For CM, ITC was primarily associated with explicit attitudes concerning both taste and safety. For IBF, ICT was mainly related to explicit attitudes concerning taste. ANOVAs comparing the three APSs revealed that IBF was the least favored option. Unexpectedly, although PBF was rated as tastier and safer than CM, it was less preferred in terms of automatic attitudes and ITC.
Discussion: These findings offer new insights into older adults' openness to APS. Disgust and perceived risk were identified as the primary factors influencing the acceptance of animal-based APS, while familiarity and automatic reactions were key factors in the acceptance of PBF. Importantly, although PBF received positive evaluations at the explicit level, it prompted negative automatic attitudes and low intention to consume, suggesting that older adults may implicitly resist PBF, viewing it as less compatible with their dietary habits compared to CM. This evidence challenges the common belief that PBF is the most accepted category of APS and highlights the need to investigate further the implicit barriers that may prevent the integration of these foods for healthy aging.</t>
  </si>
  <si>
    <t xml:space="preserve">The study primarily investigates consumer attitudes, implicit/explicit responses, and intention to consume alternative protein sources among older adults, with health and nutrition concerns (protein-energy malnutrition, healthy aging) as the motivating context.</t>
  </si>
  <si>
    <t xml:space="preserve">pub.1191240521</t>
  </si>
  <si>
    <t xml:space="preserve">Sustainable Nutrition and Food Allergy: A State-of-the-Art Review</t>
  </si>
  <si>
    <t xml:space="preserve">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</si>
  <si>
    <t xml:space="preserve">The review's primary focus is on allergenicity and food safety hazards of alternative proteins, including sensitisation, cross-reactivity, and the lack of standardised risk assessment methods, with secondary relevance to nutritional and health properties of these protein sources.</t>
  </si>
  <si>
    <t xml:space="preserve">pub.1185588959</t>
  </si>
  <si>
    <t xml:space="preserve">How innovation-friendly is the EU novel food regulation? The case of cellular agriculture</t>
  </si>
  <si>
    <t xml:space="preserve">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</si>
  <si>
    <t xml:space="preserve">The paper primarily analyzes the EU Novel Food Regulation framework and its effects on cellular agriculture authorization processes, which falls under novel food regulation and policy within Food safety &amp; quality; the secondary focus on innovation system functionality and sustainability implications touches on broader impact assessment themes.</t>
  </si>
  <si>
    <t xml:space="preserve">pub.1185641099</t>
  </si>
  <si>
    <t xml:space="preserve">Design and Operation of a Multifunctional Pilot-Scale Bioreactor for Enhanced Aerobic Fermentation</t>
  </si>
  <si>
    <t xml:space="preserve">The primary aim of this work was to share the results from a Research Project supported by the Italian National Research Council, which led to the development of a versatile jacketed tower bioreactor. Designed to optimize oxygen transfer efficiency and process control, the reactor incorporated a reciprocating air compressor, centrifugal pumps, a draft tube with or without perforated plates, and a series of gas–liquid ejectors. Its flexible design enabled operation in both airlift and ejector-loop modes, making it suitable for a wide range of aerobic fermentation processes. By sharing the detailed engineering design, operational procedures of this pilot-scale bioreactor, as well as its performance data when cultivating yeasts on whey and potato wastewater, a detailed blueprint was given to researchers seeking to advance bioreactor technology, particularly in the context of emerging fields like cultured meat production, pharmaceutical manufacturing, and environmental bioremediation.</t>
  </si>
  <si>
    <t xml:space="preserve">Bioprocess design</t>
  </si>
  <si>
    <t xml:space="preserve">The paper presents the engineering design and operational performance of a novel pilot-scale bioreactor optimised for oxygen transfer and process control in aerobic fermentation, with yeast cultivation on waste streams as a demonstration case relevant to single-cell protein production.</t>
  </si>
  <si>
    <t xml:space="preserve">pub.1185301096</t>
  </si>
  <si>
    <t xml:space="preserve">“It's most likely gonna be the future”: A qualitative study exploring child and parent perceptions of alternative proteins</t>
  </si>
  <si>
    <t xml:space="preserve">Alternative proteins offer promise as a sustainable substitute for traditional meat, but consumer acceptance remains low. Understanding the perceptions and preferences of diverse consumers is critical to shifting consumption patterns globally. Moreover, as children are future consumers, exploring their perceptions of alternative proteins along with parental influences is important for driving change. We conducted semi-structured focus groups with child (9-15 years-old) and parent (38-56 years-old) pairs (n=19) in Singapore to explore (i) current awareness and perceptions of plant-based meat, cultivated meat, and insect proteins, and (ii) facilitators and barriers to consumption. Inductive (reflexive thematic analysis) and deductive approaches (using the Capability, Opportunity, and Motivation model of Behaviour; COM-B) were adopted for data analysis. Overall, we found greater awareness and acceptance of plant-based meat than cultivated meat and insect proteins. Most children presented with a general curiosity to all alternative proteins, wanting to especially understand the likeness of plant-based and cultivated meat to traditional meat. Parents acknowledged that alternative proteins provided an opportunity to add variety to their diet but were concerned with the naturalness of alternative proteins and the novel technologies used to manufacture them. Insect proteins faced fear and disgust, although the historical consumption of insects meant children and parents deemed these as safe. Taste, cost and the impact on health were also commonly discussed by both children and parents. Our findings highlight key factors that influence children and parents' acceptance and consumption of alternative proteins, which can inform the development of targeted interventions.</t>
  </si>
  <si>
    <t xml:space="preserve">This qualitative study using focus groups and thematic analysis (COM-B framework) directly investigates consumer perceptions, acceptance, facilitators, and barriers to alternative protein consumption among children and parents, making it a clear consumer research study.</t>
  </si>
  <si>
    <t xml:space="preserve">pub.1196344309</t>
  </si>
  <si>
    <t xml:space="preserve">Exploring Sustainable Diet Drivers: An Extended TPB Approach to Alternative Protein Acceptance in Southern Italy</t>
  </si>
  <si>
    <t xml:space="preserve">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</si>
  <si>
    <t xml:space="preserve">The study uses survey data and PLS-SEM to investigate consumer behavioural intentions and decision-making drivers toward alternative protein adoption, which is core consumer behaviour research; the secondary focus on environmental concerns and sustainable diet transitions links to impact and sustainability considerations.</t>
  </si>
  <si>
    <t xml:space="preserve">pub.1193442920</t>
  </si>
  <si>
    <t xml:space="preserve">Alternative proteins and gut health: balancing sustainability and uncertainty</t>
  </si>
  <si>
    <t xml:space="preserve">The need to nourish the increasing world population while ensuring the environmental sustainability of the food system boosted research in the field of alternative proteins (AP). AP include vegetable proteins, algae, insects, and proteins from microbial biomass. Several studies suggest that AP consumption may be positively correlated with human health. However, although the increasing research interest, the number of studies addressing the impact of their long-term consumption on the human gut microbiome is still limited. In this review, we summarize current evidence on the impact of different AP on the gut microbiome, highlighting the need for ad hoc-designed clinical trials to study the mechanisms by which AP may affect human health, also through the modulation of gut microbiome activities.</t>
  </si>
  <si>
    <t xml:space="preserve">This review focuses on the health-relevant biological outcomes of alternative protein consumption, specifically their impact on the gut microbiome, making Health &amp; nutrition the primary category; no strong secondary category applies, but the sustainability framing and broad population-level discussion loosely connects to impact considerations, though the paper is fundamentally a health-focused review.</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</si>
  <si>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</si>
  <si>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</si>
  <si>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</si>
  <si>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is primarily focused on how fermentation modifies and improves individual protein ingredients — their functional properties, nutritional profiles, allergenicity, and digestibility — making ingredient optimisation the dominant theme, with health and nutrition as a secondary focus given the emphasis on bioactive compounds and digestibility improvements.</t>
  </si>
  <si>
    <t xml:space="preserve">n</t>
  </si>
  <si>
    <t xml:space="preserve">top2_correct</t>
  </si>
  <si>
    <t xml:space="preserve">primary_acc</t>
  </si>
  <si>
    <t xml:space="preserve">top2_acc</t>
  </si>
  <si>
    <t xml:space="preserve">100%</t>
  </si>
  <si>
    <t xml:space="preserve">80%</t>
  </si>
  <si>
    <t xml:space="preserve">69%</t>
  </si>
  <si>
    <t xml:space="preserve">77%</t>
  </si>
  <si>
    <t xml:space="preserve">metric</t>
  </si>
  <si>
    <t xml:space="preserve">value</t>
  </si>
  <si>
    <t xml:space="preserve">top1_accuracy</t>
  </si>
  <si>
    <t xml:space="preserve">91%</t>
  </si>
  <si>
    <t xml:space="preserve">top2_accuracy</t>
  </si>
  <si>
    <t xml:space="preserve">95%</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</si>
</sst>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FF0000"/>
        <bgColor rgb="FF9933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5" activeCellId="0" sqref="A15"/>
    </sheetView>
  </sheetViews>
  <sheetFormatPr defaultColWidth="8.343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1" t="s">
        <v>10</v>
      </c>
      <c r="B2" s="1" t="s">
        <v>11</v>
      </c>
      <c r="C2" s="1" t="s">
        <v>12</v>
      </c>
      <c r="D2" s="1" t="s">
        <v>13</v>
      </c>
      <c r="E2" s="1" t="s">
        <v>14</v>
      </c>
      <c r="F2" s="1" t="s">
        <v>14</v>
      </c>
      <c r="G2" s="1" t="s">
        <v>15</v>
      </c>
      <c r="H2" s="1" t="s">
        <v>16</v>
      </c>
      <c r="I2" s="2" t="b">
        <f aca="false">TRUE()</f>
        <v>1</v>
      </c>
      <c r="J2" s="2" t="b">
        <f aca="false">TRUE()</f>
        <v>1</v>
      </c>
    </row>
    <row r="3" customFormat="false" ht="15" hidden="false" customHeight="false" outlineLevel="0" collapsed="false">
      <c r="A3" s="1" t="s">
        <v>17</v>
      </c>
      <c r="B3" s="1" t="s">
        <v>18</v>
      </c>
      <c r="C3" s="1" t="s">
        <v>19</v>
      </c>
      <c r="D3" s="1" t="s">
        <v>13</v>
      </c>
      <c r="E3" s="1" t="s">
        <v>20</v>
      </c>
      <c r="F3" s="1" t="s">
        <v>20</v>
      </c>
      <c r="G3" s="1" t="s">
        <v>21</v>
      </c>
      <c r="H3" s="1" t="s">
        <v>22</v>
      </c>
      <c r="I3" s="2" t="b">
        <f aca="false">TRUE()</f>
        <v>1</v>
      </c>
      <c r="J3" s="2" t="b">
        <f aca="false">TRUE()</f>
        <v>1</v>
      </c>
    </row>
    <row r="4" customFormat="false" ht="15" hidden="false" customHeight="false" outlineLevel="0" collapsed="false">
      <c r="A4" s="1" t="s">
        <v>23</v>
      </c>
      <c r="B4" s="1" t="s">
        <v>24</v>
      </c>
      <c r="C4" s="1" t="s">
        <v>25</v>
      </c>
      <c r="D4" s="1" t="s">
        <v>13</v>
      </c>
      <c r="E4" s="1" t="s">
        <v>26</v>
      </c>
      <c r="F4" s="1" t="s">
        <v>26</v>
      </c>
      <c r="G4" s="1" t="s">
        <v>20</v>
      </c>
      <c r="H4" s="1" t="s">
        <v>27</v>
      </c>
      <c r="I4" s="2" t="b">
        <f aca="false">TRUE()</f>
        <v>1</v>
      </c>
      <c r="J4" s="2" t="b">
        <f aca="false">TRUE()</f>
        <v>1</v>
      </c>
    </row>
    <row r="5" customFormat="false" ht="15" hidden="false" customHeight="false" outlineLevel="0" collapsed="false">
      <c r="A5" s="1" t="s">
        <v>28</v>
      </c>
      <c r="B5" s="1" t="s">
        <v>29</v>
      </c>
      <c r="C5" s="1" t="s">
        <v>30</v>
      </c>
      <c r="D5" s="1" t="s">
        <v>13</v>
      </c>
      <c r="E5" s="1" t="s">
        <v>20</v>
      </c>
      <c r="F5" s="1" t="s">
        <v>20</v>
      </c>
      <c r="G5" s="1" t="s">
        <v>31</v>
      </c>
      <c r="H5" s="1" t="s">
        <v>32</v>
      </c>
      <c r="I5" s="2" t="b">
        <f aca="false">TRUE()</f>
        <v>1</v>
      </c>
      <c r="J5" s="2" t="b">
        <f aca="false">TRUE()</f>
        <v>1</v>
      </c>
    </row>
    <row r="6" customFormat="false" ht="15" hidden="false" customHeight="false" outlineLevel="0" collapsed="false">
      <c r="A6" s="1" t="s">
        <v>33</v>
      </c>
      <c r="B6" s="1" t="s">
        <v>34</v>
      </c>
      <c r="C6" s="1" t="s">
        <v>35</v>
      </c>
      <c r="D6" s="1" t="s">
        <v>13</v>
      </c>
      <c r="E6" s="1" t="s">
        <v>15</v>
      </c>
      <c r="F6" s="1" t="s">
        <v>15</v>
      </c>
      <c r="G6" s="1" t="s">
        <v>14</v>
      </c>
      <c r="H6" s="1" t="s">
        <v>36</v>
      </c>
      <c r="I6" s="2" t="b">
        <f aca="false">TRUE()</f>
        <v>1</v>
      </c>
      <c r="J6" s="2" t="b">
        <f aca="false">TRUE()</f>
        <v>1</v>
      </c>
    </row>
    <row r="7" customFormat="false" ht="15" hidden="false" customHeight="false" outlineLevel="0" collapsed="false">
      <c r="A7" s="1" t="s">
        <v>37</v>
      </c>
      <c r="B7" s="1" t="s">
        <v>38</v>
      </c>
      <c r="C7" s="1" t="s">
        <v>39</v>
      </c>
      <c r="D7" s="1" t="s">
        <v>13</v>
      </c>
      <c r="E7" s="1" t="s">
        <v>40</v>
      </c>
      <c r="F7" s="1" t="s">
        <v>40</v>
      </c>
      <c r="G7" s="1" t="s">
        <v>14</v>
      </c>
      <c r="H7" s="1" t="s">
        <v>41</v>
      </c>
      <c r="I7" s="2" t="b">
        <f aca="false">TRUE()</f>
        <v>1</v>
      </c>
      <c r="J7" s="2" t="b">
        <f aca="false">TRUE()</f>
        <v>1</v>
      </c>
    </row>
    <row r="8" customFormat="false" ht="15" hidden="false" customHeight="false" outlineLevel="0" collapsed="false">
      <c r="A8" s="1" t="s">
        <v>42</v>
      </c>
      <c r="B8" s="1" t="s">
        <v>43</v>
      </c>
      <c r="C8" s="1" t="s">
        <v>44</v>
      </c>
      <c r="D8" s="1" t="s">
        <v>13</v>
      </c>
      <c r="E8" s="1" t="s">
        <v>45</v>
      </c>
      <c r="F8" s="1" t="s">
        <v>45</v>
      </c>
      <c r="G8" s="1" t="s">
        <v>14</v>
      </c>
      <c r="H8" s="1" t="s">
        <v>46</v>
      </c>
      <c r="I8" s="2" t="b">
        <f aca="false">TRUE()</f>
        <v>1</v>
      </c>
      <c r="J8" s="2" t="b">
        <f aca="false">TRUE()</f>
        <v>1</v>
      </c>
    </row>
    <row r="9" customFormat="false" ht="15" hidden="false" customHeight="false" outlineLevel="0" collapsed="false">
      <c r="A9" s="1" t="s">
        <v>47</v>
      </c>
      <c r="B9" s="1" t="s">
        <v>48</v>
      </c>
      <c r="C9" s="1" t="s">
        <v>49</v>
      </c>
      <c r="D9" s="1" t="s">
        <v>13</v>
      </c>
      <c r="E9" s="1" t="s">
        <v>14</v>
      </c>
      <c r="F9" s="1" t="s">
        <v>14</v>
      </c>
      <c r="G9" s="1" t="s">
        <v>31</v>
      </c>
      <c r="H9" s="1" t="s">
        <v>50</v>
      </c>
      <c r="I9" s="2" t="b">
        <f aca="false">TRUE()</f>
        <v>1</v>
      </c>
      <c r="J9" s="2" t="b">
        <f aca="false">TRUE()</f>
        <v>1</v>
      </c>
    </row>
    <row r="10" customFormat="false" ht="15" hidden="false" customHeight="false" outlineLevel="0" collapsed="false">
      <c r="A10" s="1" t="s">
        <v>51</v>
      </c>
      <c r="B10" s="1" t="s">
        <v>52</v>
      </c>
      <c r="C10" s="1" t="s">
        <v>53</v>
      </c>
      <c r="D10" s="1" t="s">
        <v>13</v>
      </c>
      <c r="E10" s="1" t="s">
        <v>31</v>
      </c>
      <c r="F10" s="1" t="s">
        <v>31</v>
      </c>
      <c r="G10" s="1" t="s">
        <v>54</v>
      </c>
      <c r="H10" s="1" t="s">
        <v>55</v>
      </c>
      <c r="I10" s="2" t="b">
        <f aca="false">TRUE()</f>
        <v>1</v>
      </c>
      <c r="J10" s="2" t="b">
        <f aca="false">TRUE()</f>
        <v>1</v>
      </c>
    </row>
    <row r="11" customFormat="false" ht="15" hidden="false" customHeight="false" outlineLevel="0" collapsed="false">
      <c r="A11" s="1" t="s">
        <v>56</v>
      </c>
      <c r="B11" s="1" t="s">
        <v>57</v>
      </c>
      <c r="C11" s="1" t="s">
        <v>58</v>
      </c>
      <c r="D11" s="1" t="s">
        <v>13</v>
      </c>
      <c r="E11" s="1" t="s">
        <v>31</v>
      </c>
      <c r="F11" s="1" t="s">
        <v>31</v>
      </c>
      <c r="G11" s="1" t="s">
        <v>20</v>
      </c>
      <c r="H11" s="1" t="s">
        <v>59</v>
      </c>
      <c r="I11" s="2" t="b">
        <f aca="false">TRUE()</f>
        <v>1</v>
      </c>
      <c r="J11" s="2" t="b">
        <f aca="false">TRUE()</f>
        <v>1</v>
      </c>
    </row>
    <row r="12" customFormat="false" ht="15" hidden="false" customHeight="false" outlineLevel="0" collapsed="false">
      <c r="A12" s="1" t="s">
        <v>60</v>
      </c>
      <c r="B12" s="1" t="s">
        <v>61</v>
      </c>
      <c r="C12" s="1" t="s">
        <v>62</v>
      </c>
      <c r="D12" s="1" t="s">
        <v>13</v>
      </c>
      <c r="E12" s="1" t="s">
        <v>54</v>
      </c>
      <c r="F12" s="1" t="s">
        <v>54</v>
      </c>
      <c r="G12" s="1" t="s">
        <v>31</v>
      </c>
      <c r="H12" s="1" t="s">
        <v>63</v>
      </c>
      <c r="I12" s="2" t="b">
        <f aca="false">TRUE()</f>
        <v>1</v>
      </c>
      <c r="J12" s="2" t="b">
        <f aca="false">TRUE()</f>
        <v>1</v>
      </c>
    </row>
    <row r="13" customFormat="false" ht="15" hidden="false" customHeight="false" outlineLevel="0" collapsed="false">
      <c r="A13" s="1" t="s">
        <v>64</v>
      </c>
      <c r="B13" s="1" t="s">
        <v>65</v>
      </c>
      <c r="C13" s="1" t="s">
        <v>66</v>
      </c>
      <c r="D13" s="1" t="s">
        <v>13</v>
      </c>
      <c r="E13" s="1" t="s">
        <v>14</v>
      </c>
      <c r="F13" s="1" t="s">
        <v>14</v>
      </c>
      <c r="G13" s="1" t="s">
        <v>31</v>
      </c>
      <c r="H13" s="1" t="s">
        <v>67</v>
      </c>
      <c r="I13" s="2" t="b">
        <f aca="false">TRUE()</f>
        <v>1</v>
      </c>
      <c r="J13" s="2" t="b">
        <f aca="false">TRUE()</f>
        <v>1</v>
      </c>
    </row>
    <row r="14" customFormat="false" ht="15" hidden="false" customHeight="false" outlineLevel="0" collapsed="false">
      <c r="A14" s="1" t="s">
        <v>68</v>
      </c>
      <c r="B14" s="1" t="s">
        <v>69</v>
      </c>
      <c r="C14" s="1" t="s">
        <v>70</v>
      </c>
      <c r="D14" s="1" t="s">
        <v>13</v>
      </c>
      <c r="E14" s="1" t="s">
        <v>15</v>
      </c>
      <c r="F14" s="1" t="s">
        <v>15</v>
      </c>
      <c r="G14" s="1" t="s">
        <v>14</v>
      </c>
      <c r="H14" s="1" t="s">
        <v>71</v>
      </c>
      <c r="I14" s="2" t="b">
        <f aca="false">TRUE()</f>
        <v>1</v>
      </c>
      <c r="J14" s="2" t="b">
        <f aca="false">TRUE()</f>
        <v>1</v>
      </c>
    </row>
    <row r="15" customFormat="false" ht="56" hidden="false" customHeight="false" outlineLevel="0" collapsed="false">
      <c r="A15" s="1" t="s">
        <v>72</v>
      </c>
      <c r="B15" s="1" t="s">
        <v>73</v>
      </c>
      <c r="C15" s="3" t="s">
        <v>74</v>
      </c>
      <c r="D15" s="1" t="s">
        <v>13</v>
      </c>
      <c r="E15" s="1" t="s">
        <v>54</v>
      </c>
      <c r="F15" s="1" t="s">
        <v>15</v>
      </c>
      <c r="G15" s="1" t="s">
        <v>54</v>
      </c>
      <c r="H15" s="1" t="s">
        <v>75</v>
      </c>
      <c r="I15" s="4" t="b">
        <f aca="false">FALSE()</f>
        <v>0</v>
      </c>
      <c r="J15" s="2" t="b">
        <f aca="false">TRUE()</f>
        <v>1</v>
      </c>
    </row>
    <row r="16" customFormat="false" ht="15" hidden="false" customHeight="false" outlineLevel="0" collapsed="false">
      <c r="A16" s="1" t="s">
        <v>76</v>
      </c>
      <c r="B16" s="1" t="s">
        <v>77</v>
      </c>
      <c r="C16" s="1" t="s">
        <v>78</v>
      </c>
      <c r="D16" s="1" t="s">
        <v>13</v>
      </c>
      <c r="E16" s="1" t="s">
        <v>15</v>
      </c>
      <c r="F16" s="1" t="s">
        <v>15</v>
      </c>
      <c r="G16" s="1" t="s">
        <v>54</v>
      </c>
      <c r="H16" s="1" t="s">
        <v>79</v>
      </c>
      <c r="I16" s="2" t="b">
        <f aca="false">TRUE()</f>
        <v>1</v>
      </c>
      <c r="J16" s="2" t="b">
        <f aca="false">TRUE()</f>
        <v>1</v>
      </c>
    </row>
    <row r="17" customFormat="false" ht="15" hidden="false" customHeight="false" outlineLevel="0" collapsed="false">
      <c r="A17" s="1" t="s">
        <v>80</v>
      </c>
      <c r="B17" s="1" t="s">
        <v>81</v>
      </c>
      <c r="C17" s="1" t="s">
        <v>82</v>
      </c>
      <c r="D17" s="1" t="s">
        <v>13</v>
      </c>
      <c r="E17" s="1" t="s">
        <v>14</v>
      </c>
      <c r="F17" s="1" t="s">
        <v>14</v>
      </c>
      <c r="G17" s="1" t="s">
        <v>45</v>
      </c>
      <c r="H17" s="1" t="s">
        <v>83</v>
      </c>
      <c r="I17" s="2" t="b">
        <f aca="false">TRUE()</f>
        <v>1</v>
      </c>
      <c r="J17" s="2" t="b">
        <f aca="false">TRUE()</f>
        <v>1</v>
      </c>
    </row>
    <row r="18" customFormat="false" ht="15" hidden="false" customHeight="false" outlineLevel="0" collapsed="false">
      <c r="A18" s="1" t="s">
        <v>84</v>
      </c>
      <c r="B18" s="1" t="s">
        <v>85</v>
      </c>
      <c r="C18" s="1" t="s">
        <v>86</v>
      </c>
      <c r="D18" s="1" t="s">
        <v>13</v>
      </c>
      <c r="E18" s="1" t="s">
        <v>14</v>
      </c>
      <c r="F18" s="1" t="s">
        <v>15</v>
      </c>
      <c r="G18" s="1" t="s">
        <v>54</v>
      </c>
      <c r="H18" s="1" t="s">
        <v>87</v>
      </c>
      <c r="I18" s="4" t="b">
        <f aca="false">FALSE()</f>
        <v>0</v>
      </c>
      <c r="J18" s="2" t="b">
        <f aca="false">FALSE()</f>
        <v>0</v>
      </c>
    </row>
    <row r="19" customFormat="false" ht="15" hidden="false" customHeight="false" outlineLevel="0" collapsed="false">
      <c r="A19" s="1" t="s">
        <v>88</v>
      </c>
      <c r="B19" s="1" t="s">
        <v>89</v>
      </c>
      <c r="C19" s="1" t="s">
        <v>90</v>
      </c>
      <c r="D19" s="1" t="s">
        <v>13</v>
      </c>
      <c r="E19" s="1" t="s">
        <v>26</v>
      </c>
      <c r="F19" s="1" t="s">
        <v>26</v>
      </c>
      <c r="G19" s="1" t="s">
        <v>20</v>
      </c>
      <c r="H19" s="1" t="s">
        <v>91</v>
      </c>
      <c r="I19" s="2" t="b">
        <f aca="false">TRUE()</f>
        <v>1</v>
      </c>
      <c r="J19" s="2" t="b">
        <f aca="false">TRUE()</f>
        <v>1</v>
      </c>
    </row>
    <row r="20" customFormat="false" ht="15" hidden="false" customHeight="false" outlineLevel="0" collapsed="false">
      <c r="A20" s="1" t="s">
        <v>92</v>
      </c>
      <c r="B20" s="1" t="s">
        <v>93</v>
      </c>
      <c r="C20" s="1" t="s">
        <v>94</v>
      </c>
      <c r="D20" s="1" t="s">
        <v>13</v>
      </c>
      <c r="E20" s="1" t="s">
        <v>14</v>
      </c>
      <c r="F20" s="1" t="s">
        <v>14</v>
      </c>
      <c r="G20" s="1" t="s">
        <v>54</v>
      </c>
      <c r="H20" s="1" t="s">
        <v>95</v>
      </c>
      <c r="I20" s="2" t="b">
        <f aca="false">TRUE()</f>
        <v>1</v>
      </c>
      <c r="J20" s="2" t="b">
        <f aca="false">TRUE()</f>
        <v>1</v>
      </c>
    </row>
    <row r="21" customFormat="false" ht="15" hidden="false" customHeight="false" outlineLevel="0" collapsed="false">
      <c r="A21" s="1" t="s">
        <v>96</v>
      </c>
      <c r="B21" s="1" t="s">
        <v>97</v>
      </c>
      <c r="C21" s="1" t="s">
        <v>98</v>
      </c>
      <c r="D21" s="1" t="s">
        <v>13</v>
      </c>
      <c r="E21" s="1" t="s">
        <v>54</v>
      </c>
      <c r="F21" s="1" t="s">
        <v>54</v>
      </c>
      <c r="G21" s="1" t="s">
        <v>14</v>
      </c>
      <c r="H21" s="1" t="s">
        <v>99</v>
      </c>
      <c r="I21" s="2" t="b">
        <f aca="false">TRUE()</f>
        <v>1</v>
      </c>
      <c r="J21" s="2" t="b">
        <f aca="false">TRUE()</f>
        <v>1</v>
      </c>
    </row>
    <row r="22" customFormat="false" ht="15" hidden="false" customHeight="false" outlineLevel="0" collapsed="false">
      <c r="A22" s="1" t="s">
        <v>100</v>
      </c>
      <c r="B22" s="1" t="s">
        <v>101</v>
      </c>
      <c r="C22" s="1" t="s">
        <v>102</v>
      </c>
      <c r="D22" s="1" t="s">
        <v>13</v>
      </c>
      <c r="E22" s="1" t="s">
        <v>45</v>
      </c>
      <c r="F22" s="1" t="s">
        <v>45</v>
      </c>
      <c r="G22" s="1" t="s">
        <v>14</v>
      </c>
      <c r="H22" s="1" t="s">
        <v>103</v>
      </c>
      <c r="I22" s="2" t="b">
        <f aca="false">TRUE()</f>
        <v>1</v>
      </c>
      <c r="J22" s="2" t="b">
        <f aca="false">TRUE()</f>
        <v>1</v>
      </c>
    </row>
    <row r="23" customFormat="false" ht="15" hidden="false" customHeight="false" outlineLevel="0" collapsed="false">
      <c r="A23" s="1" t="s">
        <v>104</v>
      </c>
      <c r="B23" s="1" t="s">
        <v>105</v>
      </c>
      <c r="C23" s="1" t="s">
        <v>106</v>
      </c>
      <c r="D23" s="1" t="s">
        <v>13</v>
      </c>
      <c r="E23" s="1" t="s">
        <v>20</v>
      </c>
      <c r="F23" s="1" t="s">
        <v>20</v>
      </c>
      <c r="G23" s="1" t="s">
        <v>15</v>
      </c>
      <c r="H23" s="1" t="s">
        <v>107</v>
      </c>
      <c r="I23" s="2" t="b">
        <f aca="false">TRUE()</f>
        <v>1</v>
      </c>
      <c r="J23" s="2" t="b">
        <f aca="false">TRUE()</f>
        <v>1</v>
      </c>
    </row>
    <row r="24" customFormat="false" ht="15" hidden="false" customHeight="false" outlineLevel="0" collapsed="false">
      <c r="A24" s="1" t="s">
        <v>108</v>
      </c>
      <c r="B24" s="1" t="s">
        <v>109</v>
      </c>
      <c r="C24" s="1" t="s">
        <v>110</v>
      </c>
      <c r="D24" s="1" t="s">
        <v>13</v>
      </c>
      <c r="E24" s="1" t="s">
        <v>31</v>
      </c>
      <c r="F24" s="1" t="s">
        <v>31</v>
      </c>
      <c r="G24" s="1" t="s">
        <v>40</v>
      </c>
      <c r="H24" s="1" t="s">
        <v>111</v>
      </c>
      <c r="I24" s="2" t="b">
        <f aca="false">TRUE()</f>
        <v>1</v>
      </c>
      <c r="J24" s="2" t="b">
        <f aca="false">TRUE()</f>
        <v>1</v>
      </c>
    </row>
    <row r="25" customFormat="false" ht="15" hidden="false" customHeight="false" outlineLevel="0" collapsed="false">
      <c r="A25" s="1" t="s">
        <v>112</v>
      </c>
      <c r="B25" s="1" t="s">
        <v>113</v>
      </c>
      <c r="C25" s="1" t="s">
        <v>114</v>
      </c>
      <c r="D25" s="1" t="s">
        <v>13</v>
      </c>
      <c r="E25" s="1" t="s">
        <v>20</v>
      </c>
      <c r="F25" s="1" t="s">
        <v>20</v>
      </c>
      <c r="G25" s="1" t="s">
        <v>14</v>
      </c>
      <c r="H25" s="1" t="s">
        <v>115</v>
      </c>
      <c r="I25" s="2" t="b">
        <f aca="false">TRUE()</f>
        <v>1</v>
      </c>
      <c r="J25" s="2" t="b">
        <f aca="false">TRUE()</f>
        <v>1</v>
      </c>
    </row>
    <row r="26" customFormat="false" ht="15" hidden="false" customHeight="false" outlineLevel="0" collapsed="false">
      <c r="A26" s="1" t="s">
        <v>116</v>
      </c>
      <c r="B26" s="1" t="s">
        <v>117</v>
      </c>
      <c r="C26" s="1" t="s">
        <v>118</v>
      </c>
      <c r="D26" s="1" t="s">
        <v>13</v>
      </c>
      <c r="E26" s="1" t="s">
        <v>40</v>
      </c>
      <c r="F26" s="1" t="s">
        <v>40</v>
      </c>
      <c r="G26" s="1" t="s">
        <v>31</v>
      </c>
      <c r="H26" s="1" t="s">
        <v>119</v>
      </c>
      <c r="I26" s="2" t="b">
        <f aca="false">TRUE()</f>
        <v>1</v>
      </c>
      <c r="J26" s="2" t="b">
        <f aca="false">TRUE()</f>
        <v>1</v>
      </c>
    </row>
    <row r="27" customFormat="false" ht="15" hidden="false" customHeight="false" outlineLevel="0" collapsed="false">
      <c r="A27" s="1" t="s">
        <v>120</v>
      </c>
      <c r="B27" s="1" t="s">
        <v>121</v>
      </c>
      <c r="C27" s="1" t="s">
        <v>122</v>
      </c>
      <c r="D27" s="1" t="s">
        <v>13</v>
      </c>
      <c r="E27" s="1" t="s">
        <v>15</v>
      </c>
      <c r="F27" s="1" t="s">
        <v>15</v>
      </c>
      <c r="G27" s="1" t="s">
        <v>54</v>
      </c>
      <c r="H27" s="1" t="s">
        <v>123</v>
      </c>
      <c r="I27" s="2" t="b">
        <f aca="false">TRUE()</f>
        <v>1</v>
      </c>
      <c r="J27" s="2" t="b">
        <f aca="false">TRUE()</f>
        <v>1</v>
      </c>
    </row>
    <row r="28" customFormat="false" ht="15" hidden="false" customHeight="false" outlineLevel="0" collapsed="false">
      <c r="A28" s="1" t="s">
        <v>124</v>
      </c>
      <c r="B28" s="1" t="s">
        <v>125</v>
      </c>
      <c r="C28" s="1" t="s">
        <v>126</v>
      </c>
      <c r="D28" s="1" t="s">
        <v>13</v>
      </c>
      <c r="E28" s="1" t="s">
        <v>26</v>
      </c>
      <c r="F28" s="1" t="s">
        <v>26</v>
      </c>
      <c r="G28" s="1" t="s">
        <v>40</v>
      </c>
      <c r="H28" s="1" t="s">
        <v>127</v>
      </c>
      <c r="I28" s="2" t="b">
        <f aca="false">TRUE()</f>
        <v>1</v>
      </c>
      <c r="J28" s="2" t="b">
        <f aca="false">TRUE()</f>
        <v>1</v>
      </c>
    </row>
    <row r="29" customFormat="false" ht="15" hidden="false" customHeight="false" outlineLevel="0" collapsed="false">
      <c r="A29" s="1" t="s">
        <v>128</v>
      </c>
      <c r="B29" s="1" t="s">
        <v>129</v>
      </c>
      <c r="C29" s="1" t="s">
        <v>130</v>
      </c>
      <c r="D29" s="1" t="s">
        <v>13</v>
      </c>
      <c r="E29" s="1" t="s">
        <v>14</v>
      </c>
      <c r="F29" s="1" t="s">
        <v>14</v>
      </c>
      <c r="G29" s="1" t="s">
        <v>54</v>
      </c>
      <c r="H29" s="1" t="s">
        <v>131</v>
      </c>
      <c r="I29" s="2" t="b">
        <f aca="false">TRUE()</f>
        <v>1</v>
      </c>
      <c r="J29" s="2" t="b">
        <f aca="false">TRUE()</f>
        <v>1</v>
      </c>
    </row>
    <row r="30" customFormat="false" ht="15" hidden="false" customHeight="false" outlineLevel="0" collapsed="false">
      <c r="A30" s="1" t="s">
        <v>132</v>
      </c>
      <c r="B30" s="1" t="s">
        <v>133</v>
      </c>
      <c r="C30" s="1" t="s">
        <v>134</v>
      </c>
      <c r="D30" s="1" t="s">
        <v>13</v>
      </c>
      <c r="E30" s="1" t="s">
        <v>54</v>
      </c>
      <c r="F30" s="1" t="s">
        <v>54</v>
      </c>
      <c r="G30" s="1" t="s">
        <v>14</v>
      </c>
      <c r="H30" s="1" t="s">
        <v>135</v>
      </c>
      <c r="I30" s="2" t="b">
        <f aca="false">TRUE()</f>
        <v>1</v>
      </c>
      <c r="J30" s="2" t="b">
        <f aca="false">TRUE()</f>
        <v>1</v>
      </c>
    </row>
    <row r="31" customFormat="false" ht="15" hidden="false" customHeight="false" outlineLevel="0" collapsed="false">
      <c r="A31" s="1" t="s">
        <v>136</v>
      </c>
      <c r="B31" s="1" t="s">
        <v>137</v>
      </c>
      <c r="C31" s="1" t="s">
        <v>138</v>
      </c>
      <c r="D31" s="1" t="s">
        <v>13</v>
      </c>
      <c r="E31" s="1" t="s">
        <v>14</v>
      </c>
      <c r="F31" s="1" t="s">
        <v>54</v>
      </c>
      <c r="G31" s="1" t="s">
        <v>14</v>
      </c>
      <c r="H31" s="1" t="s">
        <v>139</v>
      </c>
      <c r="I31" s="4" t="b">
        <f aca="false">FALSE()</f>
        <v>0</v>
      </c>
      <c r="J31" s="2" t="b">
        <f aca="false">TRUE()</f>
        <v>1</v>
      </c>
    </row>
    <row r="32" customFormat="false" ht="15" hidden="false" customHeight="false" outlineLevel="0" collapsed="false">
      <c r="A32" s="1" t="s">
        <v>140</v>
      </c>
      <c r="B32" s="1" t="s">
        <v>141</v>
      </c>
      <c r="C32" s="1" t="s">
        <v>142</v>
      </c>
      <c r="D32" s="1" t="s">
        <v>13</v>
      </c>
      <c r="E32" s="1" t="s">
        <v>14</v>
      </c>
      <c r="F32" s="1" t="s">
        <v>14</v>
      </c>
      <c r="G32" s="1" t="s">
        <v>15</v>
      </c>
      <c r="H32" s="1" t="s">
        <v>143</v>
      </c>
      <c r="I32" s="2" t="b">
        <f aca="false">TRUE()</f>
        <v>1</v>
      </c>
      <c r="J32" s="2" t="b">
        <f aca="false">TRUE()</f>
        <v>1</v>
      </c>
    </row>
    <row r="33" customFormat="false" ht="15" hidden="false" customHeight="false" outlineLevel="0" collapsed="false">
      <c r="A33" s="1" t="s">
        <v>144</v>
      </c>
      <c r="B33" s="1" t="s">
        <v>145</v>
      </c>
      <c r="C33" s="1" t="s">
        <v>146</v>
      </c>
      <c r="D33" s="1" t="s">
        <v>13</v>
      </c>
      <c r="E33" s="1" t="s">
        <v>15</v>
      </c>
      <c r="F33" s="1" t="s">
        <v>15</v>
      </c>
      <c r="G33" s="1" t="s">
        <v>14</v>
      </c>
      <c r="H33" s="1" t="s">
        <v>147</v>
      </c>
      <c r="I33" s="2" t="b">
        <f aca="false">TRUE()</f>
        <v>1</v>
      </c>
      <c r="J33" s="2" t="b">
        <f aca="false">TRUE()</f>
        <v>1</v>
      </c>
    </row>
    <row r="34" customFormat="false" ht="15" hidden="false" customHeight="false" outlineLevel="0" collapsed="false">
      <c r="A34" s="1" t="s">
        <v>148</v>
      </c>
      <c r="B34" s="1" t="s">
        <v>149</v>
      </c>
      <c r="C34" s="1" t="s">
        <v>150</v>
      </c>
      <c r="D34" s="1" t="s">
        <v>13</v>
      </c>
      <c r="E34" s="1" t="s">
        <v>40</v>
      </c>
      <c r="F34" s="1" t="s">
        <v>40</v>
      </c>
      <c r="G34" s="1" t="s">
        <v>14</v>
      </c>
      <c r="H34" s="1" t="s">
        <v>151</v>
      </c>
      <c r="I34" s="2" t="b">
        <f aca="false">TRUE()</f>
        <v>1</v>
      </c>
      <c r="J34" s="2" t="b">
        <f aca="false">TRUE()</f>
        <v>1</v>
      </c>
    </row>
    <row r="35" customFormat="false" ht="15" hidden="false" customHeight="false" outlineLevel="0" collapsed="false">
      <c r="A35" s="1" t="s">
        <v>152</v>
      </c>
      <c r="B35" s="1" t="s">
        <v>153</v>
      </c>
      <c r="C35" s="1" t="s">
        <v>154</v>
      </c>
      <c r="D35" s="1" t="s">
        <v>13</v>
      </c>
      <c r="E35" s="1" t="s">
        <v>15</v>
      </c>
      <c r="F35" s="1" t="s">
        <v>15</v>
      </c>
      <c r="G35" s="1" t="s">
        <v>14</v>
      </c>
      <c r="H35" s="1" t="s">
        <v>155</v>
      </c>
      <c r="I35" s="2" t="b">
        <f aca="false">TRUE()</f>
        <v>1</v>
      </c>
      <c r="J35" s="2" t="b">
        <f aca="false">TRUE()</f>
        <v>1</v>
      </c>
    </row>
    <row r="36" customFormat="false" ht="15" hidden="false" customHeight="false" outlineLevel="0" collapsed="false">
      <c r="A36" s="1" t="s">
        <v>156</v>
      </c>
      <c r="B36" s="1" t="s">
        <v>157</v>
      </c>
      <c r="C36" s="1" t="s">
        <v>158</v>
      </c>
      <c r="D36" s="1" t="s">
        <v>13</v>
      </c>
      <c r="E36" s="1" t="s">
        <v>40</v>
      </c>
      <c r="F36" s="1" t="s">
        <v>40</v>
      </c>
      <c r="G36" s="1" t="s">
        <v>20</v>
      </c>
      <c r="H36" s="1" t="s">
        <v>159</v>
      </c>
      <c r="I36" s="2" t="b">
        <f aca="false">TRUE()</f>
        <v>1</v>
      </c>
      <c r="J36" s="2" t="b">
        <f aca="false">TRUE()</f>
        <v>1</v>
      </c>
    </row>
    <row r="37" customFormat="false" ht="15" hidden="false" customHeight="false" outlineLevel="0" collapsed="false">
      <c r="A37" s="1" t="s">
        <v>160</v>
      </c>
      <c r="B37" s="1" t="s">
        <v>161</v>
      </c>
      <c r="C37" s="1" t="s">
        <v>162</v>
      </c>
      <c r="D37" s="1" t="s">
        <v>13</v>
      </c>
      <c r="E37" s="1" t="s">
        <v>15</v>
      </c>
      <c r="F37" s="1" t="s">
        <v>15</v>
      </c>
      <c r="G37" s="1" t="s">
        <v>31</v>
      </c>
      <c r="H37" s="1" t="s">
        <v>163</v>
      </c>
      <c r="I37" s="2" t="b">
        <f aca="false">TRUE()</f>
        <v>1</v>
      </c>
      <c r="J37" s="2" t="b">
        <f aca="false">TRUE()</f>
        <v>1</v>
      </c>
    </row>
    <row r="38" customFormat="false" ht="15" hidden="false" customHeight="false" outlineLevel="0" collapsed="false">
      <c r="A38" s="1" t="s">
        <v>164</v>
      </c>
      <c r="B38" s="1" t="s">
        <v>165</v>
      </c>
      <c r="C38" s="1" t="s">
        <v>166</v>
      </c>
      <c r="D38" s="1" t="s">
        <v>13</v>
      </c>
      <c r="E38" s="1" t="s">
        <v>45</v>
      </c>
      <c r="F38" s="1" t="s">
        <v>45</v>
      </c>
      <c r="G38" s="1" t="s">
        <v>40</v>
      </c>
      <c r="H38" s="1" t="s">
        <v>167</v>
      </c>
      <c r="I38" s="2" t="b">
        <f aca="false">TRUE()</f>
        <v>1</v>
      </c>
      <c r="J38" s="2" t="b">
        <f aca="false">TRUE()</f>
        <v>1</v>
      </c>
    </row>
    <row r="39" customFormat="false" ht="15" hidden="false" customHeight="false" outlineLevel="0" collapsed="false">
      <c r="A39" s="1" t="s">
        <v>168</v>
      </c>
      <c r="B39" s="1" t="s">
        <v>169</v>
      </c>
      <c r="C39" s="1" t="s">
        <v>170</v>
      </c>
      <c r="D39" s="1" t="s">
        <v>13</v>
      </c>
      <c r="E39" s="1" t="s">
        <v>14</v>
      </c>
      <c r="F39" s="1" t="s">
        <v>14</v>
      </c>
      <c r="G39" s="1" t="s">
        <v>45</v>
      </c>
      <c r="H39" s="1" t="s">
        <v>171</v>
      </c>
      <c r="I39" s="2" t="b">
        <f aca="false">TRUE()</f>
        <v>1</v>
      </c>
      <c r="J39" s="2" t="b">
        <f aca="false">TRUE()</f>
        <v>1</v>
      </c>
    </row>
    <row r="40" customFormat="false" ht="15" hidden="false" customHeight="false" outlineLevel="0" collapsed="false">
      <c r="A40" s="1" t="s">
        <v>172</v>
      </c>
      <c r="B40" s="1" t="s">
        <v>173</v>
      </c>
      <c r="C40" s="1" t="s">
        <v>174</v>
      </c>
      <c r="D40" s="1" t="s">
        <v>13</v>
      </c>
      <c r="E40" s="1" t="s">
        <v>45</v>
      </c>
      <c r="F40" s="1" t="s">
        <v>45</v>
      </c>
      <c r="G40" s="1" t="s">
        <v>31</v>
      </c>
      <c r="H40" s="1" t="s">
        <v>175</v>
      </c>
      <c r="I40" s="2" t="b">
        <f aca="false">TRUE()</f>
        <v>1</v>
      </c>
      <c r="J40" s="2" t="b">
        <f aca="false">TRUE()</f>
        <v>1</v>
      </c>
    </row>
    <row r="41" customFormat="false" ht="15" hidden="false" customHeight="false" outlineLevel="0" collapsed="false">
      <c r="A41" s="1" t="s">
        <v>176</v>
      </c>
      <c r="B41" s="1" t="s">
        <v>177</v>
      </c>
      <c r="C41" s="1" t="s">
        <v>178</v>
      </c>
      <c r="D41" s="1" t="s">
        <v>13</v>
      </c>
      <c r="E41" s="1" t="s">
        <v>31</v>
      </c>
      <c r="F41" s="1" t="s">
        <v>31</v>
      </c>
      <c r="G41" s="1" t="s">
        <v>15</v>
      </c>
      <c r="H41" s="1" t="s">
        <v>179</v>
      </c>
      <c r="I41" s="2" t="b">
        <f aca="false">TRUE()</f>
        <v>1</v>
      </c>
      <c r="J41" s="2" t="b">
        <f aca="false">TRUE()</f>
        <v>1</v>
      </c>
    </row>
    <row r="42" customFormat="false" ht="15" hidden="false" customHeight="false" outlineLevel="0" collapsed="false">
      <c r="A42" s="1" t="s">
        <v>180</v>
      </c>
      <c r="B42" s="1" t="s">
        <v>181</v>
      </c>
      <c r="C42" s="1" t="s">
        <v>182</v>
      </c>
      <c r="D42" s="1" t="s">
        <v>13</v>
      </c>
      <c r="E42" s="1" t="s">
        <v>40</v>
      </c>
      <c r="F42" s="1" t="s">
        <v>40</v>
      </c>
      <c r="G42" s="1" t="s">
        <v>20</v>
      </c>
      <c r="H42" s="1" t="s">
        <v>183</v>
      </c>
      <c r="I42" s="2" t="b">
        <f aca="false">TRUE()</f>
        <v>1</v>
      </c>
      <c r="J42" s="2" t="b">
        <f aca="false">TRUE()</f>
        <v>1</v>
      </c>
    </row>
    <row r="43" customFormat="false" ht="15" hidden="false" customHeight="false" outlineLevel="0" collapsed="false">
      <c r="A43" s="1" t="s">
        <v>184</v>
      </c>
      <c r="B43" s="1" t="s">
        <v>185</v>
      </c>
      <c r="C43" s="1" t="s">
        <v>186</v>
      </c>
      <c r="D43" s="1" t="s">
        <v>13</v>
      </c>
      <c r="E43" s="1" t="s">
        <v>40</v>
      </c>
      <c r="F43" s="1" t="s">
        <v>40</v>
      </c>
      <c r="G43" s="1" t="s">
        <v>31</v>
      </c>
      <c r="H43" s="1" t="s">
        <v>187</v>
      </c>
      <c r="I43" s="2" t="b">
        <f aca="false">TRUE()</f>
        <v>1</v>
      </c>
      <c r="J43" s="2" t="b">
        <f aca="false">TRUE()</f>
        <v>1</v>
      </c>
    </row>
    <row r="44" customFormat="false" ht="15" hidden="false" customHeight="false" outlineLevel="0" collapsed="false">
      <c r="A44" s="1" t="s">
        <v>188</v>
      </c>
      <c r="B44" s="1" t="s">
        <v>189</v>
      </c>
      <c r="C44" s="1" t="s">
        <v>190</v>
      </c>
      <c r="D44" s="1" t="s">
        <v>13</v>
      </c>
      <c r="E44" s="1" t="s">
        <v>31</v>
      </c>
      <c r="F44" s="1" t="s">
        <v>31</v>
      </c>
      <c r="G44" s="1" t="s">
        <v>40</v>
      </c>
      <c r="H44" s="1" t="s">
        <v>191</v>
      </c>
      <c r="I44" s="2" t="b">
        <f aca="false">TRUE()</f>
        <v>1</v>
      </c>
      <c r="J44" s="2" t="b">
        <f aca="false">TRUE()</f>
        <v>1</v>
      </c>
    </row>
    <row r="45" customFormat="false" ht="15" hidden="false" customHeight="false" outlineLevel="0" collapsed="false">
      <c r="A45" s="1" t="s">
        <v>192</v>
      </c>
      <c r="B45" s="1" t="s">
        <v>193</v>
      </c>
      <c r="C45" s="1" t="s">
        <v>194</v>
      </c>
      <c r="D45" s="1" t="s">
        <v>13</v>
      </c>
      <c r="E45" s="1" t="s">
        <v>45</v>
      </c>
      <c r="F45" s="1" t="s">
        <v>45</v>
      </c>
      <c r="G45" s="1" t="s">
        <v>31</v>
      </c>
      <c r="H45" s="1" t="s">
        <v>195</v>
      </c>
      <c r="I45" s="2" t="b">
        <f aca="false">TRUE()</f>
        <v>1</v>
      </c>
      <c r="J45" s="2" t="b">
        <f aca="false">TRUE()</f>
        <v>1</v>
      </c>
    </row>
    <row r="46" customFormat="false" ht="15" hidden="false" customHeight="false" outlineLevel="0" collapsed="false">
      <c r="A46" s="1" t="s">
        <v>196</v>
      </c>
      <c r="B46" s="1" t="s">
        <v>197</v>
      </c>
      <c r="C46" s="1" t="s">
        <v>198</v>
      </c>
      <c r="D46" s="1" t="s">
        <v>13</v>
      </c>
      <c r="E46" s="1" t="s">
        <v>54</v>
      </c>
      <c r="F46" s="1" t="s">
        <v>54</v>
      </c>
      <c r="G46" s="1" t="s">
        <v>15</v>
      </c>
      <c r="H46" s="1" t="s">
        <v>199</v>
      </c>
      <c r="I46" s="2" t="b">
        <f aca="false">TRUE()</f>
        <v>1</v>
      </c>
      <c r="J46" s="2" t="b">
        <f aca="false">TRUE()</f>
        <v>1</v>
      </c>
    </row>
    <row r="47" customFormat="false" ht="15" hidden="false" customHeight="false" outlineLevel="0" collapsed="false">
      <c r="A47" s="1" t="s">
        <v>200</v>
      </c>
      <c r="B47" s="1" t="s">
        <v>201</v>
      </c>
      <c r="C47" s="1" t="s">
        <v>202</v>
      </c>
      <c r="D47" s="1" t="s">
        <v>13</v>
      </c>
      <c r="E47" s="1" t="s">
        <v>40</v>
      </c>
      <c r="F47" s="1" t="s">
        <v>40</v>
      </c>
      <c r="G47" s="1" t="s">
        <v>26</v>
      </c>
      <c r="H47" s="1" t="s">
        <v>203</v>
      </c>
      <c r="I47" s="2" t="b">
        <f aca="false">TRUE()</f>
        <v>1</v>
      </c>
      <c r="J47" s="2" t="b">
        <f aca="false">TRUE()</f>
        <v>1</v>
      </c>
    </row>
    <row r="48" customFormat="false" ht="15" hidden="false" customHeight="false" outlineLevel="0" collapsed="false">
      <c r="A48" s="1" t="s">
        <v>204</v>
      </c>
      <c r="B48" s="1" t="s">
        <v>205</v>
      </c>
      <c r="C48" s="1" t="s">
        <v>206</v>
      </c>
      <c r="D48" s="1" t="s">
        <v>13</v>
      </c>
      <c r="E48" s="1" t="s">
        <v>14</v>
      </c>
      <c r="F48" s="1" t="s">
        <v>40</v>
      </c>
      <c r="G48" s="1" t="s">
        <v>31</v>
      </c>
      <c r="H48" s="1" t="s">
        <v>207</v>
      </c>
      <c r="I48" s="5" t="b">
        <f aca="false">FALSE()</f>
        <v>0</v>
      </c>
      <c r="J48" s="2" t="b">
        <f aca="false">FALSE()</f>
        <v>0</v>
      </c>
      <c r="L48" s="1" t="s">
        <v>40</v>
      </c>
    </row>
    <row r="49" customFormat="false" ht="15" hidden="false" customHeight="false" outlineLevel="0" collapsed="false">
      <c r="A49" s="1" t="s">
        <v>208</v>
      </c>
      <c r="B49" s="1" t="s">
        <v>209</v>
      </c>
      <c r="C49" s="1" t="s">
        <v>210</v>
      </c>
      <c r="D49" s="1" t="s">
        <v>13</v>
      </c>
      <c r="E49" s="1" t="s">
        <v>14</v>
      </c>
      <c r="F49" s="1" t="s">
        <v>14</v>
      </c>
      <c r="G49" s="1" t="s">
        <v>15</v>
      </c>
      <c r="H49" s="1" t="s">
        <v>211</v>
      </c>
      <c r="I49" s="2" t="b">
        <f aca="false">TRUE()</f>
        <v>1</v>
      </c>
      <c r="J49" s="2" t="b">
        <f aca="false">TRUE()</f>
        <v>1</v>
      </c>
    </row>
    <row r="50" customFormat="false" ht="15" hidden="false" customHeight="false" outlineLevel="0" collapsed="false">
      <c r="A50" s="1" t="s">
        <v>212</v>
      </c>
      <c r="B50" s="1" t="s">
        <v>213</v>
      </c>
      <c r="C50" s="1" t="s">
        <v>214</v>
      </c>
      <c r="D50" s="1" t="s">
        <v>13</v>
      </c>
      <c r="E50" s="1" t="s">
        <v>40</v>
      </c>
      <c r="F50" s="1" t="s">
        <v>40</v>
      </c>
      <c r="G50" s="1" t="s">
        <v>14</v>
      </c>
      <c r="H50" s="1" t="s">
        <v>215</v>
      </c>
      <c r="I50" s="2" t="b">
        <f aca="false">TRUE()</f>
        <v>1</v>
      </c>
      <c r="J50" s="2" t="b">
        <f aca="false">TRUE()</f>
        <v>1</v>
      </c>
    </row>
    <row r="51" customFormat="false" ht="15" hidden="false" customHeight="false" outlineLevel="0" collapsed="false">
      <c r="A51" s="1" t="s">
        <v>216</v>
      </c>
      <c r="B51" s="1" t="s">
        <v>217</v>
      </c>
      <c r="C51" s="1" t="s">
        <v>218</v>
      </c>
      <c r="D51" s="1" t="s">
        <v>13</v>
      </c>
      <c r="E51" s="1" t="s">
        <v>14</v>
      </c>
      <c r="F51" s="1" t="s">
        <v>31</v>
      </c>
      <c r="G51" s="1" t="s">
        <v>40</v>
      </c>
      <c r="H51" s="1" t="s">
        <v>219</v>
      </c>
      <c r="I51" s="4" t="b">
        <f aca="false">FALSE()</f>
        <v>0</v>
      </c>
      <c r="J51" s="2" t="b">
        <f aca="false">FALSE()</f>
        <v>0</v>
      </c>
      <c r="M51" s="1" t="s">
        <v>220</v>
      </c>
    </row>
    <row r="52" customFormat="false" ht="45.1" hidden="false" customHeight="false" outlineLevel="0" collapsed="false">
      <c r="A52" s="1" t="s">
        <v>221</v>
      </c>
      <c r="B52" s="1" t="s">
        <v>222</v>
      </c>
      <c r="C52" s="3" t="s">
        <v>223</v>
      </c>
      <c r="D52" s="1" t="s">
        <v>13</v>
      </c>
      <c r="E52" s="1" t="s">
        <v>15</v>
      </c>
      <c r="F52" s="1" t="s">
        <v>15</v>
      </c>
      <c r="G52" s="1" t="s">
        <v>31</v>
      </c>
      <c r="H52" s="1" t="s">
        <v>224</v>
      </c>
      <c r="I52" s="2" t="b">
        <f aca="false">TRUE()</f>
        <v>1</v>
      </c>
      <c r="J52" s="2" t="b">
        <f aca="false">TRUE()</f>
        <v>1</v>
      </c>
    </row>
    <row r="53" customFormat="false" ht="15" hidden="false" customHeight="false" outlineLevel="0" collapsed="false">
      <c r="A53" s="1" t="s">
        <v>225</v>
      </c>
      <c r="B53" s="1" t="s">
        <v>226</v>
      </c>
      <c r="C53" s="1" t="s">
        <v>227</v>
      </c>
      <c r="D53" s="1" t="s">
        <v>13</v>
      </c>
      <c r="E53" s="1" t="s">
        <v>45</v>
      </c>
      <c r="F53" s="1" t="s">
        <v>45</v>
      </c>
      <c r="G53" s="1" t="s">
        <v>31</v>
      </c>
      <c r="H53" s="1" t="s">
        <v>228</v>
      </c>
      <c r="I53" s="2" t="b">
        <f aca="false">TRUE()</f>
        <v>1</v>
      </c>
      <c r="J53" s="2" t="b">
        <f aca="false">TRUE()</f>
        <v>1</v>
      </c>
    </row>
    <row r="54" customFormat="false" ht="15" hidden="false" customHeight="false" outlineLevel="0" collapsed="false">
      <c r="A54" s="1" t="s">
        <v>229</v>
      </c>
      <c r="B54" s="1" t="s">
        <v>230</v>
      </c>
      <c r="C54" s="1" t="s">
        <v>231</v>
      </c>
      <c r="D54" s="1" t="s">
        <v>13</v>
      </c>
      <c r="E54" s="1" t="s">
        <v>45</v>
      </c>
      <c r="F54" s="1" t="s">
        <v>45</v>
      </c>
      <c r="G54" s="1" t="s">
        <v>54</v>
      </c>
      <c r="H54" s="1" t="s">
        <v>232</v>
      </c>
      <c r="I54" s="2" t="b">
        <f aca="false">TRUE()</f>
        <v>1</v>
      </c>
      <c r="J54" s="2" t="b">
        <f aca="false">TRUE()</f>
        <v>1</v>
      </c>
    </row>
    <row r="55" customFormat="false" ht="15" hidden="false" customHeight="false" outlineLevel="0" collapsed="false">
      <c r="A55" s="1" t="s">
        <v>233</v>
      </c>
      <c r="B55" s="1" t="s">
        <v>234</v>
      </c>
      <c r="C55" s="1" t="s">
        <v>235</v>
      </c>
      <c r="D55" s="1" t="s">
        <v>13</v>
      </c>
      <c r="E55" s="1" t="s">
        <v>236</v>
      </c>
      <c r="F55" s="1" t="s">
        <v>236</v>
      </c>
      <c r="G55" s="1" t="s">
        <v>40</v>
      </c>
      <c r="H55" s="1" t="s">
        <v>237</v>
      </c>
      <c r="I55" s="2" t="b">
        <f aca="false">TRUE()</f>
        <v>1</v>
      </c>
      <c r="J55" s="2" t="b">
        <f aca="false">TRUE()</f>
        <v>1</v>
      </c>
    </row>
    <row r="56" customFormat="false" ht="15" hidden="false" customHeight="false" outlineLevel="0" collapsed="false">
      <c r="A56" s="1" t="s">
        <v>238</v>
      </c>
      <c r="B56" s="1" t="s">
        <v>239</v>
      </c>
      <c r="C56" s="1" t="s">
        <v>240</v>
      </c>
      <c r="D56" s="1" t="s">
        <v>13</v>
      </c>
      <c r="E56" s="1" t="s">
        <v>15</v>
      </c>
      <c r="F56" s="1" t="s">
        <v>15</v>
      </c>
      <c r="G56" s="1" t="s">
        <v>14</v>
      </c>
      <c r="H56" s="1" t="s">
        <v>241</v>
      </c>
      <c r="I56" s="2" t="b">
        <f aca="false">TRUE()</f>
        <v>1</v>
      </c>
      <c r="J56" s="2" t="b">
        <f aca="false">TRUE()</f>
        <v>1</v>
      </c>
    </row>
    <row r="57" customFormat="false" ht="15" hidden="false" customHeight="false" outlineLevel="0" collapsed="false">
      <c r="A57" s="1" t="s">
        <v>242</v>
      </c>
      <c r="B57" s="1" t="s">
        <v>243</v>
      </c>
      <c r="C57" s="1" t="s">
        <v>244</v>
      </c>
      <c r="D57" s="1" t="s">
        <v>13</v>
      </c>
      <c r="E57" s="1" t="s">
        <v>15</v>
      </c>
      <c r="F57" s="1" t="s">
        <v>15</v>
      </c>
      <c r="G57" s="1" t="s">
        <v>54</v>
      </c>
      <c r="H57" s="1" t="s">
        <v>245</v>
      </c>
      <c r="I57" s="2" t="b">
        <f aca="false">TRUE()</f>
        <v>1</v>
      </c>
      <c r="J57" s="2" t="b">
        <f aca="false">TRUE()</f>
        <v>1</v>
      </c>
    </row>
    <row r="58" customFormat="false" ht="15" hidden="false" customHeight="false" outlineLevel="0" collapsed="false">
      <c r="A58" s="1" t="s">
        <v>246</v>
      </c>
      <c r="B58" s="1" t="s">
        <v>247</v>
      </c>
      <c r="C58" s="1" t="s">
        <v>248</v>
      </c>
      <c r="D58" s="1" t="s">
        <v>13</v>
      </c>
      <c r="E58" s="1" t="s">
        <v>31</v>
      </c>
      <c r="F58" s="1" t="s">
        <v>31</v>
      </c>
      <c r="G58" s="1" t="s">
        <v>15</v>
      </c>
      <c r="H58" s="1" t="s">
        <v>249</v>
      </c>
      <c r="I58" s="2" t="b">
        <f aca="false">TRUE()</f>
        <v>1</v>
      </c>
      <c r="J58" s="2" t="b">
        <f aca="false">TRUE()</f>
        <v>1</v>
      </c>
    </row>
    <row r="59" customFormat="false" ht="15" hidden="false" customHeight="false" outlineLevel="0" collapsed="false">
      <c r="A59" s="1" t="s">
        <v>250</v>
      </c>
      <c r="B59" s="1" t="s">
        <v>251</v>
      </c>
      <c r="C59" s="1" t="s">
        <v>252</v>
      </c>
      <c r="D59" s="1" t="s">
        <v>13</v>
      </c>
      <c r="E59" s="1" t="s">
        <v>40</v>
      </c>
      <c r="F59" s="1" t="s">
        <v>40</v>
      </c>
      <c r="G59" s="1" t="s">
        <v>31</v>
      </c>
      <c r="H59" s="1" t="s">
        <v>253</v>
      </c>
      <c r="I59" s="2" t="b">
        <f aca="false">TRUE()</f>
        <v>1</v>
      </c>
      <c r="J59" s="2" t="b">
        <f aca="false">TRUE()</f>
        <v>1</v>
      </c>
      <c r="M59" s="0" t="n">
        <f aca="false">54/58</f>
        <v>0.931034482758621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v>
      </c>
      <c r="B1" s="1" t="s">
        <v>254</v>
      </c>
      <c r="C1" s="1" t="s">
        <v>8</v>
      </c>
      <c r="D1" s="1" t="s">
        <v>255</v>
      </c>
      <c r="E1" s="1" t="s">
        <v>256</v>
      </c>
      <c r="F1" s="1" t="s">
        <v>257</v>
      </c>
    </row>
    <row r="2" customFormat="false" ht="15" hidden="false" customHeight="false" outlineLevel="0" collapsed="false">
      <c r="A2" s="1" t="s">
        <v>236</v>
      </c>
      <c r="B2" s="1" t="n">
        <v>1</v>
      </c>
      <c r="C2" s="1" t="n">
        <v>1</v>
      </c>
      <c r="D2" s="1" t="n">
        <v>1</v>
      </c>
      <c r="E2" s="1" t="s">
        <v>258</v>
      </c>
      <c r="F2" s="1" t="s">
        <v>258</v>
      </c>
    </row>
    <row r="3" customFormat="false" ht="15" hidden="false" customHeight="false" outlineLevel="0" collapsed="false">
      <c r="A3" s="1" t="s">
        <v>15</v>
      </c>
      <c r="B3" s="1" t="n">
        <v>10</v>
      </c>
      <c r="C3" s="1" t="n">
        <v>10</v>
      </c>
      <c r="D3" s="1" t="n">
        <v>10</v>
      </c>
      <c r="E3" s="1" t="s">
        <v>258</v>
      </c>
      <c r="F3" s="1" t="s">
        <v>258</v>
      </c>
    </row>
    <row r="4" customFormat="false" ht="15" hidden="false" customHeight="false" outlineLevel="0" collapsed="false">
      <c r="A4" s="1" t="s">
        <v>20</v>
      </c>
      <c r="B4" s="1" t="n">
        <v>4</v>
      </c>
      <c r="C4" s="1" t="n">
        <v>4</v>
      </c>
      <c r="D4" s="1" t="n">
        <v>4</v>
      </c>
      <c r="E4" s="1" t="s">
        <v>258</v>
      </c>
      <c r="F4" s="1" t="s">
        <v>258</v>
      </c>
    </row>
    <row r="5" customFormat="false" ht="15" hidden="false" customHeight="false" outlineLevel="0" collapsed="false">
      <c r="A5" s="1" t="s">
        <v>45</v>
      </c>
      <c r="B5" s="1" t="n">
        <v>7</v>
      </c>
      <c r="C5" s="1" t="n">
        <v>7</v>
      </c>
      <c r="D5" s="1" t="n">
        <v>7</v>
      </c>
      <c r="E5" s="1" t="s">
        <v>258</v>
      </c>
      <c r="F5" s="1" t="s">
        <v>258</v>
      </c>
    </row>
    <row r="6" customFormat="false" ht="15" hidden="false" customHeight="false" outlineLevel="0" collapsed="false">
      <c r="A6" s="1" t="s">
        <v>31</v>
      </c>
      <c r="B6" s="1" t="n">
        <v>6</v>
      </c>
      <c r="C6" s="1" t="n">
        <v>6</v>
      </c>
      <c r="D6" s="1" t="n">
        <v>6</v>
      </c>
      <c r="E6" s="1" t="s">
        <v>258</v>
      </c>
      <c r="F6" s="1" t="s">
        <v>258</v>
      </c>
    </row>
    <row r="7" customFormat="false" ht="15" hidden="false" customHeight="false" outlineLevel="0" collapsed="false">
      <c r="A7" s="1" t="s">
        <v>54</v>
      </c>
      <c r="B7" s="1" t="n">
        <v>5</v>
      </c>
      <c r="C7" s="1" t="n">
        <v>4</v>
      </c>
      <c r="D7" s="1" t="n">
        <v>5</v>
      </c>
      <c r="E7" s="1" t="s">
        <v>259</v>
      </c>
      <c r="F7" s="1" t="s">
        <v>258</v>
      </c>
    </row>
    <row r="8" customFormat="false" ht="15" hidden="false" customHeight="false" outlineLevel="0" collapsed="false">
      <c r="A8" s="1" t="s">
        <v>40</v>
      </c>
      <c r="B8" s="1" t="n">
        <v>9</v>
      </c>
      <c r="C8" s="1" t="n">
        <v>9</v>
      </c>
      <c r="D8" s="1" t="n">
        <v>9</v>
      </c>
      <c r="E8" s="1" t="s">
        <v>258</v>
      </c>
      <c r="F8" s="1" t="s">
        <v>258</v>
      </c>
    </row>
    <row r="9" customFormat="false" ht="15" hidden="false" customHeight="false" outlineLevel="0" collapsed="false">
      <c r="A9" s="1" t="s">
        <v>14</v>
      </c>
      <c r="B9" s="1" t="n">
        <v>13</v>
      </c>
      <c r="C9" s="1" t="n">
        <v>9</v>
      </c>
      <c r="D9" s="1" t="n">
        <v>10</v>
      </c>
      <c r="E9" s="1" t="s">
        <v>260</v>
      </c>
      <c r="F9" s="1" t="s">
        <v>261</v>
      </c>
    </row>
    <row r="10" customFormat="false" ht="15" hidden="false" customHeight="false" outlineLevel="0" collapsed="false">
      <c r="A10" s="1" t="s">
        <v>26</v>
      </c>
      <c r="B10" s="1" t="n">
        <v>3</v>
      </c>
      <c r="C10" s="1" t="n">
        <v>3</v>
      </c>
      <c r="D10" s="1" t="n">
        <v>3</v>
      </c>
      <c r="E10" s="1" t="s">
        <v>258</v>
      </c>
      <c r="F10" s="1" t="s">
        <v>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262</v>
      </c>
      <c r="B1" s="1" t="s">
        <v>263</v>
      </c>
      <c r="C1" s="1" t="s">
        <v>254</v>
      </c>
    </row>
    <row r="2" customFormat="false" ht="15" hidden="false" customHeight="false" outlineLevel="0" collapsed="false">
      <c r="A2" s="1" t="s">
        <v>264</v>
      </c>
      <c r="B2" s="1" t="s">
        <v>265</v>
      </c>
      <c r="C2" s="1" t="n">
        <v>58</v>
      </c>
    </row>
    <row r="3" customFormat="false" ht="15" hidden="false" customHeight="false" outlineLevel="0" collapsed="false">
      <c r="A3" s="1" t="s">
        <v>266</v>
      </c>
      <c r="B3" s="1" t="s">
        <v>267</v>
      </c>
      <c r="C3" s="1" t="n">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2026-06-26T14:31:09Z</dcterms:created>
  <dc:creator>openpyxl</dc:creator>
  <dc:description/>
  <dc:language>en-GB</dc:language>
  <cp:lastModifiedBy/>
  <dcterms:modified xsi:type="dcterms:W3CDTF">2026-06-29T09:38:02Z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